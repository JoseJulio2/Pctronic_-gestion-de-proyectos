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ejulio/Documents/Documentos portobelo/"/>
    </mc:Choice>
  </mc:AlternateContent>
  <xr:revisionPtr revIDLastSave="0" documentId="8_{C2681099-41B9-D843-880C-59B8BFA6365D}" xr6:coauthVersionLast="47" xr6:coauthVersionMax="47" xr10:uidLastSave="{00000000-0000-0000-0000-000000000000}"/>
  <bookViews>
    <workbookView xWindow="-38400" yWindow="-3000" windowWidth="38400" windowHeight="21000" xr2:uid="{00000000-000D-0000-FFFF-FFFF00000000}"/>
  </bookViews>
  <sheets>
    <sheet name="Cotizador (2)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9" i="3" l="1"/>
  <c r="J143" i="3"/>
  <c r="D8" i="3"/>
  <c r="D6" i="3"/>
  <c r="D7" i="3" s="1"/>
  <c r="A1" i="3"/>
  <c r="I157" i="3" l="1"/>
  <c r="I159" i="3"/>
  <c r="I161" i="3"/>
  <c r="H71" i="3" l="1"/>
  <c r="I71" i="3" s="1"/>
  <c r="H141" i="3" l="1"/>
  <c r="I141" i="3" s="1"/>
  <c r="H140" i="3"/>
  <c r="I140" i="3" s="1"/>
  <c r="H139" i="3"/>
  <c r="I139" i="3" s="1"/>
  <c r="H138" i="3"/>
  <c r="I138" i="3" s="1"/>
  <c r="H137" i="3"/>
  <c r="I137" i="3" s="1"/>
  <c r="H136" i="3"/>
  <c r="I136" i="3" s="1"/>
  <c r="H135" i="3"/>
  <c r="I135" i="3" s="1"/>
  <c r="H134" i="3"/>
  <c r="I134" i="3" s="1"/>
  <c r="H133" i="3"/>
  <c r="I133" i="3" s="1"/>
  <c r="H132" i="3"/>
  <c r="I132" i="3" s="1"/>
  <c r="H131" i="3"/>
  <c r="I131" i="3" s="1"/>
  <c r="H130" i="3"/>
  <c r="I130" i="3" s="1"/>
  <c r="H129" i="3"/>
  <c r="I129" i="3" s="1"/>
  <c r="H128" i="3"/>
  <c r="I128" i="3" s="1"/>
  <c r="H127" i="3"/>
  <c r="I127" i="3" s="1"/>
  <c r="H126" i="3"/>
  <c r="I126" i="3" s="1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J145" i="3"/>
  <c r="J146" i="3" s="1"/>
  <c r="J150" i="3" l="1"/>
  <c r="J151" i="3"/>
  <c r="J152" i="3"/>
  <c r="J147" i="3"/>
  <c r="J153" i="3" l="1"/>
  <c r="J154" i="3" s="1"/>
</calcChain>
</file>

<file path=xl/sharedStrings.xml><?xml version="1.0" encoding="utf-8"?>
<sst xmlns="http://schemas.openxmlformats.org/spreadsheetml/2006/main" count="210" uniqueCount="101">
  <si>
    <t>pctronic seguridad electronica SAS</t>
  </si>
  <si>
    <t>Referencia:</t>
  </si>
  <si>
    <t>PCT.AR2606-1513</t>
  </si>
  <si>
    <t>Atencion:</t>
  </si>
  <si>
    <t>Descripcion:</t>
  </si>
  <si>
    <t>Deteccion de incendios torres de portobelo</t>
  </si>
  <si>
    <t>Correo:</t>
  </si>
  <si>
    <t>Fecha:</t>
  </si>
  <si>
    <t>Cliente:</t>
  </si>
  <si>
    <t>Constructora Bolivar</t>
  </si>
  <si>
    <t>Validez de la oferta:</t>
  </si>
  <si>
    <t>Telefono:</t>
  </si>
  <si>
    <t xml:space="preserve">Cotizacion No. </t>
  </si>
  <si>
    <t>Ciudad:</t>
  </si>
  <si>
    <t>Barranquilla</t>
  </si>
  <si>
    <t xml:space="preserve">DETALLE </t>
  </si>
  <si>
    <t>#</t>
  </si>
  <si>
    <t>REFERENCIA</t>
  </si>
  <si>
    <t>DESCRIPCIÓN</t>
  </si>
  <si>
    <t>CANT.</t>
  </si>
  <si>
    <t>UNIDAD</t>
  </si>
  <si>
    <t>TIEMPO DE ENTREGA</t>
  </si>
  <si>
    <t>MARCA</t>
  </si>
  <si>
    <t>Precio Unitario</t>
  </si>
  <si>
    <t xml:space="preserve">Subtotal </t>
  </si>
  <si>
    <t>Observaciones</t>
  </si>
  <si>
    <t>Suministro</t>
  </si>
  <si>
    <t>GST-M200</t>
  </si>
  <si>
    <t>SUMINISTRO E INSTALACION DE PANEL DE INCENDIO DIRECCIONABLE</t>
  </si>
  <si>
    <t>UND</t>
  </si>
  <si>
    <t>10 días</t>
  </si>
  <si>
    <t>GST</t>
  </si>
  <si>
    <t>KB1270</t>
  </si>
  <si>
    <t>SUMINISTRO E INSTALACION DE BATERIA 12V</t>
  </si>
  <si>
    <t>Kaise</t>
  </si>
  <si>
    <t>BPS6A</t>
  </si>
  <si>
    <t>SUMINISTRO E INSTALACION DE FUENTE AUXILIAR 24V</t>
  </si>
  <si>
    <t>Edwards</t>
  </si>
  <si>
    <t>DI-M9300</t>
  </si>
  <si>
    <t>SUMINISTRO E INSTALACION DE MODULO ENTRADA</t>
  </si>
  <si>
    <t>DI-M9305</t>
  </si>
  <si>
    <t>SUMINISTRO E INSTALACION DE MODULO SALIDA</t>
  </si>
  <si>
    <t>DI-M9102N</t>
  </si>
  <si>
    <t>SUMINISTRO E INSTALACION DE DETECTOR DE HUMO FOTO ELECTRICO</t>
  </si>
  <si>
    <t>DB-M01N</t>
  </si>
  <si>
    <t>SUMINISTRO E INSTALACION DE BASE SENCILLA DETECTOR DE HUMO</t>
  </si>
  <si>
    <t>DI-M9204</t>
  </si>
  <si>
    <t>SUMINISTRO E INSTALACION DE ESTACION MANUAL</t>
  </si>
  <si>
    <t>PUL-26CE</t>
  </si>
  <si>
    <t>SUMINISTRO E INSTALACION DE CUBIERTA ESTACION MANUAL</t>
  </si>
  <si>
    <t>Bico</t>
  </si>
  <si>
    <t>XTF-SEC1</t>
  </si>
  <si>
    <t>SUMINISTRO E INSTALACION DE SIRENA ESTROBO</t>
  </si>
  <si>
    <t>XT</t>
  </si>
  <si>
    <t>SUMINISTRO E INSTALACION DE CABLE 2*18</t>
  </si>
  <si>
    <t>ML</t>
  </si>
  <si>
    <t>Genesis</t>
  </si>
  <si>
    <t>SUMINISTRO E INSTALACION DE CABLE 2*16</t>
  </si>
  <si>
    <t>SD-426C</t>
  </si>
  <si>
    <t>SUMINISTRO E INSTALACION DE DETECTOR DE HUMO INALAMBRICO</t>
  </si>
  <si>
    <t>Instalacion</t>
  </si>
  <si>
    <t>PCT.SERV.INST</t>
  </si>
  <si>
    <t>30 días</t>
  </si>
  <si>
    <t>PCTronic</t>
  </si>
  <si>
    <t>TOTAL OFERTA SUMINISTROS</t>
  </si>
  <si>
    <t>SubTotal</t>
  </si>
  <si>
    <t>Descuento</t>
  </si>
  <si>
    <t>IVA</t>
  </si>
  <si>
    <t>Total</t>
  </si>
  <si>
    <t>TOTAL OFERTA AIU INSTALACION</t>
  </si>
  <si>
    <t>TOTAL COSTO DIRECTO OBRA</t>
  </si>
  <si>
    <t>ADMINISTRACIÓN</t>
  </si>
  <si>
    <t>IMPREVISTOS</t>
  </si>
  <si>
    <t>UTILIDAD</t>
  </si>
  <si>
    <t>IVA SOBRE UTILIDAD</t>
  </si>
  <si>
    <t>TOTAL</t>
  </si>
  <si>
    <t>TOTAL OFERTA - RENTA MENSUAL</t>
  </si>
  <si>
    <t>Notas:</t>
  </si>
  <si>
    <t>Opcion 1</t>
  </si>
  <si>
    <t>Meses de contrato</t>
  </si>
  <si>
    <t>Canon Arrendamiento</t>
  </si>
  <si>
    <t>Opcion 2</t>
  </si>
  <si>
    <r>
      <rPr>
        <b/>
        <sz val="10"/>
        <color theme="1"/>
        <rFont val="Century Gothic"/>
        <family val="1"/>
      </rPr>
      <t xml:space="preserve"> Notas comerciales:</t>
    </r>
    <r>
      <rPr>
        <sz val="10"/>
        <color theme="1"/>
        <rFont val="Century Gothic"/>
        <family val="1"/>
      </rPr>
      <t xml:space="preserve"> Por favor ver el documento adjunto llamado "</t>
    </r>
    <r>
      <rPr>
        <b/>
        <sz val="10"/>
        <color theme="1"/>
        <rFont val="Century Gothic"/>
        <family val="1"/>
      </rPr>
      <t>PCTRONIC - Notas comerciales 2024 versión 2.0</t>
    </r>
    <r>
      <rPr>
        <sz val="10"/>
        <color theme="1"/>
        <rFont val="Century Gothic"/>
        <family val="1"/>
      </rPr>
      <t xml:space="preserve">". Si no ha recibido y leído el documento mencionado, por favor solicítelo antes de aceptar la presente cotización; si la acepta, da a entender que leyó y aceptó las notas comerciales del documento mencionado. </t>
    </r>
  </si>
  <si>
    <t>CONDICIONES COMERCIALES</t>
  </si>
  <si>
    <t>ELABORADO POR:</t>
  </si>
  <si>
    <t>GARANTIA EQUIPOS</t>
  </si>
  <si>
    <t>12 meses</t>
  </si>
  <si>
    <t>NOMBRE</t>
  </si>
  <si>
    <t>Maria Alejandra Gomez</t>
  </si>
  <si>
    <t>FORMA DE PAGO</t>
  </si>
  <si>
    <t>30% anticipo, saldo con actas parciales</t>
  </si>
  <si>
    <t>CORREO</t>
  </si>
  <si>
    <t>maria.gomez@pctronic.com.co</t>
  </si>
  <si>
    <t>OTRAS GARANTIAS</t>
  </si>
  <si>
    <t>3 meses mano de obra</t>
  </si>
  <si>
    <t>PREVENTA</t>
  </si>
  <si>
    <t>Alonso Ramirez</t>
  </si>
  <si>
    <t>MONEDA</t>
  </si>
  <si>
    <t>Peso Colombiano</t>
  </si>
  <si>
    <t>alonso.ramirez@pctronic.com.co</t>
  </si>
  <si>
    <t xml:space="preserve">pctronic seguridad electronica SAS        NIT 900.941.480-4        Direccion: Carrera 43 No 69-13, Barranquilla
PBX (605) 3093552        www.pctronic.com.co        info@pctronic.com.co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</si>
</sst>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7" formatCode="_-&quot;$&quot;* #,##0_-;\-&quot;$&quot;* #,##0_-;_-&quot;$&quot;* &quot;-&quot;_-;_-@"/>
    <numFmt numFmtId="169" formatCode="_-&quot;$&quot;* #,##0.00_-;\-&quot;$&quot;* #,##0.00_-;_-&quot;$&quot;* &quot;-&quot;_-;_-@"/>
    <numFmt numFmtId="170" formatCode="[$-240A]dddd\,\ dd&quot; de &quot;mmmm&quot; de &quot;yyyy"/>
    <numFmt numFmtId="173" formatCode="_-&quot;$&quot;* #,##0.00_-;\-&quot;$&quot;* #,##0.00_-;_-&quot;$&quot;* &quot;-&quot;??_-;_-@"/>
    <numFmt numFmtId="175" formatCode="_-&quot;$&quot;* #,##0.00_-;_-&quot;$&quot;* \-#,##0.00_-;_-&quot;$&quot;* &quot;-&quot;??_-;_-@"/>
  </numFmts>
  <fonts count="31">
    <font>
      <sz val="12"/>
      <color theme="1"/>
      <name val="Calibri"/>
      <scheme val="minor"/>
    </font>
    <font>
      <sz val="13"/>
      <color theme="1"/>
      <name val="Calibri"/>
      <family val="2"/>
    </font>
    <font>
      <sz val="12"/>
      <color theme="1"/>
      <name val="Calibri"/>
      <family val="2"/>
    </font>
    <font>
      <b/>
      <sz val="14"/>
      <color rgb="FFFFFFFF"/>
      <name val="Century Gothic"/>
      <family val="1"/>
    </font>
    <font>
      <sz val="12"/>
      <name val="Calibri"/>
      <family val="2"/>
    </font>
    <font>
      <b/>
      <sz val="13"/>
      <color theme="1"/>
      <name val="Century Gothic"/>
      <family val="1"/>
    </font>
    <font>
      <sz val="13"/>
      <color theme="1"/>
      <name val="Century Gothic"/>
      <family val="1"/>
    </font>
    <font>
      <sz val="12"/>
      <color theme="1"/>
      <name val="Calibri"/>
      <family val="2"/>
      <scheme val="minor"/>
    </font>
    <font>
      <sz val="14"/>
      <color theme="1"/>
      <name val="Century Gothic"/>
      <family val="1"/>
    </font>
    <font>
      <b/>
      <sz val="14"/>
      <color theme="1"/>
      <name val="Century Gothic"/>
      <family val="1"/>
    </font>
    <font>
      <b/>
      <sz val="24"/>
      <color theme="1"/>
      <name val="Century Gothic"/>
      <family val="1"/>
    </font>
    <font>
      <b/>
      <sz val="13"/>
      <color theme="0"/>
      <name val="Century Gothic"/>
      <family val="1"/>
    </font>
    <font>
      <b/>
      <sz val="13"/>
      <color rgb="FFFFFFFF"/>
      <name val="Century Gothic"/>
      <family val="1"/>
    </font>
    <font>
      <sz val="13"/>
      <color theme="0"/>
      <name val="Century Gothic"/>
      <family val="1"/>
    </font>
    <font>
      <sz val="13"/>
      <color rgb="FFFFFFFF"/>
      <name val="Century Gothic"/>
      <family val="1"/>
    </font>
    <font>
      <sz val="12"/>
      <color theme="1"/>
      <name val="Century Gothic"/>
      <family val="1"/>
    </font>
    <font>
      <sz val="13"/>
      <color rgb="FFFF0000"/>
      <name val="Century Gothic"/>
      <family val="1"/>
    </font>
    <font>
      <sz val="13"/>
      <color theme="1"/>
      <name val="&quot;Century Gothic&quot;"/>
    </font>
    <font>
      <b/>
      <sz val="16"/>
      <color rgb="FFFFFFFF"/>
      <name val="Century Gothic"/>
      <family val="1"/>
    </font>
    <font>
      <b/>
      <sz val="13"/>
      <color rgb="FFFF0000"/>
      <name val="Century Gothic"/>
      <family val="1"/>
    </font>
    <font>
      <b/>
      <sz val="16"/>
      <color theme="1"/>
      <name val="Century Gothic"/>
      <family val="1"/>
    </font>
    <font>
      <b/>
      <sz val="20"/>
      <color theme="1"/>
      <name val="Century Gothic"/>
      <family val="1"/>
    </font>
    <font>
      <b/>
      <sz val="16"/>
      <color rgb="FFFF0000"/>
      <name val="Century Gothic"/>
      <family val="1"/>
    </font>
    <font>
      <b/>
      <sz val="16"/>
      <color theme="0"/>
      <name val="Century Gothic"/>
      <family val="1"/>
    </font>
    <font>
      <sz val="16"/>
      <color theme="1"/>
      <name val="Century Gothic"/>
      <family val="1"/>
    </font>
    <font>
      <sz val="10"/>
      <color theme="1"/>
      <name val="Century Gothic"/>
      <family val="1"/>
    </font>
    <font>
      <i/>
      <sz val="12"/>
      <color theme="1"/>
      <name val="Century Gothic"/>
      <family val="1"/>
    </font>
    <font>
      <b/>
      <sz val="14"/>
      <color theme="0"/>
      <name val="Century Gothic"/>
      <family val="1"/>
    </font>
    <font>
      <sz val="13"/>
      <color rgb="FF000000"/>
      <name val="Century Gothic"/>
      <family val="1"/>
    </font>
    <font>
      <sz val="11"/>
      <color rgb="FF000000"/>
      <name val="Calibri"/>
      <family val="2"/>
    </font>
    <font>
      <b/>
      <sz val="10"/>
      <color theme="1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15" fontId="8" fillId="0" borderId="11" xfId="0" applyNumberFormat="1" applyFont="1" applyBorder="1" applyAlignment="1">
      <alignment horizontal="right" vertical="center"/>
    </xf>
    <xf numFmtId="15" fontId="8" fillId="0" borderId="16" xfId="0" applyNumberFormat="1" applyFont="1" applyBorder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15" fontId="8" fillId="0" borderId="0" xfId="0" applyNumberFormat="1" applyFont="1" applyAlignment="1">
      <alignment horizontal="right" vertical="center"/>
    </xf>
    <xf numFmtId="15" fontId="8" fillId="0" borderId="5" xfId="0" applyNumberFormat="1" applyFont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169" fontId="6" fillId="0" borderId="9" xfId="0" applyNumberFormat="1" applyFont="1" applyBorder="1" applyAlignment="1">
      <alignment horizontal="right" vertical="center" wrapText="1"/>
    </xf>
    <xf numFmtId="169" fontId="6" fillId="5" borderId="9" xfId="0" applyNumberFormat="1" applyFont="1" applyFill="1" applyBorder="1" applyAlignment="1">
      <alignment horizontal="right" vertic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wrapText="1"/>
    </xf>
    <xf numFmtId="169" fontId="6" fillId="5" borderId="9" xfId="0" applyNumberFormat="1" applyFont="1" applyFill="1" applyBorder="1" applyAlignment="1">
      <alignment horizontal="right" wrapText="1"/>
    </xf>
    <xf numFmtId="0" fontId="2" fillId="0" borderId="9" xfId="0" applyFont="1" applyBorder="1"/>
    <xf numFmtId="0" fontId="6" fillId="0" borderId="9" xfId="0" applyFont="1" applyBorder="1" applyAlignment="1">
      <alignment vertical="center" wrapText="1"/>
    </xf>
    <xf numFmtId="0" fontId="6" fillId="6" borderId="9" xfId="0" applyFont="1" applyFill="1" applyBorder="1" applyAlignment="1">
      <alignment horizontal="center" vertical="center"/>
    </xf>
    <xf numFmtId="164" fontId="16" fillId="0" borderId="19" xfId="0" applyNumberFormat="1" applyFont="1" applyBorder="1" applyAlignment="1">
      <alignment vertical="center" wrapText="1"/>
    </xf>
    <xf numFmtId="164" fontId="6" fillId="0" borderId="19" xfId="0" applyNumberFormat="1" applyFont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164" fontId="1" fillId="0" borderId="15" xfId="0" applyNumberFormat="1" applyFont="1" applyBorder="1" applyAlignment="1">
      <alignment vertical="center"/>
    </xf>
    <xf numFmtId="0" fontId="15" fillId="0" borderId="9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vertical="center"/>
    </xf>
    <xf numFmtId="0" fontId="17" fillId="0" borderId="8" xfId="0" applyFont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167" fontId="15" fillId="0" borderId="9" xfId="0" applyNumberFormat="1" applyFont="1" applyBorder="1" applyAlignment="1">
      <alignment horizontal="right" vertical="center" wrapText="1"/>
    </xf>
    <xf numFmtId="164" fontId="15" fillId="0" borderId="19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9" fontId="6" fillId="0" borderId="19" xfId="0" applyNumberFormat="1" applyFont="1" applyBorder="1" applyAlignment="1">
      <alignment vertical="center"/>
    </xf>
    <xf numFmtId="169" fontId="20" fillId="0" borderId="9" xfId="0" applyNumberFormat="1" applyFont="1" applyBorder="1" applyAlignment="1">
      <alignment horizontal="center" vertical="center"/>
    </xf>
    <xf numFmtId="164" fontId="5" fillId="0" borderId="19" xfId="0" applyNumberFormat="1" applyFont="1" applyBorder="1" applyAlignment="1">
      <alignment vertical="center"/>
    </xf>
    <xf numFmtId="9" fontId="20" fillId="0" borderId="9" xfId="0" applyNumberFormat="1" applyFont="1" applyBorder="1" applyAlignment="1">
      <alignment horizontal="center" vertical="center"/>
    </xf>
    <xf numFmtId="173" fontId="15" fillId="0" borderId="9" xfId="0" applyNumberFormat="1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6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15" fillId="0" borderId="13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0" borderId="9" xfId="0" applyFont="1" applyBorder="1" applyAlignment="1">
      <alignment horizontal="right" vertical="center" wrapText="1"/>
    </xf>
    <xf numFmtId="0" fontId="29" fillId="0" borderId="0" xfId="0" applyFont="1" applyAlignment="1">
      <alignment horizontal="center" vertical="center"/>
    </xf>
    <xf numFmtId="175" fontId="29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0" fillId="0" borderId="0" xfId="0"/>
    <xf numFmtId="0" fontId="4" fillId="0" borderId="13" xfId="0" applyFont="1" applyBorder="1"/>
    <xf numFmtId="0" fontId="8" fillId="0" borderId="11" xfId="0" applyFont="1" applyBorder="1" applyAlignment="1">
      <alignment horizontal="center" vertical="center" wrapText="1"/>
    </xf>
    <xf numFmtId="0" fontId="4" fillId="0" borderId="11" xfId="0" applyFont="1" applyBorder="1"/>
    <xf numFmtId="0" fontId="8" fillId="0" borderId="11" xfId="0" applyFont="1" applyBorder="1" applyAlignment="1">
      <alignment horizontal="center" vertical="center"/>
    </xf>
    <xf numFmtId="0" fontId="4" fillId="0" borderId="15" xfId="0" applyFont="1" applyBorder="1"/>
    <xf numFmtId="170" fontId="8" fillId="0" borderId="11" xfId="0" applyNumberFormat="1" applyFont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8" xfId="0" applyFont="1" applyBorder="1"/>
    <xf numFmtId="0" fontId="12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8" fillId="0" borderId="14" xfId="0" applyFont="1" applyBorder="1" applyAlignment="1">
      <alignment horizontal="center" vertical="center"/>
    </xf>
    <xf numFmtId="0" fontId="4" fillId="0" borderId="8" xfId="0" applyFont="1" applyBorder="1"/>
    <xf numFmtId="169" fontId="20" fillId="3" borderId="14" xfId="0" applyNumberFormat="1" applyFont="1" applyFill="1" applyBorder="1" applyAlignment="1">
      <alignment horizontal="center" vertical="center" wrapText="1"/>
    </xf>
    <xf numFmtId="169" fontId="20" fillId="3" borderId="14" xfId="0" applyNumberFormat="1" applyFont="1" applyFill="1" applyBorder="1" applyAlignment="1">
      <alignment horizontal="center" vertical="center"/>
    </xf>
    <xf numFmtId="169" fontId="20" fillId="7" borderId="14" xfId="0" applyNumberFormat="1" applyFont="1" applyFill="1" applyBorder="1" applyAlignment="1">
      <alignment horizontal="center" vertical="center" wrapText="1"/>
    </xf>
    <xf numFmtId="169" fontId="20" fillId="7" borderId="14" xfId="0" applyNumberFormat="1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9" fontId="20" fillId="0" borderId="14" xfId="0" applyNumberFormat="1" applyFont="1" applyBorder="1" applyAlignment="1">
      <alignment horizontal="center" vertical="center"/>
    </xf>
    <xf numFmtId="9" fontId="20" fillId="0" borderId="14" xfId="0" applyNumberFormat="1" applyFont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4" fillId="0" borderId="21" xfId="0" applyFont="1" applyBorder="1"/>
    <xf numFmtId="0" fontId="4" fillId="0" borderId="12" xfId="0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7" xfId="0" applyFont="1" applyBorder="1"/>
    <xf numFmtId="169" fontId="21" fillId="0" borderId="14" xfId="0" applyNumberFormat="1" applyFont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167" fontId="20" fillId="3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0" fontId="25" fillId="0" borderId="17" xfId="0" applyFont="1" applyBorder="1" applyAlignment="1">
      <alignment horizontal="left" vertical="center" wrapText="1"/>
    </xf>
    <xf numFmtId="167" fontId="20" fillId="7" borderId="14" xfId="0" applyNumberFormat="1" applyFont="1" applyFill="1" applyBorder="1" applyAlignment="1">
      <alignment horizontal="center" vertical="center"/>
    </xf>
    <xf numFmtId="1" fontId="20" fillId="3" borderId="14" xfId="0" applyNumberFormat="1" applyFont="1" applyFill="1" applyBorder="1" applyAlignment="1">
      <alignment horizontal="center" vertical="center"/>
    </xf>
    <xf numFmtId="167" fontId="6" fillId="0" borderId="14" xfId="0" applyNumberFormat="1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22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169" fontId="20" fillId="0" borderId="23" xfId="0" applyNumberFormat="1" applyFont="1" applyBorder="1" applyAlignment="1">
      <alignment horizontal="center" vertical="center" wrapText="1"/>
    </xf>
    <xf numFmtId="0" fontId="4" fillId="0" borderId="24" xfId="0" applyFont="1" applyBorder="1"/>
  </cellXfs>
  <cellStyles count="1">
    <cellStyle name="Normal" xfId="0" builtinId="0"/>
  </cellStyles>
  <dxfs count="2">
    <dxf>
      <font>
        <color theme="1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0</xdr:row>
      <xdr:rowOff>171450</xdr:rowOff>
    </xdr:from>
    <xdr:ext cx="2524125" cy="2181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57ABEC13-C318-064D-B3D4-12B382E9EE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0" y="171450"/>
          <a:ext cx="2524125" cy="2181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B211-EDE5-8448-82AB-2205998231E0}">
  <sheetPr>
    <pageSetUpPr fitToPage="1"/>
  </sheetPr>
  <dimension ref="A1:J1009"/>
  <sheetViews>
    <sheetView tabSelected="1" workbookViewId="0">
      <pane ySplit="11" topLeftCell="A144" activePane="bottomLeft" state="frozen"/>
      <selection pane="bottomLeft" activeCell="J150" sqref="J150"/>
    </sheetView>
  </sheetViews>
  <sheetFormatPr baseColWidth="10" defaultColWidth="11.1640625" defaultRowHeight="15" customHeight="1"/>
  <cols>
    <col min="1" max="1" width="15" customWidth="1"/>
    <col min="2" max="2" width="30.83203125" customWidth="1"/>
    <col min="3" max="3" width="54.83203125" customWidth="1"/>
    <col min="4" max="4" width="24.6640625" customWidth="1"/>
    <col min="5" max="5" width="17.6640625" customWidth="1"/>
    <col min="6" max="6" width="16.83203125" customWidth="1"/>
    <col min="7" max="7" width="20.1640625" customWidth="1"/>
    <col min="8" max="9" width="20.5" customWidth="1"/>
    <col min="10" max="10" width="20.6640625" customWidth="1"/>
  </cols>
  <sheetData>
    <row r="1" spans="1:10" ht="21" customHeight="1">
      <c r="A1" s="78" t="str">
        <f>UPPER("Cotizacion"&amp;" "&amp;D5&amp;" - "&amp;D4)</f>
        <v>COTIZACION DETECCION DE INCENDIOS TORRES DE PORTOBELO - PCT.AR2606-1513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ht="21" customHeight="1">
      <c r="A2" s="4"/>
      <c r="B2" s="5"/>
      <c r="C2" s="64" t="s">
        <v>0</v>
      </c>
      <c r="D2" s="65"/>
      <c r="E2" s="65"/>
      <c r="F2" s="65"/>
      <c r="G2" s="65"/>
      <c r="H2" s="65"/>
      <c r="I2" s="65"/>
      <c r="J2" s="66"/>
    </row>
    <row r="3" spans="1:10" ht="21" customHeight="1">
      <c r="A3" s="6"/>
      <c r="B3" s="3"/>
      <c r="C3" s="67"/>
      <c r="D3" s="67"/>
      <c r="E3" s="67"/>
      <c r="F3" s="67"/>
      <c r="G3" s="67"/>
      <c r="H3" s="67"/>
      <c r="I3" s="67"/>
      <c r="J3" s="68"/>
    </row>
    <row r="4" spans="1:10" ht="21" customHeight="1">
      <c r="A4" s="7"/>
      <c r="B4" s="8"/>
      <c r="C4" s="9" t="s">
        <v>1</v>
      </c>
      <c r="D4" s="69" t="s">
        <v>2</v>
      </c>
      <c r="E4" s="70"/>
      <c r="F4" s="70"/>
      <c r="G4" s="70"/>
      <c r="H4" s="9" t="s">
        <v>3</v>
      </c>
      <c r="I4" s="71"/>
      <c r="J4" s="72"/>
    </row>
    <row r="5" spans="1:10" ht="21" customHeight="1">
      <c r="A5" s="6"/>
      <c r="B5" s="3"/>
      <c r="C5" s="10" t="s">
        <v>4</v>
      </c>
      <c r="D5" s="69" t="s">
        <v>5</v>
      </c>
      <c r="E5" s="70"/>
      <c r="F5" s="70"/>
      <c r="G5" s="70"/>
      <c r="H5" s="10" t="s">
        <v>6</v>
      </c>
      <c r="I5" s="71"/>
      <c r="J5" s="72"/>
    </row>
    <row r="6" spans="1:10" ht="21" customHeight="1">
      <c r="A6" s="6"/>
      <c r="B6" s="3"/>
      <c r="C6" s="10" t="s">
        <v>7</v>
      </c>
      <c r="D6" s="73">
        <f ca="1">TODAY()</f>
        <v>46312</v>
      </c>
      <c r="E6" s="70"/>
      <c r="F6" s="70"/>
      <c r="G6" s="70"/>
      <c r="H6" s="10" t="s">
        <v>8</v>
      </c>
      <c r="I6" s="71" t="s">
        <v>9</v>
      </c>
      <c r="J6" s="72"/>
    </row>
    <row r="7" spans="1:10" ht="21" customHeight="1">
      <c r="A7" s="6"/>
      <c r="B7" s="3"/>
      <c r="C7" s="10" t="s">
        <v>10</v>
      </c>
      <c r="D7" s="73">
        <f ca="1">D6+5</f>
        <v>46317</v>
      </c>
      <c r="E7" s="70"/>
      <c r="F7" s="70"/>
      <c r="G7" s="70"/>
      <c r="H7" s="11" t="s">
        <v>11</v>
      </c>
      <c r="I7" s="71"/>
      <c r="J7" s="72"/>
    </row>
    <row r="8" spans="1:10" ht="21" customHeight="1">
      <c r="A8" s="6"/>
      <c r="B8" s="3"/>
      <c r="C8" s="9" t="s">
        <v>12</v>
      </c>
      <c r="D8" s="69" t="str">
        <f>D4</f>
        <v>PCT.AR2606-1513</v>
      </c>
      <c r="E8" s="70"/>
      <c r="F8" s="70"/>
      <c r="G8" s="70"/>
      <c r="H8" s="9" t="s">
        <v>13</v>
      </c>
      <c r="I8" s="71" t="s">
        <v>14</v>
      </c>
      <c r="J8" s="72"/>
    </row>
    <row r="9" spans="1:10" ht="21" customHeight="1">
      <c r="A9" s="6"/>
      <c r="B9" s="3"/>
      <c r="C9" s="12"/>
      <c r="D9" s="13"/>
      <c r="E9" s="13"/>
      <c r="F9" s="13"/>
      <c r="G9" s="13"/>
      <c r="H9" s="12"/>
      <c r="I9" s="13"/>
      <c r="J9" s="14"/>
    </row>
    <row r="10" spans="1:10" ht="15.75" customHeight="1">
      <c r="A10" s="74" t="s">
        <v>15</v>
      </c>
      <c r="B10" s="75"/>
      <c r="C10" s="75"/>
      <c r="D10" s="75"/>
      <c r="E10" s="75"/>
      <c r="F10" s="75"/>
      <c r="G10" s="75"/>
      <c r="H10" s="75"/>
      <c r="I10" s="75"/>
      <c r="J10" s="76"/>
    </row>
    <row r="11" spans="1:10" ht="36">
      <c r="A11" s="15" t="s">
        <v>16</v>
      </c>
      <c r="B11" s="16" t="s">
        <v>17</v>
      </c>
      <c r="C11" s="16" t="s">
        <v>18</v>
      </c>
      <c r="D11" s="16" t="s">
        <v>19</v>
      </c>
      <c r="E11" s="16" t="s">
        <v>20</v>
      </c>
      <c r="F11" s="17" t="s">
        <v>21</v>
      </c>
      <c r="G11" s="16" t="s">
        <v>22</v>
      </c>
      <c r="H11" s="17" t="s">
        <v>23</v>
      </c>
      <c r="I11" s="17" t="s">
        <v>24</v>
      </c>
      <c r="J11" s="18" t="s">
        <v>25</v>
      </c>
    </row>
    <row r="12" spans="1:10" ht="17">
      <c r="A12" s="77" t="s">
        <v>26</v>
      </c>
      <c r="B12" s="75"/>
      <c r="C12" s="75"/>
      <c r="D12" s="75"/>
      <c r="E12" s="75"/>
      <c r="F12" s="75"/>
      <c r="G12" s="75"/>
      <c r="H12" s="75"/>
      <c r="I12" s="75"/>
      <c r="J12" s="76"/>
    </row>
    <row r="13" spans="1:10" ht="36">
      <c r="A13" s="19">
        <v>1</v>
      </c>
      <c r="B13" s="20" t="s">
        <v>27</v>
      </c>
      <c r="C13" s="21" t="s">
        <v>28</v>
      </c>
      <c r="D13" s="22">
        <v>1</v>
      </c>
      <c r="E13" s="22" t="s">
        <v>29</v>
      </c>
      <c r="F13" s="22" t="s">
        <v>30</v>
      </c>
      <c r="G13" s="23" t="s">
        <v>31</v>
      </c>
      <c r="H13" s="24">
        <v>2164000</v>
      </c>
      <c r="I13" s="25">
        <v>2164000</v>
      </c>
      <c r="J13" s="21"/>
    </row>
    <row r="14" spans="1:10" ht="18">
      <c r="A14" s="19">
        <v>2</v>
      </c>
      <c r="B14" s="23" t="s">
        <v>32</v>
      </c>
      <c r="C14" s="21" t="s">
        <v>33</v>
      </c>
      <c r="D14" s="22">
        <v>2</v>
      </c>
      <c r="E14" s="22" t="s">
        <v>29</v>
      </c>
      <c r="F14" s="22" t="s">
        <v>30</v>
      </c>
      <c r="G14" s="23" t="s">
        <v>34</v>
      </c>
      <c r="H14" s="24">
        <v>53000</v>
      </c>
      <c r="I14" s="25">
        <v>106000</v>
      </c>
      <c r="J14" s="21"/>
    </row>
    <row r="15" spans="1:10" ht="36">
      <c r="A15" s="19">
        <v>3</v>
      </c>
      <c r="B15" s="20" t="s">
        <v>35</v>
      </c>
      <c r="C15" s="21" t="s">
        <v>36</v>
      </c>
      <c r="D15" s="22">
        <v>5</v>
      </c>
      <c r="E15" s="22" t="s">
        <v>29</v>
      </c>
      <c r="F15" s="22" t="s">
        <v>30</v>
      </c>
      <c r="G15" s="23" t="s">
        <v>37</v>
      </c>
      <c r="H15" s="24">
        <v>1230000</v>
      </c>
      <c r="I15" s="25">
        <v>6150000</v>
      </c>
      <c r="J15" s="21"/>
    </row>
    <row r="16" spans="1:10" ht="36">
      <c r="A16" s="19">
        <v>4</v>
      </c>
      <c r="B16" s="20" t="s">
        <v>38</v>
      </c>
      <c r="C16" s="21" t="s">
        <v>39</v>
      </c>
      <c r="D16" s="22">
        <v>5</v>
      </c>
      <c r="E16" s="22" t="s">
        <v>29</v>
      </c>
      <c r="F16" s="22" t="s">
        <v>30</v>
      </c>
      <c r="G16" s="23" t="s">
        <v>31</v>
      </c>
      <c r="H16" s="24">
        <v>100000</v>
      </c>
      <c r="I16" s="25">
        <v>500000</v>
      </c>
      <c r="J16" s="21"/>
    </row>
    <row r="17" spans="1:10" ht="18">
      <c r="A17" s="19">
        <v>5</v>
      </c>
      <c r="B17" s="26" t="s">
        <v>40</v>
      </c>
      <c r="C17" s="27" t="s">
        <v>41</v>
      </c>
      <c r="D17" s="28">
        <v>15</v>
      </c>
      <c r="E17" s="22" t="s">
        <v>29</v>
      </c>
      <c r="F17" s="22" t="s">
        <v>30</v>
      </c>
      <c r="G17" s="23" t="s">
        <v>31</v>
      </c>
      <c r="H17" s="24">
        <v>138000</v>
      </c>
      <c r="I17" s="29">
        <v>2070000</v>
      </c>
      <c r="J17" s="30"/>
    </row>
    <row r="18" spans="1:10" ht="18">
      <c r="A18" s="19">
        <v>6</v>
      </c>
      <c r="B18" s="23" t="s">
        <v>32</v>
      </c>
      <c r="C18" s="27" t="s">
        <v>33</v>
      </c>
      <c r="D18" s="28">
        <v>10</v>
      </c>
      <c r="E18" s="22" t="s">
        <v>29</v>
      </c>
      <c r="F18" s="22" t="s">
        <v>30</v>
      </c>
      <c r="G18" s="23" t="s">
        <v>34</v>
      </c>
      <c r="H18" s="24">
        <v>53000</v>
      </c>
      <c r="I18" s="29">
        <v>530000</v>
      </c>
      <c r="J18" s="30"/>
    </row>
    <row r="19" spans="1:10" ht="36">
      <c r="A19" s="19">
        <v>7</v>
      </c>
      <c r="B19" s="20" t="s">
        <v>42</v>
      </c>
      <c r="C19" s="21" t="s">
        <v>43</v>
      </c>
      <c r="D19" s="28">
        <v>75</v>
      </c>
      <c r="E19" s="22" t="s">
        <v>29</v>
      </c>
      <c r="F19" s="22" t="s">
        <v>30</v>
      </c>
      <c r="G19" s="23" t="s">
        <v>31</v>
      </c>
      <c r="H19" s="24">
        <v>88000</v>
      </c>
      <c r="I19" s="25">
        <v>6600000</v>
      </c>
      <c r="J19" s="21"/>
    </row>
    <row r="20" spans="1:10" ht="36">
      <c r="A20" s="19">
        <v>8</v>
      </c>
      <c r="B20" s="20" t="s">
        <v>44</v>
      </c>
      <c r="C20" s="27" t="s">
        <v>45</v>
      </c>
      <c r="D20" s="28">
        <v>75</v>
      </c>
      <c r="E20" s="22" t="s">
        <v>29</v>
      </c>
      <c r="F20" s="22" t="s">
        <v>30</v>
      </c>
      <c r="G20" s="23" t="s">
        <v>31</v>
      </c>
      <c r="H20" s="24">
        <v>9000</v>
      </c>
      <c r="I20" s="29">
        <v>675000</v>
      </c>
      <c r="J20" s="30"/>
    </row>
    <row r="21" spans="1:10" ht="36">
      <c r="A21" s="19">
        <v>9</v>
      </c>
      <c r="B21" s="26" t="s">
        <v>46</v>
      </c>
      <c r="C21" s="27" t="s">
        <v>47</v>
      </c>
      <c r="D21" s="28">
        <v>15</v>
      </c>
      <c r="E21" s="22" t="s">
        <v>29</v>
      </c>
      <c r="F21" s="22" t="s">
        <v>30</v>
      </c>
      <c r="G21" s="23" t="s">
        <v>31</v>
      </c>
      <c r="H21" s="24">
        <v>104000</v>
      </c>
      <c r="I21" s="29">
        <v>1560000</v>
      </c>
      <c r="J21" s="30"/>
    </row>
    <row r="22" spans="1:10" ht="36">
      <c r="A22" s="19">
        <v>10</v>
      </c>
      <c r="B22" s="20" t="s">
        <v>48</v>
      </c>
      <c r="C22" s="31" t="s">
        <v>49</v>
      </c>
      <c r="D22" s="22">
        <v>15</v>
      </c>
      <c r="E22" s="22" t="s">
        <v>29</v>
      </c>
      <c r="F22" s="22" t="s">
        <v>30</v>
      </c>
      <c r="G22" s="23" t="s">
        <v>50</v>
      </c>
      <c r="H22" s="24">
        <v>106000</v>
      </c>
      <c r="I22" s="25">
        <v>1590000</v>
      </c>
      <c r="J22" s="21"/>
    </row>
    <row r="23" spans="1:10" ht="18">
      <c r="A23" s="19">
        <v>11</v>
      </c>
      <c r="B23" s="23" t="s">
        <v>51</v>
      </c>
      <c r="C23" s="31" t="s">
        <v>52</v>
      </c>
      <c r="D23" s="22">
        <v>75</v>
      </c>
      <c r="E23" s="22" t="s">
        <v>29</v>
      </c>
      <c r="F23" s="22" t="s">
        <v>30</v>
      </c>
      <c r="G23" s="23" t="s">
        <v>53</v>
      </c>
      <c r="H23" s="24">
        <v>42000</v>
      </c>
      <c r="I23" s="25">
        <v>3150000</v>
      </c>
      <c r="J23" s="21"/>
    </row>
    <row r="24" spans="1:10" ht="18">
      <c r="A24" s="19">
        <v>12</v>
      </c>
      <c r="B24" s="23">
        <v>43061104</v>
      </c>
      <c r="C24" s="31" t="s">
        <v>54</v>
      </c>
      <c r="D24" s="22">
        <v>500</v>
      </c>
      <c r="E24" s="22" t="s">
        <v>55</v>
      </c>
      <c r="F24" s="22" t="s">
        <v>30</v>
      </c>
      <c r="G24" s="23" t="s">
        <v>56</v>
      </c>
      <c r="H24" s="24">
        <v>1900</v>
      </c>
      <c r="I24" s="25">
        <v>950000</v>
      </c>
      <c r="J24" s="21"/>
    </row>
    <row r="25" spans="1:10" ht="18">
      <c r="A25" s="19">
        <v>13</v>
      </c>
      <c r="B25" s="23">
        <v>43111104</v>
      </c>
      <c r="C25" s="31" t="s">
        <v>57</v>
      </c>
      <c r="D25" s="22">
        <v>500</v>
      </c>
      <c r="E25" s="22" t="s">
        <v>55</v>
      </c>
      <c r="F25" s="22" t="s">
        <v>30</v>
      </c>
      <c r="G25" s="23" t="s">
        <v>56</v>
      </c>
      <c r="H25" s="24">
        <v>2800</v>
      </c>
      <c r="I25" s="25">
        <v>1400000</v>
      </c>
      <c r="J25" s="21"/>
    </row>
    <row r="26" spans="1:10" ht="36">
      <c r="A26" s="19">
        <v>14</v>
      </c>
      <c r="B26" s="23" t="s">
        <v>58</v>
      </c>
      <c r="C26" s="31" t="s">
        <v>59</v>
      </c>
      <c r="D26" s="22">
        <v>300</v>
      </c>
      <c r="E26" s="22" t="s">
        <v>29</v>
      </c>
      <c r="F26" s="22" t="s">
        <v>30</v>
      </c>
      <c r="G26" s="23" t="s">
        <v>50</v>
      </c>
      <c r="H26" s="24">
        <v>15000</v>
      </c>
      <c r="I26" s="25">
        <v>4500000</v>
      </c>
      <c r="J26" s="21"/>
    </row>
    <row r="27" spans="1:10" ht="17">
      <c r="A27" s="77" t="s">
        <v>60</v>
      </c>
      <c r="B27" s="75"/>
      <c r="C27" s="75"/>
      <c r="D27" s="75"/>
      <c r="E27" s="75"/>
      <c r="F27" s="75"/>
      <c r="G27" s="75"/>
      <c r="H27" s="75"/>
      <c r="I27" s="75"/>
      <c r="J27" s="76"/>
    </row>
    <row r="28" spans="1:10" ht="36">
      <c r="A28" s="19">
        <v>15</v>
      </c>
      <c r="B28" s="23" t="s">
        <v>61</v>
      </c>
      <c r="C28" s="21" t="s">
        <v>28</v>
      </c>
      <c r="D28" s="22">
        <v>1</v>
      </c>
      <c r="E28" s="22" t="s">
        <v>29</v>
      </c>
      <c r="F28" s="22" t="s">
        <v>62</v>
      </c>
      <c r="G28" s="23" t="s">
        <v>63</v>
      </c>
      <c r="H28" s="24">
        <v>2772000</v>
      </c>
      <c r="I28" s="25">
        <v>2772000</v>
      </c>
      <c r="J28" s="21"/>
    </row>
    <row r="29" spans="1:10" ht="18">
      <c r="A29" s="19">
        <v>16</v>
      </c>
      <c r="B29" s="23" t="s">
        <v>61</v>
      </c>
      <c r="C29" s="21" t="s">
        <v>33</v>
      </c>
      <c r="D29" s="22">
        <v>2</v>
      </c>
      <c r="E29" s="22" t="s">
        <v>29</v>
      </c>
      <c r="F29" s="22" t="s">
        <v>62</v>
      </c>
      <c r="G29" s="23" t="s">
        <v>63</v>
      </c>
      <c r="H29" s="24">
        <v>15000</v>
      </c>
      <c r="I29" s="25">
        <v>30000</v>
      </c>
      <c r="J29" s="21"/>
    </row>
    <row r="30" spans="1:10" ht="36">
      <c r="A30" s="19">
        <v>17</v>
      </c>
      <c r="B30" s="23" t="s">
        <v>61</v>
      </c>
      <c r="C30" s="21" t="s">
        <v>36</v>
      </c>
      <c r="D30" s="22">
        <v>5</v>
      </c>
      <c r="E30" s="22" t="s">
        <v>29</v>
      </c>
      <c r="F30" s="22" t="s">
        <v>62</v>
      </c>
      <c r="G30" s="23" t="s">
        <v>63</v>
      </c>
      <c r="H30" s="24">
        <v>129000</v>
      </c>
      <c r="I30" s="25">
        <v>645000</v>
      </c>
      <c r="J30" s="21"/>
    </row>
    <row r="31" spans="1:10" ht="36">
      <c r="A31" s="19">
        <v>18</v>
      </c>
      <c r="B31" s="23" t="s">
        <v>61</v>
      </c>
      <c r="C31" s="21" t="s">
        <v>39</v>
      </c>
      <c r="D31" s="22">
        <v>5</v>
      </c>
      <c r="E31" s="22" t="s">
        <v>29</v>
      </c>
      <c r="F31" s="22" t="s">
        <v>62</v>
      </c>
      <c r="G31" s="23" t="s">
        <v>63</v>
      </c>
      <c r="H31" s="24">
        <v>22000</v>
      </c>
      <c r="I31" s="25">
        <v>110000</v>
      </c>
      <c r="J31" s="21"/>
    </row>
    <row r="32" spans="1:10" ht="18">
      <c r="A32" s="19">
        <v>19</v>
      </c>
      <c r="B32" s="23" t="s">
        <v>61</v>
      </c>
      <c r="C32" s="27" t="s">
        <v>41</v>
      </c>
      <c r="D32" s="28">
        <v>15</v>
      </c>
      <c r="E32" s="22" t="s">
        <v>29</v>
      </c>
      <c r="F32" s="22" t="s">
        <v>62</v>
      </c>
      <c r="G32" s="23" t="s">
        <v>63</v>
      </c>
      <c r="H32" s="24">
        <v>22000</v>
      </c>
      <c r="I32" s="25">
        <v>330000</v>
      </c>
      <c r="J32" s="21"/>
    </row>
    <row r="33" spans="1:10" ht="18">
      <c r="A33" s="19">
        <v>20</v>
      </c>
      <c r="B33" s="23" t="s">
        <v>61</v>
      </c>
      <c r="C33" s="27" t="s">
        <v>33</v>
      </c>
      <c r="D33" s="28">
        <v>10</v>
      </c>
      <c r="E33" s="22" t="s">
        <v>29</v>
      </c>
      <c r="F33" s="22" t="s">
        <v>62</v>
      </c>
      <c r="G33" s="23" t="s">
        <v>63</v>
      </c>
      <c r="H33" s="24">
        <v>15000</v>
      </c>
      <c r="I33" s="25">
        <v>150000</v>
      </c>
      <c r="J33" s="21"/>
    </row>
    <row r="34" spans="1:10" ht="36">
      <c r="A34" s="19">
        <v>21</v>
      </c>
      <c r="B34" s="23" t="s">
        <v>61</v>
      </c>
      <c r="C34" s="21" t="s">
        <v>43</v>
      </c>
      <c r="D34" s="28">
        <v>75</v>
      </c>
      <c r="E34" s="22" t="s">
        <v>29</v>
      </c>
      <c r="F34" s="22" t="s">
        <v>62</v>
      </c>
      <c r="G34" s="23" t="s">
        <v>63</v>
      </c>
      <c r="H34" s="24">
        <v>22000</v>
      </c>
      <c r="I34" s="24">
        <v>1650000</v>
      </c>
      <c r="J34" s="21"/>
    </row>
    <row r="35" spans="1:10" ht="36">
      <c r="A35" s="19">
        <v>22</v>
      </c>
      <c r="B35" s="23" t="s">
        <v>61</v>
      </c>
      <c r="C35" s="27" t="s">
        <v>45</v>
      </c>
      <c r="D35" s="28">
        <v>75</v>
      </c>
      <c r="E35" s="22" t="s">
        <v>29</v>
      </c>
      <c r="F35" s="22" t="s">
        <v>62</v>
      </c>
      <c r="G35" s="23" t="s">
        <v>63</v>
      </c>
      <c r="H35" s="24">
        <v>22000</v>
      </c>
      <c r="I35" s="24">
        <v>1650000</v>
      </c>
      <c r="J35" s="21"/>
    </row>
    <row r="36" spans="1:10" ht="36">
      <c r="A36" s="19">
        <v>23</v>
      </c>
      <c r="B36" s="23" t="s">
        <v>61</v>
      </c>
      <c r="C36" s="27" t="s">
        <v>47</v>
      </c>
      <c r="D36" s="28">
        <v>15</v>
      </c>
      <c r="E36" s="22" t="s">
        <v>29</v>
      </c>
      <c r="F36" s="22" t="s">
        <v>62</v>
      </c>
      <c r="G36" s="23" t="s">
        <v>63</v>
      </c>
      <c r="H36" s="24">
        <v>22000</v>
      </c>
      <c r="I36" s="24">
        <v>330000</v>
      </c>
      <c r="J36" s="21"/>
    </row>
    <row r="37" spans="1:10" ht="36">
      <c r="A37" s="19">
        <v>24</v>
      </c>
      <c r="B37" s="23" t="s">
        <v>61</v>
      </c>
      <c r="C37" s="31" t="s">
        <v>49</v>
      </c>
      <c r="D37" s="22">
        <v>15</v>
      </c>
      <c r="E37" s="22" t="s">
        <v>29</v>
      </c>
      <c r="F37" s="22" t="s">
        <v>62</v>
      </c>
      <c r="G37" s="23" t="s">
        <v>63</v>
      </c>
      <c r="H37" s="24">
        <v>22000</v>
      </c>
      <c r="I37" s="24">
        <v>330000</v>
      </c>
      <c r="J37" s="21"/>
    </row>
    <row r="38" spans="1:10" ht="18">
      <c r="A38" s="19">
        <v>25</v>
      </c>
      <c r="B38" s="23" t="s">
        <v>61</v>
      </c>
      <c r="C38" s="31" t="s">
        <v>52</v>
      </c>
      <c r="D38" s="22">
        <v>75</v>
      </c>
      <c r="E38" s="22" t="s">
        <v>29</v>
      </c>
      <c r="F38" s="22" t="s">
        <v>62</v>
      </c>
      <c r="G38" s="23" t="s">
        <v>63</v>
      </c>
      <c r="H38" s="24">
        <v>22000</v>
      </c>
      <c r="I38" s="25">
        <v>1650000</v>
      </c>
      <c r="J38" s="21"/>
    </row>
    <row r="39" spans="1:10" ht="18">
      <c r="A39" s="19">
        <v>26</v>
      </c>
      <c r="B39" s="23" t="s">
        <v>61</v>
      </c>
      <c r="C39" s="31" t="s">
        <v>54</v>
      </c>
      <c r="D39" s="22">
        <v>500</v>
      </c>
      <c r="E39" s="22" t="s">
        <v>55</v>
      </c>
      <c r="F39" s="22" t="s">
        <v>62</v>
      </c>
      <c r="G39" s="23" t="s">
        <v>63</v>
      </c>
      <c r="H39" s="24">
        <v>2000</v>
      </c>
      <c r="I39" s="25">
        <v>1000000</v>
      </c>
      <c r="J39" s="21"/>
    </row>
    <row r="40" spans="1:10" ht="18">
      <c r="A40" s="19">
        <v>27</v>
      </c>
      <c r="B40" s="23" t="s">
        <v>61</v>
      </c>
      <c r="C40" s="31" t="s">
        <v>57</v>
      </c>
      <c r="D40" s="22">
        <v>500</v>
      </c>
      <c r="E40" s="22" t="s">
        <v>55</v>
      </c>
      <c r="F40" s="22" t="s">
        <v>62</v>
      </c>
      <c r="G40" s="23" t="s">
        <v>63</v>
      </c>
      <c r="H40" s="24">
        <v>2000</v>
      </c>
      <c r="I40" s="25">
        <v>1000000</v>
      </c>
      <c r="J40" s="21"/>
    </row>
    <row r="41" spans="1:10" ht="36">
      <c r="A41" s="19">
        <v>28</v>
      </c>
      <c r="B41" s="23" t="s">
        <v>61</v>
      </c>
      <c r="C41" s="31" t="s">
        <v>59</v>
      </c>
      <c r="D41" s="22">
        <v>300</v>
      </c>
      <c r="E41" s="22" t="s">
        <v>29</v>
      </c>
      <c r="F41" s="22" t="s">
        <v>62</v>
      </c>
      <c r="G41" s="23" t="s">
        <v>63</v>
      </c>
      <c r="H41" s="24">
        <v>22000</v>
      </c>
      <c r="I41" s="25">
        <v>6600000</v>
      </c>
      <c r="J41" s="21"/>
    </row>
    <row r="42" spans="1:10" ht="17" hidden="1">
      <c r="A42" s="19">
        <v>31</v>
      </c>
      <c r="B42" s="23"/>
      <c r="C42" s="31"/>
      <c r="D42" s="22"/>
      <c r="E42" s="22"/>
      <c r="F42" s="22"/>
      <c r="G42" s="23"/>
      <c r="H4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2" s="25" t="e">
        <f t="shared" ref="I42:I141" si="0">H42*D42</f>
        <v>#REF!</v>
      </c>
      <c r="J42" s="21"/>
    </row>
    <row r="43" spans="1:10" ht="17" hidden="1">
      <c r="A43" s="19">
        <v>32</v>
      </c>
      <c r="B43" s="23"/>
      <c r="C43" s="31"/>
      <c r="D43" s="22"/>
      <c r="E43" s="22"/>
      <c r="F43" s="22"/>
      <c r="G43" s="23"/>
      <c r="H4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3" s="25" t="e">
        <f t="shared" si="0"/>
        <v>#REF!</v>
      </c>
      <c r="J43" s="21"/>
    </row>
    <row r="44" spans="1:10" ht="17" hidden="1">
      <c r="A44" s="19">
        <v>33</v>
      </c>
      <c r="B44" s="32"/>
      <c r="C44" s="21"/>
      <c r="D44" s="22"/>
      <c r="E44" s="22"/>
      <c r="F44" s="22"/>
      <c r="G44" s="23"/>
      <c r="H4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4" s="24" t="e">
        <f t="shared" si="0"/>
        <v>#REF!</v>
      </c>
      <c r="J44" s="33"/>
    </row>
    <row r="45" spans="1:10" ht="17" hidden="1">
      <c r="A45" s="19">
        <v>34</v>
      </c>
      <c r="B45" s="32"/>
      <c r="C45" s="21"/>
      <c r="D45" s="22"/>
      <c r="E45" s="22"/>
      <c r="F45" s="22"/>
      <c r="G45" s="32"/>
      <c r="H4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5" s="24" t="e">
        <f t="shared" si="0"/>
        <v>#REF!</v>
      </c>
      <c r="J45" s="34"/>
    </row>
    <row r="46" spans="1:10" ht="17" hidden="1">
      <c r="A46" s="19">
        <v>35</v>
      </c>
      <c r="B46" s="32"/>
      <c r="C46" s="21"/>
      <c r="D46" s="22"/>
      <c r="E46" s="22"/>
      <c r="F46" s="22"/>
      <c r="G46" s="32"/>
      <c r="H4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6" s="24" t="e">
        <f t="shared" si="0"/>
        <v>#REF!</v>
      </c>
      <c r="J46" s="34"/>
    </row>
    <row r="47" spans="1:10" ht="17" hidden="1">
      <c r="A47" s="19">
        <v>36</v>
      </c>
      <c r="B47" s="32"/>
      <c r="C47" s="21"/>
      <c r="D47" s="22"/>
      <c r="E47" s="22"/>
      <c r="F47" s="22"/>
      <c r="G47" s="32"/>
      <c r="H4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7" s="24" t="e">
        <f t="shared" si="0"/>
        <v>#REF!</v>
      </c>
      <c r="J47" s="34"/>
    </row>
    <row r="48" spans="1:10" ht="17" hidden="1">
      <c r="A48" s="19">
        <v>37</v>
      </c>
      <c r="B48" s="35"/>
      <c r="C48" s="21"/>
      <c r="D48" s="22"/>
      <c r="E48" s="22"/>
      <c r="F48" s="22"/>
      <c r="G48" s="32"/>
      <c r="H4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8" s="24" t="e">
        <f t="shared" si="0"/>
        <v>#REF!</v>
      </c>
      <c r="J48" s="36"/>
    </row>
    <row r="49" spans="1:10" ht="17" hidden="1">
      <c r="A49" s="19">
        <v>38</v>
      </c>
      <c r="B49" s="35"/>
      <c r="C49" s="21"/>
      <c r="D49" s="22"/>
      <c r="E49" s="22"/>
      <c r="F49" s="22"/>
      <c r="G49" s="32"/>
      <c r="H4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49" s="24" t="e">
        <f t="shared" si="0"/>
        <v>#REF!</v>
      </c>
      <c r="J49" s="36"/>
    </row>
    <row r="50" spans="1:10" ht="17" hidden="1">
      <c r="A50" s="19">
        <v>39</v>
      </c>
      <c r="B50" s="32"/>
      <c r="C50" s="21"/>
      <c r="D50" s="22"/>
      <c r="E50" s="22"/>
      <c r="F50" s="22"/>
      <c r="G50" s="32"/>
      <c r="H5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0" s="24" t="e">
        <f t="shared" si="0"/>
        <v>#REF!</v>
      </c>
      <c r="J50" s="34"/>
    </row>
    <row r="51" spans="1:10" ht="17" hidden="1">
      <c r="A51" s="19">
        <v>40</v>
      </c>
      <c r="B51" s="32"/>
      <c r="C51" s="21"/>
      <c r="D51" s="22"/>
      <c r="E51" s="22"/>
      <c r="F51" s="22"/>
      <c r="G51" s="32"/>
      <c r="H5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1" s="24" t="e">
        <f t="shared" si="0"/>
        <v>#REF!</v>
      </c>
      <c r="J51" s="34"/>
    </row>
    <row r="52" spans="1:10" ht="17" hidden="1">
      <c r="A52" s="19">
        <v>41</v>
      </c>
      <c r="B52" s="32"/>
      <c r="C52" s="37"/>
      <c r="D52" s="22"/>
      <c r="E52" s="22"/>
      <c r="F52" s="22"/>
      <c r="G52" s="32"/>
      <c r="H5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2" s="24" t="e">
        <f t="shared" si="0"/>
        <v>#REF!</v>
      </c>
      <c r="J52" s="34"/>
    </row>
    <row r="53" spans="1:10" ht="17" hidden="1">
      <c r="A53" s="19">
        <v>42</v>
      </c>
      <c r="B53" s="32"/>
      <c r="C53" s="21"/>
      <c r="D53" s="22"/>
      <c r="E53" s="22"/>
      <c r="F53" s="22"/>
      <c r="G53" s="38"/>
      <c r="H5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3" s="24" t="e">
        <f t="shared" si="0"/>
        <v>#REF!</v>
      </c>
      <c r="J53" s="34"/>
    </row>
    <row r="54" spans="1:10" ht="17" hidden="1">
      <c r="A54" s="19">
        <v>43</v>
      </c>
      <c r="B54" s="32"/>
      <c r="C54" s="21"/>
      <c r="D54" s="22"/>
      <c r="E54" s="22"/>
      <c r="F54" s="22"/>
      <c r="G54" s="38"/>
      <c r="H5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4" s="24" t="e">
        <f t="shared" si="0"/>
        <v>#REF!</v>
      </c>
      <c r="J54" s="34"/>
    </row>
    <row r="55" spans="1:10" ht="17" hidden="1">
      <c r="A55" s="19">
        <v>44</v>
      </c>
      <c r="B55" s="39"/>
      <c r="C55" s="21"/>
      <c r="D55" s="22"/>
      <c r="E55" s="22"/>
      <c r="F55" s="40"/>
      <c r="G55" s="40"/>
      <c r="H5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5" s="24" t="e">
        <f t="shared" si="0"/>
        <v>#REF!</v>
      </c>
      <c r="J55" s="41"/>
    </row>
    <row r="56" spans="1:10" ht="17" hidden="1">
      <c r="A56" s="19">
        <v>45</v>
      </c>
      <c r="B56" s="42"/>
      <c r="C56" s="21"/>
      <c r="D56" s="38"/>
      <c r="E56" s="38"/>
      <c r="F56" s="40"/>
      <c r="G56" s="40"/>
      <c r="H5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6" s="24" t="e">
        <f t="shared" si="0"/>
        <v>#REF!</v>
      </c>
      <c r="J56" s="41"/>
    </row>
    <row r="57" spans="1:10" ht="17" hidden="1">
      <c r="A57" s="19">
        <v>46</v>
      </c>
      <c r="B57" s="42"/>
      <c r="C57" s="21"/>
      <c r="D57" s="38"/>
      <c r="E57" s="38"/>
      <c r="F57" s="40"/>
      <c r="G57" s="40"/>
      <c r="H5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7" s="24" t="e">
        <f t="shared" si="0"/>
        <v>#REF!</v>
      </c>
      <c r="J57" s="41"/>
    </row>
    <row r="58" spans="1:10" ht="17" hidden="1">
      <c r="A58" s="19">
        <v>47</v>
      </c>
      <c r="B58" s="32"/>
      <c r="C58" s="21"/>
      <c r="D58" s="38"/>
      <c r="E58" s="38"/>
      <c r="F58" s="40"/>
      <c r="G58" s="40"/>
      <c r="H5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8" s="24" t="e">
        <f t="shared" si="0"/>
        <v>#REF!</v>
      </c>
      <c r="J58" s="34"/>
    </row>
    <row r="59" spans="1:10" ht="17" hidden="1">
      <c r="A59" s="19">
        <v>48</v>
      </c>
      <c r="B59" s="32"/>
      <c r="C59" s="21"/>
      <c r="D59" s="38"/>
      <c r="E59" s="38"/>
      <c r="F59" s="22"/>
      <c r="G59" s="40"/>
      <c r="H5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59" s="24" t="e">
        <f t="shared" si="0"/>
        <v>#REF!</v>
      </c>
      <c r="J59" s="34"/>
    </row>
    <row r="60" spans="1:10" ht="17" hidden="1">
      <c r="A60" s="19">
        <v>49</v>
      </c>
      <c r="B60" s="32"/>
      <c r="C60" s="21"/>
      <c r="D60" s="38"/>
      <c r="E60" s="38"/>
      <c r="F60" s="22"/>
      <c r="G60" s="40"/>
      <c r="H6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0" s="24" t="e">
        <f t="shared" si="0"/>
        <v>#REF!</v>
      </c>
      <c r="J60" s="34"/>
    </row>
    <row r="61" spans="1:10" ht="17" hidden="1">
      <c r="A61" s="19">
        <v>50</v>
      </c>
      <c r="B61" s="32"/>
      <c r="C61" s="21"/>
      <c r="D61" s="38"/>
      <c r="E61" s="38"/>
      <c r="F61" s="22"/>
      <c r="G61" s="32"/>
      <c r="H6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1" s="24" t="e">
        <f t="shared" si="0"/>
        <v>#REF!</v>
      </c>
      <c r="J61" s="34"/>
    </row>
    <row r="62" spans="1:10" ht="17" hidden="1">
      <c r="A62" s="19">
        <v>51</v>
      </c>
      <c r="B62" s="32"/>
      <c r="C62" s="21"/>
      <c r="D62" s="40"/>
      <c r="E62" s="38"/>
      <c r="F62" s="22"/>
      <c r="G62" s="32"/>
      <c r="H6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2" s="24" t="e">
        <f t="shared" si="0"/>
        <v>#REF!</v>
      </c>
      <c r="J62" s="34"/>
    </row>
    <row r="63" spans="1:10" ht="17" hidden="1">
      <c r="A63" s="19">
        <v>52</v>
      </c>
      <c r="B63" s="32"/>
      <c r="C63" s="21"/>
      <c r="D63" s="40"/>
      <c r="E63" s="40"/>
      <c r="F63" s="38"/>
      <c r="G63" s="38"/>
      <c r="H6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3" s="24" t="e">
        <f t="shared" si="0"/>
        <v>#REF!</v>
      </c>
      <c r="J63" s="34"/>
    </row>
    <row r="64" spans="1:10" ht="17" hidden="1">
      <c r="A64" s="19">
        <v>53</v>
      </c>
      <c r="B64" s="39"/>
      <c r="C64" s="21"/>
      <c r="D64" s="40"/>
      <c r="E64" s="40"/>
      <c r="F64" s="38"/>
      <c r="G64" s="38"/>
      <c r="H6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4" s="24" t="e">
        <f t="shared" si="0"/>
        <v>#REF!</v>
      </c>
      <c r="J64" s="41"/>
    </row>
    <row r="65" spans="1:10" ht="17" hidden="1">
      <c r="A65" s="19">
        <v>54</v>
      </c>
      <c r="B65" s="32"/>
      <c r="C65" s="21"/>
      <c r="D65" s="22"/>
      <c r="E65" s="22"/>
      <c r="F65" s="22"/>
      <c r="G65" s="32"/>
      <c r="H6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5" s="24" t="e">
        <f t="shared" si="0"/>
        <v>#REF!</v>
      </c>
      <c r="J65" s="34"/>
    </row>
    <row r="66" spans="1:10" ht="17" hidden="1">
      <c r="A66" s="19">
        <v>55</v>
      </c>
      <c r="B66" s="42"/>
      <c r="C66" s="21"/>
      <c r="D66" s="22"/>
      <c r="E66" s="22"/>
      <c r="F66" s="42"/>
      <c r="G66" s="42"/>
      <c r="H6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6" s="24" t="e">
        <f t="shared" si="0"/>
        <v>#REF!</v>
      </c>
      <c r="J66" s="41"/>
    </row>
    <row r="67" spans="1:10" ht="17" hidden="1">
      <c r="A67" s="19">
        <v>56</v>
      </c>
      <c r="B67" s="32"/>
      <c r="C67" s="21"/>
      <c r="D67" s="22"/>
      <c r="E67" s="22"/>
      <c r="F67" s="22"/>
      <c r="G67" s="32"/>
      <c r="H6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7" s="24" t="e">
        <f t="shared" si="0"/>
        <v>#REF!</v>
      </c>
      <c r="J67" s="34"/>
    </row>
    <row r="68" spans="1:10" ht="17" hidden="1">
      <c r="A68" s="19">
        <v>57</v>
      </c>
      <c r="B68" s="32"/>
      <c r="C68" s="37"/>
      <c r="D68" s="22"/>
      <c r="E68" s="22"/>
      <c r="F68" s="22"/>
      <c r="G68" s="32"/>
      <c r="H6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8" s="24" t="e">
        <f t="shared" si="0"/>
        <v>#REF!</v>
      </c>
      <c r="J68" s="34"/>
    </row>
    <row r="69" spans="1:10" ht="17" hidden="1">
      <c r="A69" s="19">
        <v>58</v>
      </c>
      <c r="B69" s="32"/>
      <c r="C69" s="21"/>
      <c r="D69" s="22"/>
      <c r="E69" s="22"/>
      <c r="F69" s="22"/>
      <c r="G69" s="32"/>
      <c r="H6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69" s="24" t="e">
        <f t="shared" si="0"/>
        <v>#REF!</v>
      </c>
      <c r="J69" s="34"/>
    </row>
    <row r="70" spans="1:10" ht="17" hidden="1">
      <c r="A70" s="19">
        <v>59</v>
      </c>
      <c r="B70" s="32"/>
      <c r="C70" s="21"/>
      <c r="D70" s="22"/>
      <c r="E70" s="38"/>
      <c r="F70" s="22"/>
      <c r="G70" s="32"/>
      <c r="H7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0" s="24" t="e">
        <f t="shared" si="0"/>
        <v>#REF!</v>
      </c>
      <c r="J70" s="34"/>
    </row>
    <row r="71" spans="1:10" ht="17" hidden="1">
      <c r="A71" s="19">
        <v>60</v>
      </c>
      <c r="B71" s="32"/>
      <c r="C71" s="21"/>
      <c r="D71" s="22"/>
      <c r="E71" s="38"/>
      <c r="F71" s="22"/>
      <c r="G71" s="32"/>
      <c r="H7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1" s="24" t="e">
        <f t="shared" si="0"/>
        <v>#REF!</v>
      </c>
      <c r="J71" s="34"/>
    </row>
    <row r="72" spans="1:10" ht="17" hidden="1">
      <c r="A72" s="19">
        <v>61</v>
      </c>
      <c r="B72" s="32"/>
      <c r="C72" s="21"/>
      <c r="D72" s="22"/>
      <c r="E72" s="22"/>
      <c r="F72" s="38"/>
      <c r="G72" s="38"/>
      <c r="H7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2" s="24" t="e">
        <f t="shared" si="0"/>
        <v>#REF!</v>
      </c>
      <c r="J72" s="34"/>
    </row>
    <row r="73" spans="1:10" ht="17" hidden="1">
      <c r="A73" s="19">
        <v>62</v>
      </c>
      <c r="B73" s="32"/>
      <c r="C73" s="21"/>
      <c r="D73" s="40"/>
      <c r="E73" s="40"/>
      <c r="F73" s="22"/>
      <c r="G73" s="32"/>
      <c r="H7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3" s="24" t="e">
        <f t="shared" si="0"/>
        <v>#REF!</v>
      </c>
      <c r="J73" s="34"/>
    </row>
    <row r="74" spans="1:10" ht="17" hidden="1">
      <c r="A74" s="19">
        <v>63</v>
      </c>
      <c r="B74" s="39"/>
      <c r="C74" s="21"/>
      <c r="D74" s="22"/>
      <c r="E74" s="22"/>
      <c r="F74" s="22"/>
      <c r="G74" s="40"/>
      <c r="H7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4" s="24" t="e">
        <f t="shared" si="0"/>
        <v>#REF!</v>
      </c>
      <c r="J74" s="41"/>
    </row>
    <row r="75" spans="1:10" ht="17" hidden="1">
      <c r="A75" s="19">
        <v>64</v>
      </c>
      <c r="B75" s="32"/>
      <c r="C75" s="21"/>
      <c r="D75" s="22"/>
      <c r="E75" s="22"/>
      <c r="F75" s="22"/>
      <c r="G75" s="32"/>
      <c r="H7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5" s="24" t="e">
        <f t="shared" si="0"/>
        <v>#REF!</v>
      </c>
      <c r="J75" s="34"/>
    </row>
    <row r="76" spans="1:10" ht="17" hidden="1">
      <c r="A76" s="19">
        <v>65</v>
      </c>
      <c r="B76" s="32"/>
      <c r="C76" s="21"/>
      <c r="D76" s="22"/>
      <c r="E76" s="22"/>
      <c r="F76" s="22"/>
      <c r="G76" s="32"/>
      <c r="H7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6" s="24" t="e">
        <f t="shared" si="0"/>
        <v>#REF!</v>
      </c>
      <c r="J76" s="34"/>
    </row>
    <row r="77" spans="1:10" ht="17" hidden="1">
      <c r="A77" s="19">
        <v>66</v>
      </c>
      <c r="B77" s="32"/>
      <c r="C77" s="21"/>
      <c r="D77" s="22"/>
      <c r="E77" s="22"/>
      <c r="F77" s="22"/>
      <c r="G77" s="32"/>
      <c r="H7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7" s="24" t="e">
        <f t="shared" si="0"/>
        <v>#REF!</v>
      </c>
      <c r="J77" s="34"/>
    </row>
    <row r="78" spans="1:10" ht="17" hidden="1">
      <c r="A78" s="19">
        <v>67</v>
      </c>
      <c r="B78" s="32"/>
      <c r="C78" s="21"/>
      <c r="D78" s="22"/>
      <c r="E78" s="22"/>
      <c r="F78" s="22"/>
      <c r="G78" s="32"/>
      <c r="H7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8" s="24" t="e">
        <f t="shared" si="0"/>
        <v>#REF!</v>
      </c>
      <c r="J78" s="34"/>
    </row>
    <row r="79" spans="1:10" ht="17" hidden="1">
      <c r="A79" s="19">
        <v>68</v>
      </c>
      <c r="B79" s="32"/>
      <c r="C79" s="21"/>
      <c r="D79" s="22"/>
      <c r="E79" s="22"/>
      <c r="F79" s="22"/>
      <c r="G79" s="22"/>
      <c r="H7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79" s="24" t="e">
        <f t="shared" si="0"/>
        <v>#REF!</v>
      </c>
      <c r="J79" s="34"/>
    </row>
    <row r="80" spans="1:10" ht="17" hidden="1">
      <c r="A80" s="19">
        <v>69</v>
      </c>
      <c r="B80" s="32"/>
      <c r="C80" s="21"/>
      <c r="D80" s="22"/>
      <c r="E80" s="22"/>
      <c r="F80" s="22"/>
      <c r="G80" s="22"/>
      <c r="H8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0" s="24" t="e">
        <f t="shared" si="0"/>
        <v>#REF!</v>
      </c>
      <c r="J80" s="34"/>
    </row>
    <row r="81" spans="1:10" ht="17" hidden="1">
      <c r="A81" s="19">
        <v>70</v>
      </c>
      <c r="B81" s="32"/>
      <c r="C81" s="21"/>
      <c r="D81" s="22"/>
      <c r="E81" s="22"/>
      <c r="F81" s="22"/>
      <c r="G81" s="22"/>
      <c r="H8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1" s="24" t="e">
        <f t="shared" si="0"/>
        <v>#REF!</v>
      </c>
      <c r="J81" s="34"/>
    </row>
    <row r="82" spans="1:10" ht="17" hidden="1">
      <c r="A82" s="19">
        <v>71</v>
      </c>
      <c r="B82" s="32"/>
      <c r="C82" s="21"/>
      <c r="D82" s="22"/>
      <c r="E82" s="22"/>
      <c r="F82" s="22"/>
      <c r="G82" s="22"/>
      <c r="H8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2" s="24" t="e">
        <f t="shared" si="0"/>
        <v>#REF!</v>
      </c>
      <c r="J82" s="34"/>
    </row>
    <row r="83" spans="1:10" ht="17" hidden="1">
      <c r="A83" s="19">
        <v>72</v>
      </c>
      <c r="B83" s="32"/>
      <c r="C83" s="21"/>
      <c r="D83" s="22"/>
      <c r="E83" s="22"/>
      <c r="F83" s="22"/>
      <c r="G83" s="22"/>
      <c r="H8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3" s="24" t="e">
        <f t="shared" si="0"/>
        <v>#REF!</v>
      </c>
      <c r="J83" s="34"/>
    </row>
    <row r="84" spans="1:10" ht="17" hidden="1">
      <c r="A84" s="19">
        <v>73</v>
      </c>
      <c r="B84" s="32"/>
      <c r="C84" s="21"/>
      <c r="D84" s="22"/>
      <c r="E84" s="22"/>
      <c r="F84" s="22"/>
      <c r="G84" s="32"/>
      <c r="H8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4" s="24" t="e">
        <f t="shared" si="0"/>
        <v>#REF!</v>
      </c>
      <c r="J84" s="34"/>
    </row>
    <row r="85" spans="1:10" ht="17" hidden="1">
      <c r="A85" s="19">
        <v>74</v>
      </c>
      <c r="B85" s="43"/>
      <c r="C85" s="37"/>
      <c r="D85" s="44"/>
      <c r="E85" s="44"/>
      <c r="F85" s="44"/>
      <c r="G85" s="44"/>
      <c r="H8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5" s="45" t="e">
        <f t="shared" si="0"/>
        <v>#REF!</v>
      </c>
      <c r="J85" s="46"/>
    </row>
    <row r="86" spans="1:10" ht="17" hidden="1">
      <c r="A86" s="19">
        <v>75</v>
      </c>
      <c r="B86" s="32"/>
      <c r="C86" s="21"/>
      <c r="D86" s="22"/>
      <c r="E86" s="22"/>
      <c r="F86" s="22"/>
      <c r="G86" s="32"/>
      <c r="H8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6" s="24" t="e">
        <f t="shared" si="0"/>
        <v>#REF!</v>
      </c>
      <c r="J86" s="34"/>
    </row>
    <row r="87" spans="1:10" ht="17" hidden="1">
      <c r="A87" s="19">
        <v>76</v>
      </c>
      <c r="B87" s="32"/>
      <c r="C87" s="21"/>
      <c r="D87" s="22"/>
      <c r="E87" s="22"/>
      <c r="F87" s="22"/>
      <c r="G87" s="32"/>
      <c r="H8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7" s="24" t="e">
        <f t="shared" si="0"/>
        <v>#REF!</v>
      </c>
      <c r="J87" s="34"/>
    </row>
    <row r="88" spans="1:10" ht="17" hidden="1">
      <c r="A88" s="19">
        <v>77</v>
      </c>
      <c r="B88" s="32"/>
      <c r="C88" s="21"/>
      <c r="D88" s="22"/>
      <c r="E88" s="22"/>
      <c r="F88" s="22"/>
      <c r="G88" s="32"/>
      <c r="H8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8" s="24" t="e">
        <f t="shared" si="0"/>
        <v>#REF!</v>
      </c>
      <c r="J88" s="34"/>
    </row>
    <row r="89" spans="1:10" ht="17" hidden="1">
      <c r="A89" s="19">
        <v>78</v>
      </c>
      <c r="B89" s="32"/>
      <c r="C89" s="21"/>
      <c r="D89" s="22"/>
      <c r="E89" s="22"/>
      <c r="F89" s="22"/>
      <c r="G89" s="32"/>
      <c r="H8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89" s="24" t="e">
        <f t="shared" si="0"/>
        <v>#REF!</v>
      </c>
      <c r="J89" s="34"/>
    </row>
    <row r="90" spans="1:10" ht="17" hidden="1">
      <c r="A90" s="19">
        <v>79</v>
      </c>
      <c r="B90" s="32"/>
      <c r="C90" s="21"/>
      <c r="D90" s="22"/>
      <c r="E90" s="22"/>
      <c r="F90" s="22"/>
      <c r="G90" s="32"/>
      <c r="H9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0" s="24" t="e">
        <f t="shared" si="0"/>
        <v>#REF!</v>
      </c>
      <c r="J90" s="34"/>
    </row>
    <row r="91" spans="1:10" ht="17" hidden="1">
      <c r="A91" s="19">
        <v>80</v>
      </c>
      <c r="B91" s="32"/>
      <c r="C91" s="21"/>
      <c r="D91" s="22"/>
      <c r="E91" s="22"/>
      <c r="F91" s="22"/>
      <c r="G91" s="32"/>
      <c r="H9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1" s="24" t="e">
        <f t="shared" si="0"/>
        <v>#REF!</v>
      </c>
      <c r="J91" s="34"/>
    </row>
    <row r="92" spans="1:10" ht="17" hidden="1">
      <c r="A92" s="19">
        <v>81</v>
      </c>
      <c r="B92" s="32"/>
      <c r="C92" s="21"/>
      <c r="D92" s="22"/>
      <c r="E92" s="22"/>
      <c r="F92" s="22"/>
      <c r="G92" s="32"/>
      <c r="H9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2" s="24" t="e">
        <f t="shared" si="0"/>
        <v>#REF!</v>
      </c>
      <c r="J92" s="34"/>
    </row>
    <row r="93" spans="1:10" ht="17" hidden="1">
      <c r="A93" s="19">
        <v>82</v>
      </c>
      <c r="B93" s="32"/>
      <c r="C93" s="21"/>
      <c r="D93" s="22"/>
      <c r="E93" s="22"/>
      <c r="F93" s="22"/>
      <c r="G93" s="32"/>
      <c r="H9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3" s="24" t="e">
        <f t="shared" si="0"/>
        <v>#REF!</v>
      </c>
      <c r="J93" s="34"/>
    </row>
    <row r="94" spans="1:10" ht="17" hidden="1">
      <c r="A94" s="19">
        <v>83</v>
      </c>
      <c r="B94" s="32"/>
      <c r="C94" s="21"/>
      <c r="D94" s="22"/>
      <c r="E94" s="22"/>
      <c r="F94" s="22"/>
      <c r="G94" s="32"/>
      <c r="H9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4" s="24" t="e">
        <f t="shared" si="0"/>
        <v>#REF!</v>
      </c>
      <c r="J94" s="34"/>
    </row>
    <row r="95" spans="1:10" ht="17" hidden="1">
      <c r="A95" s="19">
        <v>84</v>
      </c>
      <c r="B95" s="32"/>
      <c r="C95" s="21"/>
      <c r="D95" s="22"/>
      <c r="E95" s="22"/>
      <c r="F95" s="22"/>
      <c r="G95" s="32"/>
      <c r="H9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5" s="24" t="e">
        <f t="shared" si="0"/>
        <v>#REF!</v>
      </c>
      <c r="J95" s="34"/>
    </row>
    <row r="96" spans="1:10" ht="17" hidden="1">
      <c r="A96" s="19">
        <v>85</v>
      </c>
      <c r="B96" s="32"/>
      <c r="C96" s="21"/>
      <c r="D96" s="22"/>
      <c r="E96" s="22"/>
      <c r="F96" s="22"/>
      <c r="G96" s="32"/>
      <c r="H9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6" s="24" t="e">
        <f t="shared" si="0"/>
        <v>#REF!</v>
      </c>
      <c r="J96" s="34"/>
    </row>
    <row r="97" spans="1:10" ht="17" hidden="1">
      <c r="A97" s="19">
        <v>86</v>
      </c>
      <c r="B97" s="32"/>
      <c r="C97" s="21"/>
      <c r="D97" s="22"/>
      <c r="E97" s="22"/>
      <c r="F97" s="22"/>
      <c r="G97" s="32"/>
      <c r="H9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7" s="24" t="e">
        <f t="shared" si="0"/>
        <v>#REF!</v>
      </c>
      <c r="J97" s="34"/>
    </row>
    <row r="98" spans="1:10" ht="17" hidden="1">
      <c r="A98" s="19">
        <v>87</v>
      </c>
      <c r="B98" s="32"/>
      <c r="C98" s="21"/>
      <c r="D98" s="22"/>
      <c r="E98" s="22"/>
      <c r="F98" s="22"/>
      <c r="G98" s="32"/>
      <c r="H9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8" s="24" t="e">
        <f t="shared" si="0"/>
        <v>#REF!</v>
      </c>
      <c r="J98" s="34"/>
    </row>
    <row r="99" spans="1:10" ht="17" hidden="1">
      <c r="A99" s="19">
        <v>88</v>
      </c>
      <c r="B99" s="32"/>
      <c r="C99" s="21"/>
      <c r="D99" s="22"/>
      <c r="E99" s="22"/>
      <c r="F99" s="22"/>
      <c r="G99" s="32"/>
      <c r="H9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99" s="24" t="e">
        <f t="shared" si="0"/>
        <v>#REF!</v>
      </c>
      <c r="J99" s="34"/>
    </row>
    <row r="100" spans="1:10" ht="17" hidden="1">
      <c r="A100" s="19">
        <v>89</v>
      </c>
      <c r="B100" s="32"/>
      <c r="C100" s="21"/>
      <c r="D100" s="22"/>
      <c r="E100" s="22"/>
      <c r="F100" s="22"/>
      <c r="G100" s="32"/>
      <c r="H10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0" s="24" t="e">
        <f t="shared" si="0"/>
        <v>#REF!</v>
      </c>
      <c r="J100" s="34"/>
    </row>
    <row r="101" spans="1:10" ht="17" hidden="1">
      <c r="A101" s="19">
        <v>90</v>
      </c>
      <c r="B101" s="32"/>
      <c r="C101" s="21"/>
      <c r="D101" s="22"/>
      <c r="E101" s="22"/>
      <c r="F101" s="22"/>
      <c r="G101" s="32"/>
      <c r="H10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1" s="24" t="e">
        <f t="shared" si="0"/>
        <v>#REF!</v>
      </c>
      <c r="J101" s="34"/>
    </row>
    <row r="102" spans="1:10" ht="17" hidden="1">
      <c r="A102" s="19">
        <v>91</v>
      </c>
      <c r="B102" s="32"/>
      <c r="C102" s="21"/>
      <c r="D102" s="22"/>
      <c r="E102" s="22"/>
      <c r="F102" s="22"/>
      <c r="G102" s="32"/>
      <c r="H10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2" s="24" t="e">
        <f t="shared" si="0"/>
        <v>#REF!</v>
      </c>
      <c r="J102" s="34"/>
    </row>
    <row r="103" spans="1:10" ht="17" hidden="1">
      <c r="A103" s="19">
        <v>92</v>
      </c>
      <c r="B103" s="32"/>
      <c r="C103" s="21"/>
      <c r="D103" s="22"/>
      <c r="E103" s="22"/>
      <c r="F103" s="22"/>
      <c r="G103" s="32"/>
      <c r="H10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3" s="24" t="e">
        <f t="shared" si="0"/>
        <v>#REF!</v>
      </c>
      <c r="J103" s="34"/>
    </row>
    <row r="104" spans="1:10" ht="17" hidden="1">
      <c r="A104" s="19">
        <v>93</v>
      </c>
      <c r="B104" s="32"/>
      <c r="C104" s="21"/>
      <c r="D104" s="22"/>
      <c r="E104" s="22"/>
      <c r="F104" s="22"/>
      <c r="G104" s="32"/>
      <c r="H10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4" s="24" t="e">
        <f t="shared" si="0"/>
        <v>#REF!</v>
      </c>
      <c r="J104" s="34"/>
    </row>
    <row r="105" spans="1:10" ht="17" hidden="1">
      <c r="A105" s="19">
        <v>94</v>
      </c>
      <c r="B105" s="32"/>
      <c r="C105" s="21"/>
      <c r="D105" s="22"/>
      <c r="E105" s="22"/>
      <c r="F105" s="22"/>
      <c r="G105" s="32"/>
      <c r="H10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5" s="24" t="e">
        <f t="shared" si="0"/>
        <v>#REF!</v>
      </c>
      <c r="J105" s="34"/>
    </row>
    <row r="106" spans="1:10" ht="17" hidden="1">
      <c r="A106" s="19">
        <v>95</v>
      </c>
      <c r="B106" s="32"/>
      <c r="C106" s="21"/>
      <c r="D106" s="22"/>
      <c r="E106" s="22"/>
      <c r="F106" s="22"/>
      <c r="G106" s="32"/>
      <c r="H10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6" s="24" t="e">
        <f t="shared" si="0"/>
        <v>#REF!</v>
      </c>
      <c r="J106" s="34"/>
    </row>
    <row r="107" spans="1:10" ht="17" hidden="1">
      <c r="A107" s="19">
        <v>96</v>
      </c>
      <c r="B107" s="32"/>
      <c r="C107" s="21"/>
      <c r="D107" s="22"/>
      <c r="E107" s="22"/>
      <c r="F107" s="22"/>
      <c r="G107" s="32"/>
      <c r="H10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7" s="24" t="e">
        <f t="shared" si="0"/>
        <v>#REF!</v>
      </c>
      <c r="J107" s="34"/>
    </row>
    <row r="108" spans="1:10" ht="17" hidden="1">
      <c r="A108" s="19">
        <v>97</v>
      </c>
      <c r="B108" s="32"/>
      <c r="C108" s="21"/>
      <c r="D108" s="22"/>
      <c r="E108" s="22"/>
      <c r="F108" s="22"/>
      <c r="G108" s="32"/>
      <c r="H10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8" s="24" t="e">
        <f t="shared" si="0"/>
        <v>#REF!</v>
      </c>
      <c r="J108" s="34"/>
    </row>
    <row r="109" spans="1:10" ht="17" hidden="1">
      <c r="A109" s="19">
        <v>98</v>
      </c>
      <c r="B109" s="32"/>
      <c r="C109" s="21"/>
      <c r="D109" s="22"/>
      <c r="E109" s="22"/>
      <c r="F109" s="22"/>
      <c r="G109" s="32"/>
      <c r="H10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09" s="24" t="e">
        <f t="shared" si="0"/>
        <v>#REF!</v>
      </c>
      <c r="J109" s="34"/>
    </row>
    <row r="110" spans="1:10" ht="17" hidden="1">
      <c r="A110" s="19">
        <v>99</v>
      </c>
      <c r="B110" s="32"/>
      <c r="C110" s="21"/>
      <c r="D110" s="22"/>
      <c r="E110" s="22"/>
      <c r="F110" s="22"/>
      <c r="G110" s="32"/>
      <c r="H11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0" s="24" t="e">
        <f t="shared" si="0"/>
        <v>#REF!</v>
      </c>
      <c r="J110" s="34"/>
    </row>
    <row r="111" spans="1:10" ht="17" hidden="1">
      <c r="A111" s="19">
        <v>100</v>
      </c>
      <c r="B111" s="32"/>
      <c r="C111" s="21"/>
      <c r="D111" s="22"/>
      <c r="E111" s="22"/>
      <c r="F111" s="22"/>
      <c r="G111" s="32"/>
      <c r="H11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1" s="24" t="e">
        <f t="shared" si="0"/>
        <v>#REF!</v>
      </c>
      <c r="J111" s="34"/>
    </row>
    <row r="112" spans="1:10" ht="17" hidden="1">
      <c r="A112" s="19">
        <v>101</v>
      </c>
      <c r="B112" s="32"/>
      <c r="C112" s="21"/>
      <c r="D112" s="22"/>
      <c r="E112" s="22"/>
      <c r="F112" s="22"/>
      <c r="G112" s="32"/>
      <c r="H11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2" s="24" t="e">
        <f t="shared" si="0"/>
        <v>#REF!</v>
      </c>
      <c r="J112" s="34"/>
    </row>
    <row r="113" spans="1:10" ht="17" hidden="1">
      <c r="A113" s="19">
        <v>102</v>
      </c>
      <c r="B113" s="32"/>
      <c r="C113" s="21"/>
      <c r="D113" s="22"/>
      <c r="E113" s="22"/>
      <c r="F113" s="22"/>
      <c r="G113" s="32"/>
      <c r="H11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3" s="24" t="e">
        <f t="shared" si="0"/>
        <v>#REF!</v>
      </c>
      <c r="J113" s="34"/>
    </row>
    <row r="114" spans="1:10" ht="17" hidden="1">
      <c r="A114" s="19">
        <v>103</v>
      </c>
      <c r="B114" s="32"/>
      <c r="C114" s="21"/>
      <c r="D114" s="22"/>
      <c r="E114" s="22"/>
      <c r="F114" s="22"/>
      <c r="G114" s="32"/>
      <c r="H11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4" s="24" t="e">
        <f t="shared" si="0"/>
        <v>#REF!</v>
      </c>
      <c r="J114" s="34"/>
    </row>
    <row r="115" spans="1:10" ht="17" hidden="1">
      <c r="A115" s="19">
        <v>104</v>
      </c>
      <c r="B115" s="32"/>
      <c r="C115" s="21"/>
      <c r="D115" s="22"/>
      <c r="E115" s="22"/>
      <c r="F115" s="22"/>
      <c r="G115" s="32"/>
      <c r="H11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5" s="24" t="e">
        <f t="shared" si="0"/>
        <v>#REF!</v>
      </c>
      <c r="J115" s="34"/>
    </row>
    <row r="116" spans="1:10" ht="17" hidden="1">
      <c r="A116" s="19">
        <v>105</v>
      </c>
      <c r="B116" s="32"/>
      <c r="C116" s="21"/>
      <c r="D116" s="22"/>
      <c r="E116" s="22"/>
      <c r="F116" s="22"/>
      <c r="G116" s="32"/>
      <c r="H11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6" s="24" t="e">
        <f t="shared" si="0"/>
        <v>#REF!</v>
      </c>
      <c r="J116" s="34"/>
    </row>
    <row r="117" spans="1:10" ht="17" hidden="1">
      <c r="A117" s="19">
        <v>106</v>
      </c>
      <c r="B117" s="32"/>
      <c r="C117" s="21"/>
      <c r="D117" s="22"/>
      <c r="E117" s="22"/>
      <c r="F117" s="22"/>
      <c r="G117" s="32"/>
      <c r="H11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7" s="24" t="e">
        <f t="shared" si="0"/>
        <v>#REF!</v>
      </c>
      <c r="J117" s="34"/>
    </row>
    <row r="118" spans="1:10" ht="17" hidden="1">
      <c r="A118" s="19">
        <v>107</v>
      </c>
      <c r="B118" s="32"/>
      <c r="C118" s="21"/>
      <c r="D118" s="22"/>
      <c r="E118" s="22"/>
      <c r="F118" s="22"/>
      <c r="G118" s="32"/>
      <c r="H11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8" s="24" t="e">
        <f t="shared" si="0"/>
        <v>#REF!</v>
      </c>
      <c r="J118" s="34"/>
    </row>
    <row r="119" spans="1:10" ht="17" hidden="1">
      <c r="A119" s="19">
        <v>108</v>
      </c>
      <c r="B119" s="32"/>
      <c r="C119" s="21"/>
      <c r="D119" s="22"/>
      <c r="E119" s="22"/>
      <c r="F119" s="22"/>
      <c r="G119" s="32"/>
      <c r="H11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19" s="24" t="e">
        <f t="shared" si="0"/>
        <v>#REF!</v>
      </c>
      <c r="J119" s="34"/>
    </row>
    <row r="120" spans="1:10" ht="17" hidden="1">
      <c r="A120" s="19">
        <v>109</v>
      </c>
      <c r="B120" s="32"/>
      <c r="C120" s="21"/>
      <c r="D120" s="22"/>
      <c r="E120" s="22"/>
      <c r="F120" s="22"/>
      <c r="G120" s="32"/>
      <c r="H12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0" s="24" t="e">
        <f t="shared" si="0"/>
        <v>#REF!</v>
      </c>
      <c r="J120" s="34"/>
    </row>
    <row r="121" spans="1:10" ht="17" hidden="1">
      <c r="A121" s="19">
        <v>110</v>
      </c>
      <c r="B121" s="32"/>
      <c r="C121" s="21"/>
      <c r="D121" s="22"/>
      <c r="E121" s="22"/>
      <c r="F121" s="22"/>
      <c r="G121" s="32"/>
      <c r="H12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1" s="24" t="e">
        <f t="shared" si="0"/>
        <v>#REF!</v>
      </c>
      <c r="J121" s="34"/>
    </row>
    <row r="122" spans="1:10" ht="17" hidden="1">
      <c r="A122" s="19">
        <v>111</v>
      </c>
      <c r="B122" s="32"/>
      <c r="C122" s="21"/>
      <c r="D122" s="22"/>
      <c r="E122" s="22"/>
      <c r="F122" s="22"/>
      <c r="G122" s="32"/>
      <c r="H12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2" s="24" t="e">
        <f t="shared" si="0"/>
        <v>#REF!</v>
      </c>
      <c r="J122" s="34"/>
    </row>
    <row r="123" spans="1:10" ht="17" hidden="1">
      <c r="A123" s="19">
        <v>112</v>
      </c>
      <c r="B123" s="32"/>
      <c r="C123" s="21"/>
      <c r="D123" s="22"/>
      <c r="E123" s="22"/>
      <c r="F123" s="22"/>
      <c r="G123" s="32"/>
      <c r="H12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3" s="24" t="e">
        <f t="shared" si="0"/>
        <v>#REF!</v>
      </c>
      <c r="J123" s="34"/>
    </row>
    <row r="124" spans="1:10" ht="17" hidden="1">
      <c r="A124" s="19">
        <v>113</v>
      </c>
      <c r="B124" s="32"/>
      <c r="C124" s="21"/>
      <c r="D124" s="22"/>
      <c r="E124" s="22"/>
      <c r="F124" s="22"/>
      <c r="G124" s="32"/>
      <c r="H12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4" s="24" t="e">
        <f t="shared" si="0"/>
        <v>#REF!</v>
      </c>
      <c r="J124" s="34"/>
    </row>
    <row r="125" spans="1:10" ht="17" hidden="1">
      <c r="A125" s="19">
        <v>114</v>
      </c>
      <c r="B125" s="32"/>
      <c r="C125" s="21"/>
      <c r="D125" s="22"/>
      <c r="E125" s="22"/>
      <c r="F125" s="22"/>
      <c r="G125" s="32"/>
      <c r="H12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5" s="24" t="e">
        <f t="shared" si="0"/>
        <v>#REF!</v>
      </c>
      <c r="J125" s="34"/>
    </row>
    <row r="126" spans="1:10" ht="17" hidden="1">
      <c r="A126" s="19">
        <v>115</v>
      </c>
      <c r="B126" s="32"/>
      <c r="C126" s="21"/>
      <c r="D126" s="22"/>
      <c r="E126" s="22"/>
      <c r="F126" s="22"/>
      <c r="G126" s="32"/>
      <c r="H12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6" s="24" t="e">
        <f t="shared" si="0"/>
        <v>#REF!</v>
      </c>
      <c r="J126" s="34"/>
    </row>
    <row r="127" spans="1:10" ht="17" hidden="1">
      <c r="A127" s="19">
        <v>116</v>
      </c>
      <c r="B127" s="32"/>
      <c r="C127" s="21"/>
      <c r="D127" s="22"/>
      <c r="E127" s="22"/>
      <c r="F127" s="22"/>
      <c r="G127" s="32"/>
      <c r="H12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7" s="24" t="e">
        <f t="shared" si="0"/>
        <v>#REF!</v>
      </c>
      <c r="J127" s="34"/>
    </row>
    <row r="128" spans="1:10" ht="17" hidden="1">
      <c r="A128" s="19">
        <v>117</v>
      </c>
      <c r="B128" s="32"/>
      <c r="C128" s="21"/>
      <c r="D128" s="22"/>
      <c r="E128" s="22"/>
      <c r="F128" s="22"/>
      <c r="G128" s="32"/>
      <c r="H12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8" s="24" t="e">
        <f t="shared" si="0"/>
        <v>#REF!</v>
      </c>
      <c r="J128" s="34"/>
    </row>
    <row r="129" spans="1:10" ht="17" hidden="1">
      <c r="A129" s="19">
        <v>118</v>
      </c>
      <c r="B129" s="43"/>
      <c r="C129" s="37"/>
      <c r="D129" s="44"/>
      <c r="E129" s="44"/>
      <c r="F129" s="44"/>
      <c r="G129" s="44"/>
      <c r="H12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29" s="45" t="e">
        <f t="shared" si="0"/>
        <v>#REF!</v>
      </c>
      <c r="J129" s="46"/>
    </row>
    <row r="130" spans="1:10" ht="17" hidden="1">
      <c r="A130" s="19">
        <v>119</v>
      </c>
      <c r="B130" s="43"/>
      <c r="C130" s="37"/>
      <c r="D130" s="44"/>
      <c r="E130" s="44"/>
      <c r="F130" s="44"/>
      <c r="G130" s="44"/>
      <c r="H13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0" s="45" t="e">
        <f t="shared" si="0"/>
        <v>#REF!</v>
      </c>
      <c r="J130" s="46"/>
    </row>
    <row r="131" spans="1:10" ht="17" hidden="1">
      <c r="A131" s="19">
        <v>120</v>
      </c>
      <c r="B131" s="43"/>
      <c r="C131" s="37"/>
      <c r="D131" s="44"/>
      <c r="E131" s="44"/>
      <c r="F131" s="44"/>
      <c r="G131" s="44"/>
      <c r="H13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1" s="45" t="e">
        <f t="shared" si="0"/>
        <v>#REF!</v>
      </c>
      <c r="J131" s="46"/>
    </row>
    <row r="132" spans="1:10" ht="17" hidden="1">
      <c r="A132" s="19">
        <v>121</v>
      </c>
      <c r="B132" s="43"/>
      <c r="C132" s="37"/>
      <c r="D132" s="44"/>
      <c r="E132" s="44"/>
      <c r="F132" s="44"/>
      <c r="G132" s="44"/>
      <c r="H132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2" s="45" t="e">
        <f t="shared" si="0"/>
        <v>#REF!</v>
      </c>
      <c r="J132" s="46"/>
    </row>
    <row r="133" spans="1:10" ht="17" hidden="1">
      <c r="A133" s="19">
        <v>122</v>
      </c>
      <c r="B133" s="43"/>
      <c r="C133" s="37"/>
      <c r="D133" s="44"/>
      <c r="E133" s="44"/>
      <c r="F133" s="44"/>
      <c r="G133" s="44"/>
      <c r="H133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3" s="45" t="e">
        <f t="shared" si="0"/>
        <v>#REF!</v>
      </c>
      <c r="J133" s="46"/>
    </row>
    <row r="134" spans="1:10" ht="17" hidden="1">
      <c r="A134" s="19">
        <v>123</v>
      </c>
      <c r="B134" s="43"/>
      <c r="C134" s="37"/>
      <c r="D134" s="44"/>
      <c r="E134" s="44"/>
      <c r="F134" s="44"/>
      <c r="G134" s="44"/>
      <c r="H134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4" s="45" t="e">
        <f t="shared" si="0"/>
        <v>#REF!</v>
      </c>
      <c r="J134" s="46"/>
    </row>
    <row r="135" spans="1:10" ht="17" hidden="1">
      <c r="A135" s="19">
        <v>124</v>
      </c>
      <c r="B135" s="43"/>
      <c r="C135" s="37"/>
      <c r="D135" s="44"/>
      <c r="E135" s="44"/>
      <c r="F135" s="44"/>
      <c r="G135" s="44"/>
      <c r="H135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5" s="45" t="e">
        <f t="shared" si="0"/>
        <v>#REF!</v>
      </c>
      <c r="J135" s="46"/>
    </row>
    <row r="136" spans="1:10" ht="17" hidden="1">
      <c r="A136" s="19">
        <v>125</v>
      </c>
      <c r="B136" s="43"/>
      <c r="C136" s="37"/>
      <c r="D136" s="44"/>
      <c r="E136" s="44"/>
      <c r="F136" s="44"/>
      <c r="G136" s="44"/>
      <c r="H136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6" s="45" t="e">
        <f t="shared" si="0"/>
        <v>#REF!</v>
      </c>
      <c r="J136" s="46"/>
    </row>
    <row r="137" spans="1:10" ht="17" hidden="1">
      <c r="A137" s="19">
        <v>126</v>
      </c>
      <c r="B137" s="43"/>
      <c r="C137" s="37"/>
      <c r="D137" s="44"/>
      <c r="E137" s="44"/>
      <c r="F137" s="44"/>
      <c r="G137" s="44"/>
      <c r="H137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7" s="45" t="e">
        <f t="shared" si="0"/>
        <v>#REF!</v>
      </c>
      <c r="J137" s="46"/>
    </row>
    <row r="138" spans="1:10" ht="17" hidden="1">
      <c r="A138" s="19">
        <v>127</v>
      </c>
      <c r="B138" s="43"/>
      <c r="C138" s="37"/>
      <c r="D138" s="44"/>
      <c r="E138" s="44"/>
      <c r="F138" s="44"/>
      <c r="G138" s="44"/>
      <c r="H138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8" s="45" t="e">
        <f t="shared" si="0"/>
        <v>#REF!</v>
      </c>
      <c r="J138" s="46"/>
    </row>
    <row r="139" spans="1:10" ht="17" hidden="1">
      <c r="A139" s="19">
        <v>128</v>
      </c>
      <c r="B139" s="43"/>
      <c r="C139" s="37"/>
      <c r="D139" s="44"/>
      <c r="E139" s="44"/>
      <c r="F139" s="44"/>
      <c r="G139" s="44"/>
      <c r="H139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39" s="45" t="e">
        <f t="shared" si="0"/>
        <v>#REF!</v>
      </c>
      <c r="J139" s="46"/>
    </row>
    <row r="140" spans="1:10" ht="17" hidden="1">
      <c r="A140" s="19">
        <v>129</v>
      </c>
      <c r="B140" s="43"/>
      <c r="C140" s="37"/>
      <c r="D140" s="44"/>
      <c r="E140" s="44"/>
      <c r="F140" s="44"/>
      <c r="G140" s="44"/>
      <c r="H140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40" s="45" t="e">
        <f t="shared" si="0"/>
        <v>#REF!</v>
      </c>
      <c r="J140" s="46"/>
    </row>
    <row r="141" spans="1:10" ht="17" hidden="1">
      <c r="A141" s="19">
        <v>130</v>
      </c>
      <c r="B141" s="43"/>
      <c r="C141" s="37"/>
      <c r="D141" s="44"/>
      <c r="E141" s="44"/>
      <c r="F141" s="44"/>
      <c r="G141" s="44"/>
      <c r="H141" s="24" t="e">
        <f>IF(#REF!="Dolares",#REF!/#REF!,(IF((AND((OR(#REF!="materiales",#REF!="-")),(OR(#REF!="Materiales",#REF!="-")),(OR(#REF!="Materiales",#REF!="-")),(OR(#REF!="Materiales",#REF!="-")))),(ROUNDUP(#REF!,-2)),(ROUNDUP(#REF!,-3)))))</f>
        <v>#REF!</v>
      </c>
      <c r="I141" s="45" t="e">
        <f t="shared" si="0"/>
        <v>#REF!</v>
      </c>
      <c r="J141" s="46"/>
    </row>
    <row r="142" spans="1:10" ht="21">
      <c r="A142" s="91" t="s">
        <v>64</v>
      </c>
      <c r="B142" s="75"/>
      <c r="C142" s="75"/>
      <c r="D142" s="75"/>
      <c r="E142" s="75"/>
      <c r="F142" s="75"/>
      <c r="G142" s="75"/>
      <c r="H142" s="75"/>
      <c r="I142" s="75"/>
      <c r="J142" s="76"/>
    </row>
    <row r="143" spans="1:10" ht="21">
      <c r="A143" s="92"/>
      <c r="B143" s="65"/>
      <c r="C143" s="65"/>
      <c r="D143" s="65"/>
      <c r="E143" s="65"/>
      <c r="F143" s="93"/>
      <c r="G143" s="89" t="s">
        <v>65</v>
      </c>
      <c r="H143" s="75"/>
      <c r="I143" s="82"/>
      <c r="J143" s="34">
        <f>SUM(I13:I41)</f>
        <v>50192000</v>
      </c>
    </row>
    <row r="144" spans="1:10" ht="21">
      <c r="A144" s="94"/>
      <c r="B144" s="67"/>
      <c r="C144" s="67"/>
      <c r="D144" s="67"/>
      <c r="E144" s="67"/>
      <c r="F144" s="95"/>
      <c r="G144" s="89" t="s">
        <v>66</v>
      </c>
      <c r="H144" s="75"/>
      <c r="I144" s="82"/>
      <c r="J144" s="48">
        <v>0</v>
      </c>
    </row>
    <row r="145" spans="1:10" ht="21">
      <c r="A145" s="94"/>
      <c r="B145" s="67"/>
      <c r="C145" s="67"/>
      <c r="D145" s="67"/>
      <c r="E145" s="67"/>
      <c r="F145" s="95"/>
      <c r="G145" s="89" t="s">
        <v>65</v>
      </c>
      <c r="H145" s="75"/>
      <c r="I145" s="82"/>
      <c r="J145" s="34">
        <f>J143-(J143*J144)</f>
        <v>50192000</v>
      </c>
    </row>
    <row r="146" spans="1:10" ht="21">
      <c r="A146" s="94"/>
      <c r="B146" s="67"/>
      <c r="C146" s="67"/>
      <c r="D146" s="67"/>
      <c r="E146" s="67"/>
      <c r="F146" s="95"/>
      <c r="G146" s="49" t="s">
        <v>67</v>
      </c>
      <c r="H146" s="90">
        <v>0.19</v>
      </c>
      <c r="I146" s="82"/>
      <c r="J146" s="34">
        <f>J145*H146</f>
        <v>9536480</v>
      </c>
    </row>
    <row r="147" spans="1:10" ht="25">
      <c r="A147" s="96"/>
      <c r="B147" s="70"/>
      <c r="C147" s="70"/>
      <c r="D147" s="70"/>
      <c r="E147" s="70"/>
      <c r="F147" s="97"/>
      <c r="G147" s="98" t="s">
        <v>68</v>
      </c>
      <c r="H147" s="75"/>
      <c r="I147" s="82"/>
      <c r="J147" s="50">
        <f>J145+J146</f>
        <v>59728480</v>
      </c>
    </row>
    <row r="148" spans="1:10" ht="21">
      <c r="A148" s="91" t="s">
        <v>69</v>
      </c>
      <c r="B148" s="75"/>
      <c r="C148" s="75"/>
      <c r="D148" s="75"/>
      <c r="E148" s="75"/>
      <c r="F148" s="75"/>
      <c r="G148" s="75"/>
      <c r="H148" s="75"/>
      <c r="I148" s="75"/>
      <c r="J148" s="76"/>
    </row>
    <row r="149" spans="1:10" ht="21">
      <c r="A149" s="110"/>
      <c r="B149" s="65"/>
      <c r="C149" s="65"/>
      <c r="D149" s="65"/>
      <c r="E149" s="65"/>
      <c r="F149" s="93"/>
      <c r="G149" s="89" t="s">
        <v>70</v>
      </c>
      <c r="H149" s="75"/>
      <c r="I149" s="82"/>
      <c r="J149" s="34">
        <f>SUM(I13:I41)</f>
        <v>50192000</v>
      </c>
    </row>
    <row r="150" spans="1:10" ht="21">
      <c r="A150" s="94"/>
      <c r="B150" s="67"/>
      <c r="C150" s="67"/>
      <c r="D150" s="67"/>
      <c r="E150" s="67"/>
      <c r="F150" s="95"/>
      <c r="G150" s="89" t="s">
        <v>71</v>
      </c>
      <c r="H150" s="82"/>
      <c r="I150" s="51">
        <v>0.1</v>
      </c>
      <c r="J150" s="34">
        <f>J149*I150</f>
        <v>5019200</v>
      </c>
    </row>
    <row r="151" spans="1:10" ht="21">
      <c r="A151" s="94"/>
      <c r="B151" s="67"/>
      <c r="C151" s="67"/>
      <c r="D151" s="67"/>
      <c r="E151" s="67"/>
      <c r="F151" s="95"/>
      <c r="G151" s="89" t="s">
        <v>72</v>
      </c>
      <c r="H151" s="82"/>
      <c r="I151" s="51">
        <v>0.03</v>
      </c>
      <c r="J151" s="34">
        <f>J149*I151</f>
        <v>1505760</v>
      </c>
    </row>
    <row r="152" spans="1:10" ht="21">
      <c r="A152" s="94"/>
      <c r="B152" s="67"/>
      <c r="C152" s="67"/>
      <c r="D152" s="67"/>
      <c r="E152" s="67"/>
      <c r="F152" s="95"/>
      <c r="G152" s="89" t="s">
        <v>73</v>
      </c>
      <c r="H152" s="82"/>
      <c r="I152" s="51">
        <v>0.05</v>
      </c>
      <c r="J152" s="34">
        <f>J149*I152</f>
        <v>2509600</v>
      </c>
    </row>
    <row r="153" spans="1:10" ht="21">
      <c r="A153" s="94"/>
      <c r="B153" s="67"/>
      <c r="C153" s="67"/>
      <c r="D153" s="67"/>
      <c r="E153" s="67"/>
      <c r="F153" s="95"/>
      <c r="G153" s="89" t="s">
        <v>74</v>
      </c>
      <c r="H153" s="82"/>
      <c r="I153" s="51">
        <v>0.19</v>
      </c>
      <c r="J153" s="34">
        <f>J152*19%</f>
        <v>476824</v>
      </c>
    </row>
    <row r="154" spans="1:10" ht="25">
      <c r="A154" s="96"/>
      <c r="B154" s="70"/>
      <c r="C154" s="70"/>
      <c r="D154" s="70"/>
      <c r="E154" s="70"/>
      <c r="F154" s="97"/>
      <c r="G154" s="98" t="s">
        <v>75</v>
      </c>
      <c r="H154" s="82"/>
      <c r="I154" s="52"/>
      <c r="J154" s="50">
        <f>SUM(J149:J153)</f>
        <v>59703384</v>
      </c>
    </row>
    <row r="155" spans="1:10" ht="21" hidden="1">
      <c r="A155" s="99" t="s">
        <v>76</v>
      </c>
      <c r="B155" s="75"/>
      <c r="C155" s="75"/>
      <c r="D155" s="75"/>
      <c r="E155" s="75"/>
      <c r="F155" s="75"/>
      <c r="G155" s="75"/>
      <c r="H155" s="75"/>
      <c r="I155" s="75"/>
      <c r="J155" s="76"/>
    </row>
    <row r="156" spans="1:10" ht="21" hidden="1">
      <c r="A156" s="111" t="s">
        <v>77</v>
      </c>
      <c r="B156" s="65"/>
      <c r="C156" s="65"/>
      <c r="D156" s="93"/>
      <c r="E156" s="112" t="s">
        <v>78</v>
      </c>
      <c r="F156" s="93"/>
      <c r="G156" s="85" t="s">
        <v>79</v>
      </c>
      <c r="H156" s="82"/>
      <c r="I156" s="101">
        <v>24</v>
      </c>
      <c r="J156" s="76"/>
    </row>
    <row r="157" spans="1:10" ht="21" hidden="1">
      <c r="A157" s="94"/>
      <c r="B157" s="67"/>
      <c r="C157" s="67"/>
      <c r="D157" s="95"/>
      <c r="E157" s="113"/>
      <c r="F157" s="97"/>
      <c r="G157" s="86" t="s">
        <v>80</v>
      </c>
      <c r="H157" s="82"/>
      <c r="I157" s="104" t="e">
        <f>#REF!/(I156*0.2)</f>
        <v>#REF!</v>
      </c>
      <c r="J157" s="76"/>
    </row>
    <row r="158" spans="1:10" ht="21" hidden="1">
      <c r="A158" s="94"/>
      <c r="B158" s="67"/>
      <c r="C158" s="67"/>
      <c r="D158" s="95"/>
      <c r="E158" s="112" t="s">
        <v>78</v>
      </c>
      <c r="F158" s="93"/>
      <c r="G158" s="83" t="s">
        <v>79</v>
      </c>
      <c r="H158" s="82"/>
      <c r="I158" s="105">
        <v>36</v>
      </c>
      <c r="J158" s="76"/>
    </row>
    <row r="159" spans="1:10" ht="21" hidden="1">
      <c r="A159" s="94"/>
      <c r="B159" s="67"/>
      <c r="C159" s="67"/>
      <c r="D159" s="95"/>
      <c r="E159" s="113"/>
      <c r="F159" s="97"/>
      <c r="G159" s="84" t="s">
        <v>80</v>
      </c>
      <c r="H159" s="82"/>
      <c r="I159" s="100" t="e">
        <f>#REF!/(I158*0.2)</f>
        <v>#REF!</v>
      </c>
      <c r="J159" s="76"/>
    </row>
    <row r="160" spans="1:10" ht="21" hidden="1">
      <c r="A160" s="94"/>
      <c r="B160" s="67"/>
      <c r="C160" s="67"/>
      <c r="D160" s="95"/>
      <c r="E160" s="112" t="s">
        <v>81</v>
      </c>
      <c r="F160" s="93"/>
      <c r="G160" s="85" t="s">
        <v>79</v>
      </c>
      <c r="H160" s="82"/>
      <c r="I160" s="101">
        <v>60</v>
      </c>
      <c r="J160" s="76"/>
    </row>
    <row r="161" spans="1:10" ht="21" hidden="1">
      <c r="A161" s="96"/>
      <c r="B161" s="70"/>
      <c r="C161" s="70"/>
      <c r="D161" s="97"/>
      <c r="E161" s="113"/>
      <c r="F161" s="97"/>
      <c r="G161" s="86" t="s">
        <v>80</v>
      </c>
      <c r="H161" s="82"/>
      <c r="I161" s="102" t="e">
        <f>#REF!/(I160*0.15)</f>
        <v>#REF!</v>
      </c>
      <c r="J161" s="66"/>
    </row>
    <row r="162" spans="1:10" ht="16">
      <c r="A162" s="103" t="s">
        <v>82</v>
      </c>
      <c r="B162" s="75"/>
      <c r="C162" s="75"/>
      <c r="D162" s="75"/>
      <c r="E162" s="75"/>
      <c r="F162" s="75"/>
      <c r="G162" s="75"/>
      <c r="H162" s="75"/>
      <c r="I162" s="75"/>
      <c r="J162" s="76"/>
    </row>
    <row r="163" spans="1:10" ht="17.25" customHeight="1">
      <c r="A163" s="53"/>
      <c r="B163" s="54"/>
      <c r="C163" s="54"/>
      <c r="D163" s="55"/>
      <c r="E163" s="54"/>
      <c r="F163" s="54"/>
      <c r="G163" s="54"/>
      <c r="H163" s="54"/>
      <c r="I163" s="54"/>
      <c r="J163" s="56"/>
    </row>
    <row r="164" spans="1:10" ht="17.25" customHeight="1">
      <c r="A164" s="57"/>
      <c r="B164" s="47"/>
      <c r="C164" s="47"/>
      <c r="D164" s="58"/>
      <c r="E164" s="47"/>
      <c r="F164" s="47"/>
      <c r="G164" s="47"/>
      <c r="H164" s="47"/>
      <c r="I164" s="47"/>
      <c r="J164" s="59"/>
    </row>
    <row r="165" spans="1:10" ht="18">
      <c r="A165" s="57"/>
      <c r="B165" s="87" t="s">
        <v>83</v>
      </c>
      <c r="C165" s="75"/>
      <c r="D165" s="82"/>
      <c r="E165" s="3"/>
      <c r="F165" s="87" t="s">
        <v>84</v>
      </c>
      <c r="G165" s="75"/>
      <c r="H165" s="75"/>
      <c r="I165" s="82"/>
      <c r="J165" s="60"/>
    </row>
    <row r="166" spans="1:10" ht="18">
      <c r="A166" s="57"/>
      <c r="B166" s="61" t="s">
        <v>85</v>
      </c>
      <c r="C166" s="106" t="s">
        <v>86</v>
      </c>
      <c r="D166" s="82"/>
      <c r="E166" s="1"/>
      <c r="F166" s="61" t="s">
        <v>87</v>
      </c>
      <c r="G166" s="88" t="s">
        <v>88</v>
      </c>
      <c r="H166" s="75"/>
      <c r="I166" s="82"/>
      <c r="J166" s="59"/>
    </row>
    <row r="167" spans="1:10" ht="18">
      <c r="A167" s="57"/>
      <c r="B167" s="61" t="s">
        <v>89</v>
      </c>
      <c r="C167" s="106" t="s">
        <v>90</v>
      </c>
      <c r="D167" s="82"/>
      <c r="E167" s="1"/>
      <c r="F167" s="61" t="s">
        <v>91</v>
      </c>
      <c r="G167" s="88" t="s">
        <v>92</v>
      </c>
      <c r="H167" s="75"/>
      <c r="I167" s="82"/>
      <c r="J167" s="59"/>
    </row>
    <row r="168" spans="1:10" ht="18">
      <c r="A168" s="57"/>
      <c r="B168" s="61" t="s">
        <v>93</v>
      </c>
      <c r="C168" s="106" t="s">
        <v>94</v>
      </c>
      <c r="D168" s="82"/>
      <c r="E168" s="1"/>
      <c r="F168" s="61" t="s">
        <v>95</v>
      </c>
      <c r="G168" s="81" t="s">
        <v>96</v>
      </c>
      <c r="H168" s="75"/>
      <c r="I168" s="82"/>
      <c r="J168" s="59"/>
    </row>
    <row r="169" spans="1:10" ht="18">
      <c r="A169" s="57"/>
      <c r="B169" s="61" t="s">
        <v>97</v>
      </c>
      <c r="C169" s="106" t="s">
        <v>98</v>
      </c>
      <c r="D169" s="82"/>
      <c r="E169" s="1"/>
      <c r="F169" s="61" t="s">
        <v>91</v>
      </c>
      <c r="G169" s="81" t="s">
        <v>99</v>
      </c>
      <c r="H169" s="75"/>
      <c r="I169" s="82"/>
      <c r="J169" s="59"/>
    </row>
    <row r="170" spans="1:10" ht="88.5" customHeight="1" thickBot="1">
      <c r="A170" s="107" t="s">
        <v>100</v>
      </c>
      <c r="B170" s="108"/>
      <c r="C170" s="108"/>
      <c r="D170" s="108"/>
      <c r="E170" s="108"/>
      <c r="F170" s="108"/>
      <c r="G170" s="108"/>
      <c r="H170" s="108"/>
      <c r="I170" s="108"/>
      <c r="J170" s="109"/>
    </row>
    <row r="171" spans="1:10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</row>
    <row r="172" spans="1:10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</row>
    <row r="173" spans="1:10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</row>
    <row r="174" spans="1:10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</row>
    <row r="175" spans="1:10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</row>
    <row r="176" spans="1:10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</row>
    <row r="177" spans="1:10" ht="15.75" customHeight="1">
      <c r="A177" s="47"/>
      <c r="B177" s="47"/>
      <c r="C177" s="47"/>
      <c r="D177" s="47"/>
      <c r="E177" s="47"/>
      <c r="F177" s="47"/>
      <c r="G177" s="2"/>
      <c r="H177" s="47"/>
      <c r="I177" s="47"/>
      <c r="J177" s="47"/>
    </row>
    <row r="178" spans="1:10" ht="15.75" customHeight="1">
      <c r="A178" s="47"/>
      <c r="B178" s="62"/>
      <c r="C178" s="62"/>
      <c r="D178" s="62"/>
      <c r="E178" s="63"/>
      <c r="F178" s="63"/>
      <c r="G178" s="2"/>
      <c r="H178" s="47"/>
      <c r="I178" s="47"/>
      <c r="J178" s="47"/>
    </row>
    <row r="179" spans="1:10" ht="15.75" customHeight="1">
      <c r="A179" s="47"/>
      <c r="B179" s="62"/>
      <c r="C179" s="62"/>
      <c r="D179" s="62"/>
      <c r="E179" s="63"/>
      <c r="F179" s="63"/>
      <c r="G179" s="2"/>
      <c r="H179" s="47"/>
      <c r="I179" s="47"/>
      <c r="J179" s="47"/>
    </row>
    <row r="180" spans="1:10" ht="15.75" customHeight="1">
      <c r="A180" s="47"/>
      <c r="B180" s="62"/>
      <c r="C180" s="62"/>
      <c r="D180" s="62"/>
      <c r="E180" s="63"/>
      <c r="F180" s="63"/>
      <c r="G180" s="2"/>
      <c r="H180" s="47"/>
      <c r="I180" s="47"/>
      <c r="J180" s="47"/>
    </row>
    <row r="181" spans="1:10" ht="15.75" customHeight="1">
      <c r="A181" s="47"/>
      <c r="B181" s="62"/>
      <c r="C181" s="62"/>
      <c r="D181" s="62"/>
      <c r="E181" s="63"/>
      <c r="F181" s="63"/>
      <c r="G181" s="2"/>
      <c r="H181" s="47"/>
      <c r="I181" s="47"/>
      <c r="J181" s="47"/>
    </row>
    <row r="182" spans="1:10" ht="15.75" customHeight="1">
      <c r="A182" s="47"/>
      <c r="B182" s="62"/>
      <c r="C182" s="62"/>
      <c r="D182" s="62"/>
      <c r="E182" s="63"/>
      <c r="F182" s="63"/>
      <c r="G182" s="2"/>
      <c r="H182" s="47"/>
      <c r="I182" s="47"/>
      <c r="J182" s="47"/>
    </row>
    <row r="183" spans="1:10" ht="15.75" customHeight="1">
      <c r="A183" s="47"/>
      <c r="B183" s="62"/>
      <c r="C183" s="62"/>
      <c r="D183" s="62"/>
      <c r="E183" s="63"/>
      <c r="F183" s="63"/>
      <c r="G183" s="47"/>
      <c r="H183" s="47"/>
      <c r="I183" s="47"/>
      <c r="J183" s="47"/>
    </row>
    <row r="184" spans="1:10" ht="15.75" customHeight="1">
      <c r="A184" s="62"/>
      <c r="B184" s="62"/>
      <c r="C184" s="62"/>
      <c r="D184" s="62"/>
      <c r="E184" s="63"/>
      <c r="F184" s="63"/>
      <c r="G184" s="47"/>
      <c r="H184" s="47"/>
      <c r="I184" s="47"/>
      <c r="J184" s="47"/>
    </row>
    <row r="185" spans="1:10" ht="15.75" customHeight="1">
      <c r="A185" s="62"/>
      <c r="B185" s="62"/>
      <c r="C185" s="62"/>
      <c r="D185" s="62"/>
      <c r="E185" s="63"/>
      <c r="F185" s="63"/>
      <c r="G185" s="47"/>
      <c r="H185" s="47"/>
      <c r="I185" s="47"/>
      <c r="J185" s="47"/>
    </row>
    <row r="186" spans="1:10" ht="15.75" customHeight="1">
      <c r="A186" s="62"/>
      <c r="B186" s="62"/>
      <c r="C186" s="62"/>
      <c r="D186" s="47"/>
      <c r="E186" s="63"/>
      <c r="F186" s="63"/>
      <c r="G186" s="47"/>
      <c r="H186" s="47"/>
      <c r="I186" s="47"/>
      <c r="J186" s="47"/>
    </row>
    <row r="187" spans="1:10" ht="15.75" customHeight="1">
      <c r="A187" s="47"/>
      <c r="B187" s="47"/>
      <c r="C187" s="47"/>
      <c r="D187" s="47"/>
      <c r="E187" s="47"/>
      <c r="F187" s="63"/>
      <c r="G187" s="47"/>
      <c r="H187" s="47"/>
      <c r="I187" s="47"/>
      <c r="J187" s="47"/>
    </row>
    <row r="188" spans="1:10" ht="15.75" customHeight="1">
      <c r="A188" s="47"/>
      <c r="B188" s="47"/>
      <c r="C188" s="47"/>
      <c r="D188" s="47"/>
      <c r="E188" s="47"/>
      <c r="F188" s="63"/>
      <c r="G188" s="47"/>
      <c r="H188" s="47"/>
      <c r="I188" s="47"/>
      <c r="J188" s="47"/>
    </row>
    <row r="189" spans="1:10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</row>
    <row r="190" spans="1:1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</row>
    <row r="191" spans="1:10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</row>
    <row r="192" spans="1:10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</row>
    <row r="193" spans="1:10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</row>
    <row r="194" spans="1:10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</row>
    <row r="195" spans="1:10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</row>
    <row r="196" spans="1:10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</row>
    <row r="197" spans="1:10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</row>
    <row r="198" spans="1:10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</row>
    <row r="199" spans="1:10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</row>
    <row r="200" spans="1:10" ht="15.75" customHeight="1">
      <c r="A200" s="47"/>
      <c r="B200" s="47"/>
      <c r="C200" s="47"/>
      <c r="D200" s="47"/>
      <c r="E200" s="2"/>
      <c r="F200" s="47"/>
      <c r="G200" s="47"/>
      <c r="H200" s="47"/>
      <c r="I200" s="47"/>
      <c r="J200" s="47"/>
    </row>
    <row r="201" spans="1:10" ht="15.75" customHeight="1">
      <c r="A201" s="47"/>
      <c r="B201" s="47"/>
      <c r="C201" s="47"/>
      <c r="D201" s="47"/>
      <c r="E201" s="2"/>
      <c r="F201" s="47"/>
      <c r="G201" s="47"/>
      <c r="H201" s="47"/>
      <c r="I201" s="47"/>
      <c r="J201" s="47"/>
    </row>
    <row r="202" spans="1:10" ht="15.75" customHeight="1">
      <c r="A202" s="47"/>
      <c r="B202" s="47"/>
      <c r="C202" s="47"/>
      <c r="D202" s="47"/>
      <c r="E202" s="2"/>
      <c r="F202" s="47"/>
      <c r="G202" s="47"/>
      <c r="H202" s="47"/>
      <c r="I202" s="47"/>
      <c r="J202" s="47"/>
    </row>
    <row r="203" spans="1:10" ht="15.75" customHeight="1">
      <c r="A203" s="47"/>
      <c r="B203" s="47"/>
      <c r="C203" s="47"/>
      <c r="D203" s="47"/>
      <c r="E203" s="2"/>
      <c r="F203" s="47"/>
      <c r="G203" s="47"/>
      <c r="H203" s="47"/>
      <c r="I203" s="47"/>
      <c r="J203" s="47"/>
    </row>
    <row r="204" spans="1:10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</row>
    <row r="205" spans="1:10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</row>
    <row r="206" spans="1:10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</row>
    <row r="207" spans="1:10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</row>
    <row r="208" spans="1:10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</row>
    <row r="209" spans="1:10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</row>
    <row r="210" spans="1: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</row>
    <row r="211" spans="1:10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</row>
    <row r="212" spans="1:10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</row>
    <row r="213" spans="1:10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</row>
    <row r="214" spans="1:10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</row>
    <row r="215" spans="1:10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</row>
    <row r="216" spans="1:10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</row>
    <row r="217" spans="1:10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</row>
    <row r="218" spans="1:10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</row>
    <row r="219" spans="1:10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</row>
    <row r="220" spans="1:1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</row>
    <row r="221" spans="1:10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</row>
    <row r="222" spans="1:10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</row>
    <row r="223" spans="1:10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</row>
    <row r="224" spans="1:10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</row>
    <row r="225" spans="1:10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</row>
    <row r="226" spans="1:10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</row>
    <row r="227" spans="1:10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</row>
    <row r="228" spans="1:10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</row>
    <row r="229" spans="1:10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</row>
    <row r="230" spans="1:1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</row>
    <row r="231" spans="1:10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</row>
    <row r="232" spans="1:10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</row>
    <row r="233" spans="1:10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</row>
    <row r="234" spans="1:10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</row>
    <row r="235" spans="1:10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</row>
    <row r="236" spans="1:10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</row>
    <row r="237" spans="1:10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</row>
    <row r="238" spans="1:10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</row>
    <row r="239" spans="1:10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</row>
    <row r="240" spans="1:1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</row>
    <row r="241" spans="1:10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</row>
    <row r="242" spans="1:10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</row>
    <row r="243" spans="1:10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</row>
    <row r="244" spans="1:10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</row>
    <row r="245" spans="1:10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</row>
    <row r="246" spans="1:10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</row>
    <row r="247" spans="1:10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</row>
    <row r="248" spans="1:10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</row>
    <row r="249" spans="1:10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</row>
    <row r="250" spans="1:1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</row>
    <row r="251" spans="1:10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</row>
    <row r="252" spans="1:10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</row>
    <row r="253" spans="1:10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</row>
    <row r="254" spans="1:10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</row>
    <row r="255" spans="1:10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</row>
    <row r="256" spans="1:10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</row>
    <row r="257" spans="1:10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</row>
    <row r="258" spans="1:10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</row>
    <row r="259" spans="1:10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</row>
    <row r="260" spans="1:1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</row>
    <row r="261" spans="1:10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</row>
    <row r="262" spans="1:10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</row>
    <row r="263" spans="1:10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</row>
    <row r="264" spans="1:10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</row>
    <row r="265" spans="1:10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</row>
    <row r="266" spans="1:10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</row>
    <row r="267" spans="1:10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</row>
    <row r="268" spans="1:10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</row>
    <row r="269" spans="1:10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</row>
    <row r="270" spans="1:1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</row>
    <row r="271" spans="1:10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</row>
    <row r="272" spans="1:10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</row>
    <row r="273" spans="1:10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</row>
    <row r="274" spans="1:10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</row>
    <row r="275" spans="1:10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</row>
    <row r="276" spans="1:10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</row>
    <row r="277" spans="1:10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</row>
    <row r="278" spans="1:10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</row>
    <row r="279" spans="1:10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</row>
    <row r="280" spans="1:1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</row>
    <row r="281" spans="1:10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</row>
    <row r="282" spans="1:10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</row>
    <row r="283" spans="1:10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</row>
    <row r="284" spans="1:10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</row>
    <row r="285" spans="1:10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</row>
    <row r="286" spans="1:10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</row>
    <row r="287" spans="1:10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</row>
    <row r="288" spans="1:10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</row>
    <row r="289" spans="1:10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</row>
    <row r="290" spans="1:1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</row>
    <row r="291" spans="1:10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</row>
    <row r="292" spans="1:10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</row>
    <row r="293" spans="1:10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</row>
    <row r="294" spans="1:10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</row>
    <row r="295" spans="1:10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</row>
    <row r="296" spans="1:10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</row>
    <row r="297" spans="1:10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</row>
    <row r="298" spans="1:10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</row>
    <row r="299" spans="1:10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</row>
    <row r="300" spans="1:1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</row>
    <row r="301" spans="1:10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</row>
    <row r="302" spans="1:10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</row>
    <row r="303" spans="1:10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</row>
    <row r="304" spans="1:10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</row>
    <row r="305" spans="1:10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</row>
    <row r="306" spans="1:10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</row>
    <row r="307" spans="1:10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</row>
    <row r="308" spans="1:10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</row>
    <row r="309" spans="1:10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</row>
    <row r="310" spans="1: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</row>
    <row r="311" spans="1:10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</row>
    <row r="312" spans="1:10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</row>
    <row r="313" spans="1:10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</row>
    <row r="314" spans="1:10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</row>
    <row r="315" spans="1:10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</row>
    <row r="316" spans="1:10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</row>
    <row r="317" spans="1:10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</row>
    <row r="318" spans="1:10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</row>
    <row r="319" spans="1:10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</row>
    <row r="320" spans="1:1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</row>
    <row r="321" spans="1:10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</row>
    <row r="322" spans="1:10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</row>
    <row r="323" spans="1:10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</row>
    <row r="324" spans="1:10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</row>
    <row r="325" spans="1:10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</row>
    <row r="326" spans="1:10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</row>
    <row r="327" spans="1:10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</row>
    <row r="328" spans="1:10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</row>
    <row r="329" spans="1:10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</row>
    <row r="330" spans="1:1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</row>
    <row r="331" spans="1:10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</row>
    <row r="332" spans="1:10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</row>
    <row r="333" spans="1:10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</row>
    <row r="334" spans="1:10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</row>
    <row r="335" spans="1:10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</row>
    <row r="336" spans="1:10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</row>
    <row r="337" spans="1:10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</row>
    <row r="338" spans="1:10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</row>
    <row r="339" spans="1:10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</row>
    <row r="340" spans="1:1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</row>
    <row r="341" spans="1:10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</row>
    <row r="342" spans="1:10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</row>
    <row r="343" spans="1:10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</row>
    <row r="344" spans="1:10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</row>
    <row r="345" spans="1:10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</row>
    <row r="346" spans="1:10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</row>
    <row r="347" spans="1:10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</row>
    <row r="348" spans="1:10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</row>
    <row r="349" spans="1:10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</row>
    <row r="350" spans="1:1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</row>
    <row r="351" spans="1:10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</row>
    <row r="352" spans="1:10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</row>
    <row r="353" spans="1:10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</row>
    <row r="354" spans="1:10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</row>
    <row r="355" spans="1:10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</row>
    <row r="356" spans="1:10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</row>
    <row r="357" spans="1:10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</row>
    <row r="358" spans="1:10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</row>
    <row r="359" spans="1:10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</row>
    <row r="360" spans="1:1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</row>
    <row r="361" spans="1:10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</row>
    <row r="362" spans="1:10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</row>
    <row r="363" spans="1:10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</row>
    <row r="364" spans="1:10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</row>
    <row r="365" spans="1:10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</row>
    <row r="366" spans="1:10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</row>
    <row r="367" spans="1:10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</row>
    <row r="368" spans="1:10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</row>
    <row r="369" spans="1:10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</row>
    <row r="370" spans="1:1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</row>
    <row r="371" spans="1:10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</sheetData>
  <mergeCells count="59">
    <mergeCell ref="C168:D168"/>
    <mergeCell ref="G168:I168"/>
    <mergeCell ref="C169:D169"/>
    <mergeCell ref="G169:I169"/>
    <mergeCell ref="A170:J170"/>
    <mergeCell ref="A162:J162"/>
    <mergeCell ref="B165:D165"/>
    <mergeCell ref="F165:I165"/>
    <mergeCell ref="C166:D166"/>
    <mergeCell ref="G166:I166"/>
    <mergeCell ref="C167:D167"/>
    <mergeCell ref="G167:I167"/>
    <mergeCell ref="G159:H159"/>
    <mergeCell ref="I159:J159"/>
    <mergeCell ref="E160:F161"/>
    <mergeCell ref="G160:H160"/>
    <mergeCell ref="I160:J160"/>
    <mergeCell ref="G161:H161"/>
    <mergeCell ref="I161:J161"/>
    <mergeCell ref="A155:J155"/>
    <mergeCell ref="A156:D161"/>
    <mergeCell ref="E156:F157"/>
    <mergeCell ref="G156:H156"/>
    <mergeCell ref="I156:J156"/>
    <mergeCell ref="G157:H157"/>
    <mergeCell ref="I157:J157"/>
    <mergeCell ref="E158:F159"/>
    <mergeCell ref="G158:H158"/>
    <mergeCell ref="I158:J158"/>
    <mergeCell ref="A148:J148"/>
    <mergeCell ref="A149:F154"/>
    <mergeCell ref="G149:I149"/>
    <mergeCell ref="G150:H150"/>
    <mergeCell ref="G151:H151"/>
    <mergeCell ref="G152:H152"/>
    <mergeCell ref="G153:H153"/>
    <mergeCell ref="G154:H154"/>
    <mergeCell ref="A27:J27"/>
    <mergeCell ref="A142:J142"/>
    <mergeCell ref="A143:F147"/>
    <mergeCell ref="G143:I143"/>
    <mergeCell ref="G144:I144"/>
    <mergeCell ref="G145:I145"/>
    <mergeCell ref="H146:I146"/>
    <mergeCell ref="G147:I147"/>
    <mergeCell ref="A12:J12"/>
    <mergeCell ref="D8:G8"/>
    <mergeCell ref="I8:J8"/>
    <mergeCell ref="A10:J10"/>
    <mergeCell ref="C2:J3"/>
    <mergeCell ref="D4:G4"/>
    <mergeCell ref="I4:J4"/>
    <mergeCell ref="D5:G5"/>
    <mergeCell ref="I5:J5"/>
    <mergeCell ref="A1:J1"/>
    <mergeCell ref="D6:G6"/>
    <mergeCell ref="I6:J6"/>
    <mergeCell ref="D7:G7"/>
    <mergeCell ref="I7:J7"/>
  </mergeCells>
  <conditionalFormatting sqref="I13:I16 I18:I19 I22:I26 H28:I141 H13:H26">
    <cfRule type="cellIs" dxfId="1" priority="3" operator="lessThan">
      <formula>0</formula>
    </cfRule>
  </conditionalFormatting>
  <conditionalFormatting sqref="I13:I16 I18:I19 I22:I26 I28:I141">
    <cfRule type="expression" dxfId="0" priority="5">
      <formula>_xludf.ISFORMULA(#REF!)</formula>
    </cfRule>
  </conditionalFormatting>
  <pageMargins left="0.23622047244094491" right="0.23622047244094491" top="0.74803149606299213" bottom="0.74803149606299213" header="0" footer="0"/>
  <pageSetup fitToHeight="0" orientation="landscape"/>
  <headerFooter>
    <oddFooter>&amp;L&amp;P&amp;Cpctronic&amp;R&amp;D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Cotizador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Julio</cp:lastModifiedBy>
  <dcterms:created xsi:type="dcterms:W3CDTF">2026-10-18T02:20:47Z</dcterms:created>
  <dcterms:modified xsi:type="dcterms:W3CDTF">2026-10-18T02:20:47Z</dcterms:modified>
</cp:coreProperties>
</file>