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TABLERO" sheetId="2" state="visible" r:id="rId4"/>
    <sheet name="CRONOGRAMA" sheetId="3" state="visible" r:id="rId5"/>
    <sheet name="PRESUPUESTO" sheetId="4" state="visible" r:id="rId6"/>
    <sheet name="CORTES CLIENTE" sheetId="5" state="visible" r:id="rId7"/>
    <sheet name="MANO DE OBRA" sheetId="6" state="visible" r:id="rId8"/>
    <sheet name="GASTOS" sheetId="7" state="visible" r:id="rId9"/>
    <sheet name="CONTROL DE MATERIALES" sheetId="8" state="visible" r:id="rId10"/>
    <sheet name="GUÍA APP" sheetId="9" state="visible" r:id="rId11"/>
    <sheet name="LISTAS" sheetId="10" state="hidden" r:id="rId12"/>
  </sheets>
  <definedNames>
    <definedName function="false" hidden="true" localSheetId="6" name="_xlnm._FilterDatabase" vbProcedure="false">GASTOS!$A$6:$K$1506</definedName>
    <definedName function="false" hidden="true" localSheetId="3" name="_xlnm._FilterDatabase" vbProcedure="false">PRESUPUESTO!$A$6:$U$206</definedName>
    <definedName function="false" hidden="false" name="lst_EstActa" vbProcedure="false">LISTAS!$D$2:$D$4</definedName>
    <definedName function="false" hidden="false" name="lst_EstProy" vbProcedure="false">LISTAS!$F$2:$F$6</definedName>
    <definedName function="false" hidden="false" name="lst_Frentes" vbProcedure="false">PRESUPUESTO!$W$7:$W$206</definedName>
    <definedName function="false" hidden="false" name="lst_Items" vbProcedure="false">PRESUPUESTO!$B$7:$B$206</definedName>
    <definedName function="false" hidden="false" name="lst_SiNo" vbProcedure="false">LISTAS!$E$2:$E$3</definedName>
    <definedName function="false" hidden="false" name="lst_Tipo" vbProcedure="false">LISTAS!$A$2:$A$4</definedName>
    <definedName function="false" hidden="false" name="lst_TipoAct" vbProcedure="false">LISTAS!$B$2:$B$7</definedName>
    <definedName function="false" hidden="false" name="lst_TipoGasto" vbProcedure="false">LISTAS!$C$2:$C$7</definedName>
    <definedName function="false" hidden="false" name="n_Cliente" vbProcedure="false">INICIO!$C$6</definedName>
    <definedName function="false" hidden="false" name="n_Contratista" vbProcedure="false">INICIO!$C$14</definedName>
    <definedName function="false" hidden="false" name="n_Cotizacion" vbProcedure="false">INICIO!$C$8</definedName>
    <definedName function="false" hidden="false" name="n_FFin" vbProcedure="false">INICIO!$C$11</definedName>
    <definedName function="false" hidden="false" name="n_FInicio" vbProcedure="false">INICIO!$C$10</definedName>
    <definedName function="false" hidden="false" name="n_Proyecto" vbProcedure="false">INICIO!$C$5</definedName>
    <definedName function="false" hidden="false" name="p_Admin" vbProcedure="false">INICIO!$C$18</definedName>
    <definedName function="false" hidden="false" name="p_Anticipo" vbProcedure="false">INICIO!$C$23</definedName>
    <definedName function="false" hidden="false" name="p_AntRecibido" vbProcedure="false">INICIO!$C$28</definedName>
    <definedName function="false" hidden="false" name="p_Extra" vbProcedure="false">INICIO!$C$27</definedName>
    <definedName function="false" hidden="false" name="p_Imprev" vbProcedure="false">INICIO!$C$19</definedName>
    <definedName function="false" hidden="false" name="p_Impuestos" vbProcedure="false">INICIO!$C$24</definedName>
    <definedName function="false" hidden="false" name="p_IVA" vbProcedure="false">INICIO!$C$21</definedName>
    <definedName function="false" hidden="false" name="p_IVAMat" vbProcedure="false">INICIO!$C$22</definedName>
    <definedName function="false" hidden="false" name="p_Legales" vbProcedure="false">INICIO!$C$26</definedName>
    <definedName function="false" hidden="false" name="p_Polizas" vbProcedure="false">INICIO!$C$25</definedName>
    <definedName function="false" hidden="false" name="p_Util" vbProcedure="false">INICIO!$C$20</definedName>
    <definedName function="false" hidden="false" name="t_Cargo" vbProcedure="false">INICIO!$G$16:$G$23</definedName>
    <definedName function="false" hidden="false" name="t_Hora" vbProcedure="false">INICIO!$H$16:$H$23</definedName>
    <definedName function="false" hidden="false" name="t_Horas" vbProcedure="false">INICIO!$I$16:$I$23</definedName>
    <definedName function="false" hidden="false" name="v_Anticipo" vbProcedure="false">INICIO!$H$12</definedName>
    <definedName function="false" hidden="false" name="v_CD" vbProcedure="false">INICIO!$H$5</definedName>
    <definedName function="false" hidden="false" name="v_FaltMat" vbProcedure="false">'CONTROL DE MATERIALES'!$A$5</definedName>
    <definedName function="false" hidden="false" name="v_Ingreso" vbProcedure="false">INICIO!$H$11</definedName>
    <definedName function="false" hidden="false" name="v_MOPropia" vbProcedure="false">'MANO DE OBRA'!$AE$4</definedName>
    <definedName function="false" hidden="false" name="v_Total" vbProcedure="false">INICIO!$H$10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<sst xmlns="http://schemas.openxmlformats.org/spreadsheetml/2006/main" count="544" uniqueCount="369">
  <si>
    <t xml:space="preserve">CONTROL DE PROYECTO</t>
  </si>
  <si>
    <t xml:space="preserve">Hoja de inicio: diligencie las celdas amarillas. Todo lo demás se calcula solo.</t>
  </si>
  <si>
    <t xml:space="preserve">● INICIO</t>
  </si>
  <si>
    <t xml:space="preserve">TABLERO</t>
  </si>
  <si>
    <t xml:space="preserve">CRONOGRAMA</t>
  </si>
  <si>
    <t xml:space="preserve">PRESUPUESTO</t>
  </si>
  <si>
    <t xml:space="preserve">CORTES CLIENTE</t>
  </si>
  <si>
    <t xml:space="preserve">MANO DE OBRA</t>
  </si>
  <si>
    <t xml:space="preserve">GASTOS</t>
  </si>
  <si>
    <t xml:space="preserve">MATERIALES</t>
  </si>
  <si>
    <t xml:space="preserve">GUÍA</t>
  </si>
  <si>
    <t xml:space="preserve">DATOS DEL PROYECTO</t>
  </si>
  <si>
    <t xml:space="preserve">VALOR DEL CONTRATO (calculado)</t>
  </si>
  <si>
    <t xml:space="preserve">Nombre del proyecto</t>
  </si>
  <si>
    <t xml:space="preserve">Costo directo (valor de venta de ítems)</t>
  </si>
  <si>
    <t xml:space="preserve">Cliente</t>
  </si>
  <si>
    <t xml:space="preserve">Administración</t>
  </si>
  <si>
    <t xml:space="preserve">Ciudad</t>
  </si>
  <si>
    <t xml:space="preserve">Imprevistos</t>
  </si>
  <si>
    <t xml:space="preserve">N° cotización / referencia</t>
  </si>
  <si>
    <t xml:space="preserve">Utilidad</t>
  </si>
  <si>
    <t xml:space="preserve">Fecha de cotización</t>
  </si>
  <si>
    <t xml:space="preserve">IVA sobre utilidad</t>
  </si>
  <si>
    <t xml:space="preserve">Fecha de inicio de obra</t>
  </si>
  <si>
    <t xml:space="preserve">TOTAL CONTRATO</t>
  </si>
  <si>
    <t xml:space="preserve">Fecha fin contractual</t>
  </si>
  <si>
    <t xml:space="preserve">Ingreso del proyecto sin IVA (CD + A + I + U)</t>
  </si>
  <si>
    <t xml:space="preserve">Director de proyecto</t>
  </si>
  <si>
    <t xml:space="preserve">Valor del anticipo</t>
  </si>
  <si>
    <t xml:space="preserve">Comercial responsable</t>
  </si>
  <si>
    <t xml:space="preserve">Contratista de mano de obra</t>
  </si>
  <si>
    <t xml:space="preserve">TARIFAS TÉCNICOS PROPIOS</t>
  </si>
  <si>
    <t xml:space="preserve">Estado del proyecto</t>
  </si>
  <si>
    <t xml:space="preserve">Cargo</t>
  </si>
  <si>
    <t xml:space="preserve">Valor hora</t>
  </si>
  <si>
    <t xml:space="preserve">Horas / día</t>
  </si>
  <si>
    <t xml:space="preserve">Valor día</t>
  </si>
  <si>
    <t xml:space="preserve">Técnico electricista</t>
  </si>
  <si>
    <t xml:space="preserve">PARÁMETROS FINANCIEROS</t>
  </si>
  <si>
    <t xml:space="preserve">Técnico de redes / CCTV</t>
  </si>
  <si>
    <t xml:space="preserve">Administración (A)</t>
  </si>
  <si>
    <t xml:space="preserve">Sobre costo directo de venta</t>
  </si>
  <si>
    <t xml:space="preserve">Auxiliar técnico</t>
  </si>
  <si>
    <t xml:space="preserve">Imprevistos (I)</t>
  </si>
  <si>
    <t xml:space="preserve">Supervisor / Ingeniero residente</t>
  </si>
  <si>
    <t xml:space="preserve">Utilidad (U)</t>
  </si>
  <si>
    <t xml:space="preserve">IVA</t>
  </si>
  <si>
    <t xml:space="preserve">Se cobra sobre la utilidad (esquema AIU)</t>
  </si>
  <si>
    <t xml:space="preserve">¿Sumar IVA al costo de materiales?</t>
  </si>
  <si>
    <t xml:space="preserve">Sí</t>
  </si>
  <si>
    <t xml:space="preserve">En AIU el IVA de compras es costo</t>
  </si>
  <si>
    <t xml:space="preserve">Anticipo pactado</t>
  </si>
  <si>
    <t xml:space="preserve">Se amortiza en cada acta</t>
  </si>
  <si>
    <t xml:space="preserve">Impuestos (% sobre costo directo)</t>
  </si>
  <si>
    <t xml:space="preserve">Tomado del cotizador</t>
  </si>
  <si>
    <t xml:space="preserve">Valores de EJEMPLO: reemplace por las tarifas reales de la empresa.</t>
  </si>
  <si>
    <t xml:space="preserve">Pólizas (% sobre total contrato)</t>
  </si>
  <si>
    <t xml:space="preserve">Gastos legales (% sobre costo directo)</t>
  </si>
  <si>
    <t xml:space="preserve">Tomado del cotizador (abogado)</t>
  </si>
  <si>
    <t xml:space="preserve">CÓMO SE USA (código de colores)</t>
  </si>
  <si>
    <t xml:space="preserve">Recargo hora extra técnicos</t>
  </si>
  <si>
    <t xml:space="preserve">Supuesto — confirmar</t>
  </si>
  <si>
    <t xml:space="preserve">Celda amarilla, letra azul</t>
  </si>
  <si>
    <t xml:space="preserve">Dato que USTED digita</t>
  </si>
  <si>
    <t xml:space="preserve">Anticipo recibido ($)</t>
  </si>
  <si>
    <t xml:space="preserve">Digite el valor cuando entre</t>
  </si>
  <si>
    <t xml:space="preserve">Celda blanca, letra negra</t>
  </si>
  <si>
    <t xml:space="preserve">Fórmula: no se toca</t>
  </si>
  <si>
    <t xml:space="preserve">Fila azul claro</t>
  </si>
  <si>
    <t xml:space="preserve">Capítulo / agrupador</t>
  </si>
  <si>
    <t xml:space="preserve">ÍNDICE DEL LIBRO</t>
  </si>
  <si>
    <t xml:space="preserve">Rojo / ámbar / verde</t>
  </si>
  <si>
    <t xml:space="preserve">Semáforo de alertas</t>
  </si>
  <si>
    <t xml:space="preserve">Tablero: margen, avance, facturación y alertas</t>
  </si>
  <si>
    <t xml:space="preserve">Hitos y frentes con fechas, Gantt y alertas de atraso</t>
  </si>
  <si>
    <t xml:space="preserve">• Para un proyecto nuevo: guarde una copia de la PLANTILLA, llene INICIO y pegue los ítems de la cotización en PRESUPUESTO.</t>
  </si>
  <si>
    <t xml:space="preserve">Ítems de la cotización con costos (base de todo)</t>
  </si>
  <si>
    <t xml:space="preserve">Avance de obra, actas y facturación al cliente</t>
  </si>
  <si>
    <t xml:space="preserve">• Agregue ítems en las filas vacías al final del PRESUPUESTO; no inserte filas en medio (las demás hojas se alinean por fila).</t>
  </si>
  <si>
    <t xml:space="preserve">Contratista (contrato y cortes) + horas de técnicos propios</t>
  </si>
  <si>
    <t xml:space="preserve">ÚNICA hoja de registro: compras, suministros, alquileres, transporte y pagos</t>
  </si>
  <si>
    <t xml:space="preserve">• Todo gasto (compras, alquileres, transporte, pagos al contratista) se escribe UNA sola vez en GASTOS: una fila por ítem comprado o por pago.</t>
  </si>
  <si>
    <t xml:space="preserve">CONTROL DE MATERIALES</t>
  </si>
  <si>
    <t xml:space="preserve">Por ítem: comprado, faltante, precio promedio y alertas (solo lectura)</t>
  </si>
  <si>
    <t xml:space="preserve">GUÍA APP</t>
  </si>
  <si>
    <t xml:space="preserve">Cómo pasar este modelo al desarrollo web</t>
  </si>
  <si>
    <t xml:space="preserve">TABLERO DEL PROYECTO</t>
  </si>
  <si>
    <t xml:space="preserve">Se actualiza solo con lo que se digita en las demás hojas.</t>
  </si>
  <si>
    <t xml:space="preserve">INICIO</t>
  </si>
  <si>
    <t xml:space="preserve">● TABLERO</t>
  </si>
  <si>
    <t xml:space="preserve">VALOR DEL CONTRATO</t>
  </si>
  <si>
    <t xml:space="preserve">AVANCE FÍSICO</t>
  </si>
  <si>
    <t xml:space="preserve">FACTURADO (neto)</t>
  </si>
  <si>
    <t xml:space="preserve">COSTO REAL A LA FECHA</t>
  </si>
  <si>
    <t xml:space="preserve">MARGEN BRUTO PROYECTADO</t>
  </si>
  <si>
    <t xml:space="preserve">CONTROL DE COSTOS POR CATEGORÍA</t>
  </si>
  <si>
    <t xml:space="preserve">Categoría</t>
  </si>
  <si>
    <t xml:space="preserve">Presupuesto</t>
  </si>
  <si>
    <t xml:space="preserve">Real a la fecha</t>
  </si>
  <si>
    <t xml:space="preserve">% consumido</t>
  </si>
  <si>
    <t xml:space="preserve">Saldo disponible</t>
  </si>
  <si>
    <t xml:space="preserve">Proyección al cierre</t>
  </si>
  <si>
    <t xml:space="preserve">Desviación</t>
  </si>
  <si>
    <t xml:space="preserve">Estado</t>
  </si>
  <si>
    <t xml:space="preserve">Regla de proyección</t>
  </si>
  <si>
    <t xml:space="preserve">Materiales y equipos</t>
  </si>
  <si>
    <t xml:space="preserve">Real + faltante valorizado (CONTROL DE MATERIALES)</t>
  </si>
  <si>
    <t xml:space="preserve">Mano de obra</t>
  </si>
  <si>
    <t xml:space="preserve">Contrato contratista + MO propia</t>
  </si>
  <si>
    <t xml:space="preserve">Transporte y otros</t>
  </si>
  <si>
    <t xml:space="preserve">Mayor entre real y presupuesto</t>
  </si>
  <si>
    <t xml:space="preserve">Alquileres</t>
  </si>
  <si>
    <t xml:space="preserve">Impuestos y pólizas</t>
  </si>
  <si>
    <t xml:space="preserve">En control</t>
  </si>
  <si>
    <t xml:space="preserve">Se causan según avance</t>
  </si>
  <si>
    <t xml:space="preserve">TOTAL</t>
  </si>
  <si>
    <t xml:space="preserve">MARGEN BRUTO</t>
  </si>
  <si>
    <t xml:space="preserve">FACTURACIÓN Y CARTERA</t>
  </si>
  <si>
    <t xml:space="preserve">Concepto</t>
  </si>
  <si>
    <t xml:space="preserve">Valor</t>
  </si>
  <si>
    <t xml:space="preserve">%</t>
  </si>
  <si>
    <t xml:space="preserve">Ingreso del contrato (sin IVA)</t>
  </si>
  <si>
    <t xml:space="preserve">Valor total del contrato (con IVA)</t>
  </si>
  <si>
    <t xml:space="preserve">Costo presupuestado total</t>
  </si>
  <si>
    <t xml:space="preserve">MARGEN BRUTO PRESUPUESTADO</t>
  </si>
  <si>
    <t xml:space="preserve">Anticipo recibido</t>
  </si>
  <si>
    <t xml:space="preserve">Costo proyectado al cierre</t>
  </si>
  <si>
    <t xml:space="preserve">Total actas generadas</t>
  </si>
  <si>
    <t xml:space="preserve">Facturado en actas (neto)</t>
  </si>
  <si>
    <t xml:space="preserve">Ingreso causado a la fecha (actas sin IVA)</t>
  </si>
  <si>
    <t xml:space="preserve">Recaudado (actas + anticipo)</t>
  </si>
  <si>
    <t xml:space="preserve">Costo real a la fecha</t>
  </si>
  <si>
    <t xml:space="preserve">SALDO DEL CONTRATO POR EJECUTAR</t>
  </si>
  <si>
    <t xml:space="preserve">MARGEN REAL A LA FECHA</t>
  </si>
  <si>
    <t xml:space="preserve">CARTERA POR COBRAR</t>
  </si>
  <si>
    <t xml:space="preserve">PRESUPUESTO vs REAL vs PROYECCIÓN</t>
  </si>
  <si>
    <t xml:space="preserve">GASTOS POR TIPO (desde GASTOS)</t>
  </si>
  <si>
    <t xml:space="preserve">Tipo</t>
  </si>
  <si>
    <t xml:space="preserve">% del total</t>
  </si>
  <si>
    <t xml:space="preserve">N° registros</t>
  </si>
  <si>
    <t xml:space="preserve">Material</t>
  </si>
  <si>
    <t xml:space="preserve">Equipo</t>
  </si>
  <si>
    <t xml:space="preserve">Suministro</t>
  </si>
  <si>
    <t xml:space="preserve">Alquiler</t>
  </si>
  <si>
    <t xml:space="preserve">Transporte</t>
  </si>
  <si>
    <t xml:space="preserve">Mano de obra contratista</t>
  </si>
  <si>
    <t xml:space="preserve">TOTAL GASTADO</t>
  </si>
  <si>
    <t xml:space="preserve">CRONOGRAMA DE OBRA</t>
  </si>
  <si>
    <t xml:space="preserve">Fases separadas por color. Digite duración y predecesora (o inicio fijo); al poner fechas REALES todo lo que depende se corre solo. Use los botones [-]/[+] de la izquierda para contraer o expandir cada fase.</t>
  </si>
  <si>
    <t xml:space="preserve">● CRONOGRAMA</t>
  </si>
  <si>
    <t xml:space="preserve">FIN PROYECTADO</t>
  </si>
  <si>
    <t xml:space="preserve">FIN CONTRACTUAL</t>
  </si>
  <si>
    <t xml:space="preserve">HOLGURA (días)</t>
  </si>
  <si>
    <t xml:space="preserve">HITOS CUMPLIDOS</t>
  </si>
  <si>
    <t xml:space="preserve">ATRASADAS</t>
  </si>
  <si>
    <t xml:space="preserve">ID</t>
  </si>
  <si>
    <t xml:space="preserve">FASE / ACTIVIDAD</t>
  </si>
  <si>
    <t xml:space="preserve">Responsable</t>
  </si>
  <si>
    <t xml:space="preserve">Frente vinculado
(presupuesto)</t>
  </si>
  <si>
    <t xml:space="preserve">Pred.</t>
  </si>
  <si>
    <t xml:space="preserve">Inicio fijo
(opcional)</t>
  </si>
  <si>
    <t xml:space="preserve">Días</t>
  </si>
  <si>
    <t xml:space="preserve">Inicio</t>
  </si>
  <si>
    <t xml:space="preserve">Fin</t>
  </si>
  <si>
    <t xml:space="preserve">Inicio
REAL</t>
  </si>
  <si>
    <t xml:space="preserve">Fin
REAL</t>
  </si>
  <si>
    <t xml:space="preserve">%
manual</t>
  </si>
  <si>
    <t xml:space="preserve">Avance</t>
  </si>
  <si>
    <t xml:space="preserve">Días
atraso</t>
  </si>
  <si>
    <t xml:space="preserve">INICIO Y PLANEACIÓN</t>
  </si>
  <si>
    <t xml:space="preserve">Fase</t>
  </si>
  <si>
    <t xml:space="preserve">Firma de contrato / orden de compra</t>
  </si>
  <si>
    <t xml:space="preserve">Hito</t>
  </si>
  <si>
    <t xml:space="preserve">Gerencia</t>
  </si>
  <si>
    <t xml:space="preserve">Socialización del proyecto con el cliente</t>
  </si>
  <si>
    <t xml:space="preserve">Dir. proyectos</t>
  </si>
  <si>
    <t xml:space="preserve">Planeación, programación y pedidos iniciales</t>
  </si>
  <si>
    <t xml:space="preserve">Gestión</t>
  </si>
  <si>
    <t xml:space="preserve">Acta de inicio de obra</t>
  </si>
  <si>
    <t xml:space="preserve">FRENTE 1 (cambie el nombre)</t>
  </si>
  <si>
    <t xml:space="preserve">Compra materiales — lote 1</t>
  </si>
  <si>
    <t xml:space="preserve">Compra</t>
  </si>
  <si>
    <t xml:space="preserve">Compras</t>
  </si>
  <si>
    <t xml:space="preserve">Instalación</t>
  </si>
  <si>
    <t xml:space="preserve">Contratista</t>
  </si>
  <si>
    <t xml:space="preserve">Pruebas / certificación</t>
  </si>
  <si>
    <t xml:space="preserve">Pruebas</t>
  </si>
  <si>
    <t xml:space="preserve">Técnico</t>
  </si>
  <si>
    <t xml:space="preserve">FRENTE 2 (cambie el nombre)</t>
  </si>
  <si>
    <t xml:space="preserve">CORTES Y FACTURACIÓN</t>
  </si>
  <si>
    <t xml:space="preserve">Acta de corte 1 al cliente</t>
  </si>
  <si>
    <t xml:space="preserve">CIERRE Y ENTREGA</t>
  </si>
  <si>
    <t xml:space="preserve">Pruebas integrales y capacitación al cliente</t>
  </si>
  <si>
    <t xml:space="preserve">Entrega y acta de recibo final</t>
  </si>
  <si>
    <t xml:space="preserve">Liquidación del contrato</t>
  </si>
  <si>
    <t xml:space="preserve">OTRAS ACTIVIDADES</t>
  </si>
  <si>
    <t xml:space="preserve">CÓMO SE USA</t>
  </si>
  <si>
    <t xml:space="preserve">• Fila de color = FASE: sus fechas, % y estado se calculan solos con las actividades que tiene debajo.</t>
  </si>
  <si>
    <t xml:space="preserve">• Para agregar una actividad: copie una fila de actividad y use 'Insertar celdas copiadas' dentro de la fase.</t>
  </si>
  <si>
    <t xml:space="preserve">• Para una fase nueva: copie una fila de FASE (o use la fase 'OTRAS ACTIVIDADES' y cámbiele el nombre).</t>
  </si>
  <si>
    <t xml:space="preserve">• Compras por partes: agregue 'Compra lote 2, 3…' dentro de la fase; cada lote se cierra por separado.</t>
  </si>
  <si>
    <t xml:space="preserve">• Gantt: tono claro = programado · tono fuerte = ejecutado · rojo = atrasado · ◆ = hito · rosado = semana actual.</t>
  </si>
  <si>
    <t xml:space="preserve">PRESUPUESTO DEL PROYECTO</t>
  </si>
  <si>
    <t xml:space="preserve">Base de la cotización comercial: precio de venta y costos unitarios por tipo. Es la tabla madre del libro.</t>
  </si>
  <si>
    <t xml:space="preserve">● PRESUPUESTO</t>
  </si>
  <si>
    <t xml:space="preserve">TOTALES</t>
  </si>
  <si>
    <t xml:space="preserve">Ítem</t>
  </si>
  <si>
    <t xml:space="preserve">Descripción</t>
  </si>
  <si>
    <t xml:space="preserve">Und</t>
  </si>
  <si>
    <t xml:space="preserve">Cant.</t>
  </si>
  <si>
    <t xml:space="preserve">PU venta</t>
  </si>
  <si>
    <t xml:space="preserve">Total venta</t>
  </si>
  <si>
    <t xml:space="preserve">C.U. material
(sin IVA)</t>
  </si>
  <si>
    <t xml:space="preserve">C.U. material
(con IVA)</t>
  </si>
  <si>
    <t xml:space="preserve">C.U. mano
de obra</t>
  </si>
  <si>
    <t xml:space="preserve">C.U. transporte
/ otros</t>
  </si>
  <si>
    <t xml:space="preserve">Concepto
alquiler</t>
  </si>
  <si>
    <t xml:space="preserve">C.U.
alquiler</t>
  </si>
  <si>
    <t xml:space="preserve">C.U. total</t>
  </si>
  <si>
    <t xml:space="preserve">Total
material</t>
  </si>
  <si>
    <t xml:space="preserve">Total
mano de obra</t>
  </si>
  <si>
    <t xml:space="preserve">Total
transporte</t>
  </si>
  <si>
    <t xml:space="preserve">Total
alquiler</t>
  </si>
  <si>
    <t xml:space="preserve">COSTO TOTAL</t>
  </si>
  <si>
    <t xml:space="preserve">Margen $</t>
  </si>
  <si>
    <t xml:space="preserve">Margen %</t>
  </si>
  <si>
    <t xml:space="preserve">Frente
(capítulo)</t>
  </si>
  <si>
    <t xml:space="preserve">AVANCE DE OBRA Y CORTES AL CLIENTE</t>
  </si>
  <si>
    <t xml:space="preserve">Digite la cantidad ejecutada de cada ítem en la columna del corte. El acta, el AIU, la amortización del anticipo y lo pendiente se calculan solos.</t>
  </si>
  <si>
    <t xml:space="preserve">● CORTES CLIENTE</t>
  </si>
  <si>
    <t xml:space="preserve">Corte N°</t>
  </si>
  <si>
    <t xml:space="preserve">Corte 1</t>
  </si>
  <si>
    <t xml:space="preserve">Corte 2</t>
  </si>
  <si>
    <t xml:space="preserve">Corte 3</t>
  </si>
  <si>
    <t xml:space="preserve">Corte 4</t>
  </si>
  <si>
    <t xml:space="preserve">Corte 5</t>
  </si>
  <si>
    <t xml:space="preserve">Corte 6</t>
  </si>
  <si>
    <t xml:space="preserve">ACUMULADO</t>
  </si>
  <si>
    <t xml:space="preserve">Fecha de corte</t>
  </si>
  <si>
    <t xml:space="preserve">Costo directo ejecutado (cant × PU venta)</t>
  </si>
  <si>
    <t xml:space="preserve">TOTAL ACTA</t>
  </si>
  <si>
    <t xml:space="preserve">Amortización anticipo</t>
  </si>
  <si>
    <t xml:space="preserve">NETO A FACTURAR</t>
  </si>
  <si>
    <t xml:space="preserve">N° de factura</t>
  </si>
  <si>
    <t xml:space="preserve">Fecha de factura</t>
  </si>
  <si>
    <t xml:space="preserve">Estado (Pendiente / Facturado / Pagado)</t>
  </si>
  <si>
    <t xml:space="preserve">Valor recaudado</t>
  </si>
  <si>
    <t xml:space="preserve">AVANCE FÍSICO DEL PROYECTO (valor ejecutado / valor total) →</t>
  </si>
  <si>
    <t xml:space="preserve">Cant.
contrato</t>
  </si>
  <si>
    <t xml:space="preserve">Corte 1
(cant.)</t>
  </si>
  <si>
    <t xml:space="preserve">Corte 2
(cant.)</t>
  </si>
  <si>
    <t xml:space="preserve">Corte 3
(cant.)</t>
  </si>
  <si>
    <t xml:space="preserve">Corte 4
(cant.)</t>
  </si>
  <si>
    <t xml:space="preserve">Corte 5
(cant.)</t>
  </si>
  <si>
    <t xml:space="preserve">Corte 6
(cant.)</t>
  </si>
  <si>
    <t xml:space="preserve">Cant.
ejecutada</t>
  </si>
  <si>
    <t xml:space="preserve">Cant.
pendiente</t>
  </si>
  <si>
    <t xml:space="preserve">% avance
ítem</t>
  </si>
  <si>
    <t xml:space="preserve">Valor
ejecutado</t>
  </si>
  <si>
    <t xml:space="preserve">Valor
pendiente</t>
  </si>
  <si>
    <t xml:space="preserve">Izquierda: contrato y cortes del contratista (cantidades por ítem). Derecha: horas de técnicos propios. Los pagos al contratista se registran en GASTOS (Tipo 'Mano de obra contratista', Factura/OC = 'Corte 1', 'Corte 2'…).</t>
  </si>
  <si>
    <t xml:space="preserve">● MANO DE OBRA</t>
  </si>
  <si>
    <t xml:space="preserve">TÉCNICOS PROPIOS PCTRONIC — total horas / costo →</t>
  </si>
  <si>
    <t xml:space="preserve">Valor corte (precio contratista)</t>
  </si>
  <si>
    <t xml:space="preserve">Una fila por técnico y día. El valor hora sale de las tarifas de INICIO; si deja 'Horas/día' vacío se usan las horas estándar del cargo.</t>
  </si>
  <si>
    <t xml:space="preserve">Valor corte (precio presupuesto)</t>
  </si>
  <si>
    <t xml:space="preserve">N° cuenta de cobro</t>
  </si>
  <si>
    <t xml:space="preserve">Pagado (desde GASTOS)</t>
  </si>
  <si>
    <t xml:space="preserve">SALDO POR PAGAR DEL CORTE</t>
  </si>
  <si>
    <t xml:space="preserve">TOTALES →</t>
  </si>
  <si>
    <t xml:space="preserve">PU
presupuesto</t>
  </si>
  <si>
    <t xml:space="preserve">PU
contratista</t>
  </si>
  <si>
    <t xml:space="preserve">Total
presupuesto</t>
  </si>
  <si>
    <t xml:space="preserve">Total
contratista</t>
  </si>
  <si>
    <t xml:space="preserve">Ahorro vs
presupuesto</t>
  </si>
  <si>
    <t xml:space="preserve">%
avance</t>
  </si>
  <si>
    <t xml:space="preserve">Fecha</t>
  </si>
  <si>
    <t xml:space="preserve">Cargo (tarifas de INICIO)</t>
  </si>
  <si>
    <t xml:space="preserve">Ítem /
actividad</t>
  </si>
  <si>
    <t xml:space="preserve">Horas/día
(opcional)</t>
  </si>
  <si>
    <t xml:space="preserve">Horas
extra</t>
  </si>
  <si>
    <t xml:space="preserve">Total
horas</t>
  </si>
  <si>
    <t xml:space="preserve">Valor total</t>
  </si>
  <si>
    <t xml:space="preserve">Observaciones</t>
  </si>
  <si>
    <t xml:space="preserve">GASTOS DEL PROYECTO</t>
  </si>
  <si>
    <t xml:space="preserve">Aquí se escribe TODO lo que sale, una sola vez: una fila por ítem comprado o por pago. Con el código de 'Ítem' lo cuenta CONTROL DE MATERIALES; sin ítem queda como gasto general.</t>
  </si>
  <si>
    <t xml:space="preserve">● GASTOS</t>
  </si>
  <si>
    <t xml:space="preserve">TOTAL REGISTRADO →</t>
  </si>
  <si>
    <t xml:space="preserve">N°</t>
  </si>
  <si>
    <t xml:space="preserve">Tipo de gasto</t>
  </si>
  <si>
    <t xml:space="preserve">Proveedor / contratista</t>
  </si>
  <si>
    <t xml:space="preserve">Factura / OC
(o 'Corte N')</t>
  </si>
  <si>
    <t xml:space="preserve">Ítem
(opcional)</t>
  </si>
  <si>
    <t xml:space="preserve">Cantidad</t>
  </si>
  <si>
    <t xml:space="preserve">Valor unitario
(precio real)</t>
  </si>
  <si>
    <t xml:space="preserve">cat</t>
  </si>
  <si>
    <t xml:space="preserve">Hoja de solo lectura: se calcula desde GASTOS. Cantidad comprada, faltante, precio promedio real, último precio y alertas. Para que una compra cuente en un ítem, regístrela en GASTOS con su código de ítem y cantidad.</t>
  </si>
  <si>
    <t xml:space="preserve">● MATERIALES</t>
  </si>
  <si>
    <t xml:space="preserve">FALTANTE POR COMPRAR ($)</t>
  </si>
  <si>
    <t xml:space="preserve">COMPRADO EN GASTOS ($)</t>
  </si>
  <si>
    <t xml:space="preserve">ÍTEMS COMPRADOS</t>
  </si>
  <si>
    <t xml:space="preserve">PARCIALES</t>
  </si>
  <si>
    <t xml:space="preserve">SIN COMPRAR</t>
  </si>
  <si>
    <t xml:space="preserve">ALERTAS DE PRECIO</t>
  </si>
  <si>
    <t xml:space="preserve">Única columna que se digita aquí: 'Cant. inicial' = lo comprado ANTES de usar GASTOS (viene prellenada con lo ejecutado en actas; corríjala si compró más). Toda compra nueva se escribe en GASTOS con su ítem, cantidad y precio real.</t>
  </si>
  <si>
    <t xml:space="preserve">Cant.
necesaria</t>
  </si>
  <si>
    <t xml:space="preserve">Cant.
inicial</t>
  </si>
  <si>
    <t xml:space="preserve">Cant.
en GASTOS</t>
  </si>
  <si>
    <t xml:space="preserve">TOTAL
comprado</t>
  </si>
  <si>
    <t xml:space="preserve">FALTANTE</t>
  </si>
  <si>
    <t xml:space="preserve">%
comprado</t>
  </si>
  <si>
    <t xml:space="preserve">Ppto
material</t>
  </si>
  <si>
    <t xml:space="preserve">Valor
en GASTOS</t>
  </si>
  <si>
    <t xml:space="preserve">N°
compras</t>
  </si>
  <si>
    <t xml:space="preserve">Precio
promedio</t>
  </si>
  <si>
    <t xml:space="preserve">Último
precio</t>
  </si>
  <si>
    <t xml:space="preserve">Último
proveedor</t>
  </si>
  <si>
    <t xml:space="preserve">C.U. ppto
(con IVA)</t>
  </si>
  <si>
    <t xml:space="preserve">Var.
precio</t>
  </si>
  <si>
    <t xml:space="preserve">Faltante
valorizado</t>
  </si>
  <si>
    <t xml:space="preserve">Alerta</t>
  </si>
  <si>
    <t xml:space="preserve">Materiales/equipos/suministros registrados en GASTOS SIN ítem asignado (suman valor, no cantidad) →</t>
  </si>
  <si>
    <t xml:space="preserve">GUÍA PARA EL DESARROLLO WEB</t>
  </si>
  <si>
    <t xml:space="preserve">Cada hoja de este libro equivale a un módulo/tabla de la aplicación. Las fórmulas son las reglas de negocio.</t>
  </si>
  <si>
    <t xml:space="preserve">● GUÍA</t>
  </si>
  <si>
    <t xml:space="preserve">Hoja Excel</t>
  </si>
  <si>
    <t xml:space="preserve">Tabla / entidad (BD)</t>
  </si>
  <si>
    <t xml:space="preserve">Campos principales</t>
  </si>
  <si>
    <t xml:space="preserve">Reglas de negocio (fórmulas)</t>
  </si>
  <si>
    <t xml:space="preserve">proyectos
parametros_proyecto
tarifas_tecnicos</t>
  </si>
  <si>
    <t xml:space="preserve">nombre, cliente, ciudad, cotización, fechas, director, comercial, contratista, estado · %A, %I, %U, IVA, IVA a materiales, %anticipo, %impuestos, %pólizas, %legales · cargo, valor_hora, horas_dia</t>
  </si>
  <si>
    <t xml:space="preserve">Total contrato = CD + CD·A + CD·I + CD·U + CD·U·IVA.  Ingreso sin IVA = CD·(1+A+I+U).  Anticipo = Total·%anticipo.</t>
  </si>
  <si>
    <t xml:space="preserve">items_presupuesto</t>
  </si>
  <si>
    <t xml:space="preserve">proyecto_id, tipo (capítulo/ítem), código, descripción, und, cantidad, pu_venta, cu_material, cu_mano_obra, cu_transporte, concepto_alquiler, cu_alquiler, orden</t>
  </si>
  <si>
    <t xml:space="preserve">CU material c/IVA = CU·(1+IVA) si aplica.  Costo total = cant·(mat c/IVA + MO + transp + alq).  Margen = venta − costo.</t>
  </si>
  <si>
    <t xml:space="preserve">cortes_cliente (cabecera)
cortes_cliente_detalle</t>
  </si>
  <si>
    <t xml:space="preserve">Cabecera: n_corte, fecha, n_factura, fecha_factura, estado, valor_recaudado.  Detalle: corte_id, item_id, cantidad</t>
  </si>
  <si>
    <t xml:space="preserve">Costo directo corte = Σ cant·PU venta.  Acta = CD·(1+A+I+U) + CD·U·IVA.  Amortización = −Acta·%anticipo.  Pendiente ítem = cant contrato − Σ cortes (negativo = mayor cantidad).</t>
  </si>
  <si>
    <t xml:space="preserve">contratos_mo (pu por ítem)
cortes_mo + cortes_mo_detalle
registro_mo_propia</t>
  </si>
  <si>
    <t xml:space="preserve">Contratista: item_id, pu_contratista · n_corte, fecha, n_cuenta_cobro, cantidades.  Propia: fecha, técnico, cargo_id, item_id (opc.), días, horas_dia (opc.), horas_extra</t>
  </si>
  <si>
    <t xml:space="preserve">Ahorro = cant·(PU ppto − PU contratista).  Valor corte = Σ cant·PU contratista.  Pagado = Σ gastos tipo MO con 'Corte N'.  MO propia = valor_hora·(días·horas_día + extra·(1+%recargo)).</t>
  </si>
  <si>
    <t xml:space="preserve">gastos</t>
  </si>
  <si>
    <t xml:space="preserve">fecha, tipo (material/equipo/suministro/alquiler/transporte/MO contratista), proveedor, documento (factura/OC/corte), item_id (opc.), descripción, cantidad, valor_unitario</t>
  </si>
  <si>
    <t xml:space="preserve">Fuente única de todo el dinero que sale. Una fila por ítem comprado o pago, con su precio real; no se corrigen compras viejas. Categoría de costo = f(tipo).</t>
  </si>
  <si>
    <t xml:space="preserve">(vista por ítem)</t>
  </si>
  <si>
    <t xml:space="preserve">cant_necesaria, cant_inicial, cant_registrada, faltante, precio_promedio, último_precio, último_proveedor</t>
  </si>
  <si>
    <t xml:space="preserve">Necesaria = MAX(contrato, ejecutado).  Faltante = necesaria − (inicial + registrada).  Precio promedio = Σvalor/Σcant.  Faltante se valoriza al último precio (o al ppto).  Alerta si último precio &gt; ppto +10%.</t>
  </si>
  <si>
    <t xml:space="preserve">actividades_cronograma</t>
  </si>
  <si>
    <t xml:space="preserve">id, fase, actividad, tipo (hito/gestión/compra/instalación/pruebas), responsable, frente (capítulo), predecesora_id, inicio_fijo, duración, inicio_real, fin_real, %_manual</t>
  </si>
  <si>
    <t xml:space="preserve">Inicio = real › fijo › fin predecesora + 1 › inicio proyecto.  Fin = real › inicio + duración − 1.  % instalación = valor cortes del frente / valor frente; % compra = comprado / ppto material del frente.  Atrasada si hoy &gt; fin y % &lt; 100.</t>
  </si>
  <si>
    <t xml:space="preserve">(dashboard)</t>
  </si>
  <si>
    <t xml:space="preserve">KPIs: valor contrato, avance físico, facturado, costo real, margen proyectado</t>
  </si>
  <si>
    <t xml:space="preserve">Avance físico = valor ejecutado / CD.  Proyección = MAX(real, ppto); MO = MAX(real, contrato contratista + MO propia).  Alerta 'Atención' si % consumido &gt; avance + 15 pts.</t>
  </si>
  <si>
    <t xml:space="preserve">TipoAct</t>
  </si>
  <si>
    <t xml:space="preserve">TipoGasto</t>
  </si>
  <si>
    <t xml:space="preserve">EstActa</t>
  </si>
  <si>
    <t xml:space="preserve">SiNo</t>
  </si>
  <si>
    <t xml:space="preserve">EstProy</t>
  </si>
  <si>
    <t xml:space="preserve">Capítulo</t>
  </si>
  <si>
    <t xml:space="preserve">Pendiente</t>
  </si>
  <si>
    <t xml:space="preserve">En planeación</t>
  </si>
  <si>
    <t xml:space="preserve">Subcapítulo</t>
  </si>
  <si>
    <t xml:space="preserve">Facturado</t>
  </si>
  <si>
    <t xml:space="preserve">No</t>
  </si>
  <si>
    <t xml:space="preserve">En ejecución</t>
  </si>
  <si>
    <t xml:space="preserve">Pagado</t>
  </si>
  <si>
    <t xml:space="preserve">Suspendido</t>
  </si>
  <si>
    <t xml:space="preserve">Terminado</t>
  </si>
  <si>
    <t xml:space="preserve">Liquidado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</si>
</sst>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[RED]&quot;-$&quot;#,##0;\-"/>
    <numFmt numFmtId="166" formatCode="dd/mm/yyyy"/>
    <numFmt numFmtId="167" formatCode="0"/>
    <numFmt numFmtId="168" formatCode="0.0%;[RED]\-0.0%;\-"/>
    <numFmt numFmtId="169" formatCode="0.0%"/>
    <numFmt numFmtId="170" formatCode="\$#,##0;&quot;-$&quot;#,##0;\-"/>
    <numFmt numFmtId="171" formatCode="\$#,##0,,\M"/>
    <numFmt numFmtId="172" formatCode="0;[RED]\-0"/>
    <numFmt numFmtId="173" formatCode="dd"/>
    <numFmt numFmtId="174" formatCode="0%"/>
    <numFmt numFmtId="175" formatCode="0;\-0;\-"/>
    <numFmt numFmtId="176" formatCode="#,##0.00;[RED]\-#,##0.00;\-"/>
    <numFmt numFmtId="177" formatCode="#,##0.0"/>
    <numFmt numFmtId="178" formatCode="0.0"/>
    <numFmt numFmtId="179" formatCode="#,##0.0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5C7A"/>
      <name val="Century Gothic"/>
      <family val="0"/>
      <charset val="1"/>
    </font>
    <font>
      <i val="true"/>
      <sz val="8"/>
      <color rgb="FF8C8C8C"/>
      <name val="Arial"/>
      <family val="0"/>
      <charset val="1"/>
    </font>
    <font>
      <b val="true"/>
      <sz val="8.5"/>
      <color rgb="FF0A5C7A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33C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A5C7A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i val="true"/>
      <sz val="8"/>
      <color rgb="FFC00000"/>
      <name val="Arial"/>
      <family val="0"/>
      <charset val="1"/>
    </font>
    <font>
      <sz val="10"/>
      <color rgb="FF0A5C7A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u val="single"/>
      <sz val="11"/>
      <color rgb="FF009BCA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0A5C7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10"/>
      <color rgb="FF000000"/>
      <name val="Calibri"/>
      <family val="2"/>
    </font>
    <font>
      <b val="true"/>
      <sz val="8"/>
      <color rgb="FF7F7F7F"/>
      <name val="Arial"/>
      <family val="0"/>
      <charset val="1"/>
    </font>
    <font>
      <b val="true"/>
      <sz val="14"/>
      <color rgb="FF0A5C7A"/>
      <name val="Arial"/>
      <family val="0"/>
      <charset val="1"/>
    </font>
    <font>
      <b val="true"/>
      <sz val="8"/>
      <color rgb="FF0A5C7A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262626"/>
      <name val="Arial"/>
      <family val="0"/>
      <charset val="1"/>
    </font>
    <font>
      <sz val="9"/>
      <color rgb="FF0033CC"/>
      <name val="Arial"/>
      <family val="0"/>
      <charset val="1"/>
    </font>
    <font>
      <b val="true"/>
      <sz val="9"/>
      <color rgb="FF262626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0"/>
      <color rgb="FF0A5C7A"/>
      <name val="Arial"/>
      <family val="0"/>
      <charset val="1"/>
    </font>
    <font>
      <sz val="10"/>
      <color rgb="FF7F7F7F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DF5"/>
      </patternFill>
    </fill>
    <fill>
      <patternFill patternType="solid">
        <fgColor rgb="FF00BBF2"/>
        <bgColor rgb="FF00A3D9"/>
      </patternFill>
    </fill>
    <fill>
      <patternFill patternType="solid">
        <fgColor rgb="FF0A5C7A"/>
        <bgColor rgb="FF1F4E79"/>
      </patternFill>
    </fill>
    <fill>
      <patternFill patternType="solid">
        <fgColor rgb="FFEEF3F6"/>
        <bgColor rgb="FFEEF3FA"/>
      </patternFill>
    </fill>
    <fill>
      <patternFill patternType="solid">
        <fgColor rgb="FF009BCA"/>
        <bgColor rgb="FF00A3D9"/>
      </patternFill>
    </fill>
    <fill>
      <patternFill patternType="solid">
        <fgColor rgb="FFF3F6F8"/>
        <bgColor rgb="FFEEF3F6"/>
      </patternFill>
    </fill>
    <fill>
      <patternFill patternType="solid">
        <fgColor rgb="FFFFF8E1"/>
        <bgColor rgb="FFFFFDF5"/>
      </patternFill>
    </fill>
    <fill>
      <patternFill patternType="solid">
        <fgColor rgb="FFDDF3FB"/>
        <bgColor rgb="FFD6F3FC"/>
      </patternFill>
    </fill>
    <fill>
      <patternFill patternType="solid">
        <fgColor rgb="FFFDE2E1"/>
        <bgColor rgb="FFFBE5D6"/>
      </patternFill>
    </fill>
    <fill>
      <patternFill patternType="solid">
        <fgColor rgb="FFF2F2F2"/>
        <bgColor rgb="FFEEF3F6"/>
      </patternFill>
    </fill>
    <fill>
      <patternFill patternType="solid">
        <fgColor rgb="FF404040"/>
        <bgColor rgb="FF375623"/>
      </patternFill>
    </fill>
    <fill>
      <patternFill patternType="solid">
        <fgColor rgb="FFFFFDF5"/>
        <bgColor rgb="FFFFFFFF"/>
      </patternFill>
    </fill>
    <fill>
      <patternFill patternType="solid">
        <fgColor rgb="FF808080"/>
        <bgColor rgb="FF7F7F7F"/>
      </patternFill>
    </fill>
    <fill>
      <patternFill patternType="solid">
        <fgColor rgb="FFFFF2CC"/>
        <bgColor rgb="FFFFF8E1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BBF2"/>
      </bottom>
      <diagonal/>
    </border>
    <border diagonalUp="false" diagonalDown="false">
      <left style="thin">
        <color rgb="FF0E7395"/>
      </left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/>
      <top/>
      <bottom style="medium">
        <color rgb="FF009BCA"/>
      </bottom>
      <diagonal/>
    </border>
    <border diagonalUp="false" diagonalDown="false">
      <left/>
      <right/>
      <top/>
      <bottom style="hair">
        <color rgb="FFD9D9D9"/>
      </bottom>
      <diagonal/>
    </border>
    <border diagonalUp="false" diagonalDown="false">
      <left style="hair">
        <color rgb="FFD9D9D9"/>
      </left>
      <right/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9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8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5" borderId="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9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0">
    <dxf>
      <font>
        <name val="Arial"/>
        <charset val="1"/>
        <family val="0"/>
        <b val="1"/>
        <color rgb="FFC00000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375623"/>
      </font>
    </dxf>
    <dxf>
      <font>
        <name val="Arial"/>
        <charset val="1"/>
        <family val="0"/>
        <b val="1"/>
        <color rgb="FFC00000"/>
        <sz val="14"/>
      </font>
    </dxf>
    <dxf>
      <fill>
        <patternFill>
          <bgColor rgb="FFC00000"/>
        </patternFill>
      </fill>
    </dxf>
    <dxf>
      <fill>
        <patternFill>
          <bgColor rgb="FF0A5C7A"/>
        </patternFill>
      </fill>
    </dxf>
    <dxf>
      <fill>
        <patternFill>
          <bgColor rgb="FFD3EBF3"/>
        </patternFill>
      </fill>
    </dxf>
    <dxf>
      <fill>
        <patternFill>
          <bgColor rgb="FF00A3D9"/>
        </patternFill>
      </fill>
    </dxf>
    <dxf>
      <fill>
        <patternFill>
          <bgColor rgb="FFD6F3FC"/>
        </patternFill>
      </fill>
    </dxf>
    <dxf>
      <fill>
        <patternFill>
          <bgColor rgb="FF58585A"/>
        </patternFill>
      </fill>
    </dxf>
    <dxf>
      <fill>
        <patternFill>
          <bgColor rgb="FFE6E6E7"/>
        </patternFill>
      </fill>
    </dxf>
    <dxf>
      <fill>
        <patternFill>
          <bgColor rgb="FFC55A11"/>
        </patternFill>
      </fill>
    </dxf>
    <dxf>
      <fill>
        <patternFill>
          <bgColor rgb="FFFBE5D6"/>
        </patternFill>
      </fill>
    </dxf>
    <dxf>
      <fill>
        <patternFill>
          <bgColor rgb="FF548235"/>
        </patternFill>
      </fill>
    </dxf>
    <dxf>
      <fill>
        <patternFill>
          <bgColor rgb="FFE2EFDA"/>
        </patternFill>
      </fill>
    </dxf>
    <dxf>
      <fill>
        <patternFill>
          <bgColor rgb="FF7A4FA0"/>
        </patternFill>
      </fill>
    </dxf>
    <dxf>
      <fill>
        <patternFill>
          <bgColor rgb="FFECE3F4"/>
        </patternFill>
      </fill>
    </dxf>
    <dxf>
      <fill>
        <patternFill>
          <bgColor rgb="FFBF8F00"/>
        </patternFill>
      </fill>
    </dxf>
    <dxf>
      <fill>
        <patternFill>
          <bgColor rgb="FFFFF2CC"/>
        </patternFill>
      </fill>
    </dxf>
    <dxf>
      <fill>
        <patternFill>
          <bgColor rgb="FF00827F"/>
        </patternFill>
      </fill>
    </dxf>
    <dxf>
      <fill>
        <patternFill>
          <bgColor rgb="FFD5EFEE"/>
        </patternFill>
      </fill>
    </dxf>
    <dxf>
      <fill>
        <patternFill>
          <bgColor rgb="FF7F6000"/>
        </patternFill>
      </fill>
    </dxf>
    <dxf>
      <fill>
        <patternFill>
          <bgColor rgb="FFEFE6CC"/>
        </patternFill>
      </fill>
    </dxf>
    <dxf>
      <fill>
        <patternFill>
          <bgColor rgb="FFF8696B"/>
        </patternFill>
      </fill>
    </dxf>
    <dxf>
      <fill>
        <patternFill>
          <bgColor rgb="FFFDE9E7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D7D7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A5C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A3D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8585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55A11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48235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A4FA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F8F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827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F6000"/>
        </patternFill>
      </fill>
    </dxf>
    <dxf>
      <font>
        <name val="Arial"/>
        <charset val="1"/>
        <family val="0"/>
        <b val="1"/>
        <color rgb="FF0A5C7A"/>
      </font>
    </dxf>
    <dxf>
      <fill>
        <patternFill patternType="solid">
          <fgColor rgb="FF0A5C7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0033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9BCA"/>
          <bgColor rgb="FF000000"/>
        </patternFill>
      </fill>
    </dxf>
    <dxf>
      <font>
        <name val="Arial"/>
        <charset val="1"/>
        <family val="0"/>
        <b val="1"/>
        <i val="1"/>
        <color rgb="FF009BCA"/>
      </font>
      <fill>
        <patternFill>
          <bgColor rgb="FFEEF3FA"/>
        </patternFill>
      </fill>
    </dxf>
    <dxf>
      <font>
        <name val="Arial"/>
        <charset val="1"/>
        <family val="0"/>
        <b val="1"/>
        <color rgb="FF0A5C7A"/>
      </font>
      <fill>
        <patternFill>
          <bgColor rgb="FFDDF3FB"/>
        </patternFill>
      </fill>
    </dxf>
    <dxf>
      <fill>
        <patternFill patternType="solid">
          <fgColor rgb="FF7F7F7F"/>
          <bgColor rgb="FF000000"/>
        </patternFill>
      </fill>
    </dxf>
    <dxf>
      <font>
        <name val="Arial"/>
        <charset val="1"/>
        <family val="0"/>
        <b val="1"/>
        <color rgb="FF7F7F7F"/>
      </font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E6E6E7"/>
      <rgbColor rgb="FF0000FF"/>
      <rgbColor rgb="FFEFE6CC"/>
      <rgbColor rgb="FFFDE9E7"/>
      <rgbColor rgb="FFD3EBF3"/>
      <rgbColor rgb="FFFFFDF5"/>
      <rgbColor rgb="FFECE3F4"/>
      <rgbColor rgb="FF000080"/>
      <rgbColor rgb="FF7F6000"/>
      <rgbColor rgb="FFEEF3F6"/>
      <rgbColor rgb="FF00827F"/>
      <rgbColor rgb="FFBFBFBF"/>
      <rgbColor rgb="FF808080"/>
      <rgbColor rgb="FFA6A6A6"/>
      <rgbColor rgb="FF58585A"/>
      <rgbColor rgb="FFFFF8E1"/>
      <rgbColor rgb="FFD6F3FC"/>
      <rgbColor rgb="FFF3F6F8"/>
      <rgbColor rgb="FFF8696B"/>
      <rgbColor rgb="FF0A5C7A"/>
      <rgbColor rgb="FFD9D9D9"/>
      <rgbColor rgb="FF000080"/>
      <rgbColor rgb="FFF2F2F2"/>
      <rgbColor rgb="FFE2EFDA"/>
      <rgbColor rgb="FFDDEBF7"/>
      <rgbColor rgb="FFEEF3FA"/>
      <rgbColor rgb="FF800000"/>
      <rgbColor rgb="FF0E7395"/>
      <rgbColor rgb="FF0000FF"/>
      <rgbColor rgb="FF00BBF2"/>
      <rgbColor rgb="FFDDF3FB"/>
      <rgbColor rgb="FFD5EFEE"/>
      <rgbColor rgb="FFFFF2CC"/>
      <rgbColor rgb="FF9FDDF5"/>
      <rgbColor rgb="FFFDE2E1"/>
      <rgbColor rgb="FF878787"/>
      <rgbColor rgb="FFF8D7D7"/>
      <rgbColor rgb="FF009BCA"/>
      <rgbColor rgb="FF00A3D9"/>
      <rgbColor rgb="FF7F7F7F"/>
      <rgbColor rgb="FFFBE5D6"/>
      <rgbColor rgb="FFBF8F00"/>
      <rgbColor rgb="FFC55A11"/>
      <rgbColor rgb="FF7A4FA0"/>
      <rgbColor rgb="FF8C8C8C"/>
      <rgbColor rgb="FF0033CC"/>
      <rgbColor rgb="FF548235"/>
      <rgbColor rgb="FF375623"/>
      <rgbColor rgb="FF404040"/>
      <rgbColor rgb="FF9C5700"/>
      <rgbColor rgb="FF595959"/>
      <rgbColor rgb="FF1F4E7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TABLERO!D10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rgbClr val="9fddf5"/>
            </a:solidFill>
            <a:ln w="9360">
              <a:solidFill>
                <a:srgbClr val="9fddf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TABLERO!$B$11:$B$15</c:f>
              <c:strCache>
                <c:ptCount val="5"/>
                <c:pt idx="0">
                  <c:v>Materiales y equipos</c:v>
                </c:pt>
                <c:pt idx="1">
                  <c:v>Mano de obra</c:v>
                </c:pt>
                <c:pt idx="2">
                  <c:v>Transporte y otros</c:v>
                </c:pt>
                <c:pt idx="3">
                  <c:v>Alquileres</c:v>
                </c:pt>
                <c:pt idx="4">
                  <c:v>Impuestos y pólizas</c:v>
                </c:pt>
              </c:strCache>
            </c:strRef>
          </c:cat>
          <c:val>
            <c:numRef>
              <c:f>TABLERO!$D$11:$D$15</c:f>
              <c:numCache>
                <c:formatCode>\$#,##0;[RED]"-$"#,##0;\-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TABLERO!E10</c:f>
              <c:strCache>
                <c:ptCount val="1"/>
                <c:pt idx="0">
                  <c:v>Real a la fecha</c:v>
                </c:pt>
              </c:strCache>
            </c:strRef>
          </c:tx>
          <c:spPr>
            <a:solidFill>
              <a:srgbClr val="0a5c7a"/>
            </a:solidFill>
            <a:ln w="9360">
              <a:solidFill>
                <a:srgbClr val="0a5c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TABLERO!$B$11:$B$15</c:f>
              <c:strCache>
                <c:ptCount val="5"/>
                <c:pt idx="0">
                  <c:v>Materiales y equipos</c:v>
                </c:pt>
                <c:pt idx="1">
                  <c:v>Mano de obra</c:v>
                </c:pt>
                <c:pt idx="2">
                  <c:v>Transporte y otros</c:v>
                </c:pt>
                <c:pt idx="3">
                  <c:v>Alquileres</c:v>
                </c:pt>
                <c:pt idx="4">
                  <c:v>Impuestos y pólizas</c:v>
                </c:pt>
              </c:strCache>
            </c:strRef>
          </c:cat>
          <c:val>
            <c:numRef>
              <c:f>TABLERO!$E$11:$E$15</c:f>
              <c:numCache>
                <c:formatCode>\$#,##0;[RED]"-$"#,##0;\-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TABLERO!H10</c:f>
              <c:strCache>
                <c:ptCount val="1"/>
                <c:pt idx="0">
                  <c:v>Proyección al cierre</c:v>
                </c:pt>
              </c:strCache>
            </c:strRef>
          </c:tx>
          <c:spPr>
            <a:solidFill>
              <a:srgbClr val="00bbf2"/>
            </a:solidFill>
            <a:ln w="9360">
              <a:solidFill>
                <a:srgbClr val="00bbf2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TABLERO!$B$11:$B$15</c:f>
              <c:strCache>
                <c:ptCount val="5"/>
                <c:pt idx="0">
                  <c:v>Materiales y equipos</c:v>
                </c:pt>
                <c:pt idx="1">
                  <c:v>Mano de obra</c:v>
                </c:pt>
                <c:pt idx="2">
                  <c:v>Transporte y otros</c:v>
                </c:pt>
                <c:pt idx="3">
                  <c:v>Alquileres</c:v>
                </c:pt>
                <c:pt idx="4">
                  <c:v>Impuestos y pólizas</c:v>
                </c:pt>
              </c:strCache>
            </c:strRef>
          </c:cat>
          <c:val>
            <c:numRef>
              <c:f>TABLERO!$H$11:$H$15</c:f>
              <c:numCache>
                <c:formatCode>\$#,##0;[RED]"-$"#,##0;\-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3840876"/>
        <c:axId val="91770008"/>
      </c:barChart>
      <c:catAx>
        <c:axId val="73840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70008"/>
        <c:crosses val="autoZero"/>
        <c:auto val="1"/>
        <c:lblAlgn val="ctr"/>
        <c:lblOffset val="100"/>
        <c:noMultiLvlLbl val="0"/>
      </c:catAx>
      <c:valAx>
        <c:axId val="91770008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408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171360</xdr:rowOff>
    </xdr:from>
    <xdr:to>
      <xdr:col>1</xdr:col>
      <xdr:colOff>1401840</xdr:colOff>
      <xdr:row>0</xdr:row>
      <xdr:rowOff>675720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6</xdr:col>
      <xdr:colOff>645840</xdr:colOff>
      <xdr:row>44</xdr:row>
      <xdr:rowOff>126000</xdr:rowOff>
    </xdr:to>
    <xdr:graphicFrame>
      <xdr:nvGraphicFramePr>
        <xdr:cNvPr id="1" name="Chart 1"/>
        <xdr:cNvGraphicFramePr/>
      </xdr:nvGraphicFramePr>
      <xdr:xfrm>
        <a:off x="141120" y="713412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114480</xdr:colOff>
      <xdr:row>0</xdr:row>
      <xdr:rowOff>171360</xdr:rowOff>
    </xdr:from>
    <xdr:to>
      <xdr:col>2</xdr:col>
      <xdr:colOff>415080</xdr:colOff>
      <xdr:row>0</xdr:row>
      <xdr:rowOff>675720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1440</xdr:colOff>
      <xdr:row>0</xdr:row>
      <xdr:rowOff>171360</xdr:rowOff>
    </xdr:from>
    <xdr:to>
      <xdr:col>2</xdr:col>
      <xdr:colOff>1077480</xdr:colOff>
      <xdr:row>0</xdr:row>
      <xdr:rowOff>675720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171360</xdr:rowOff>
    </xdr:from>
    <xdr:to>
      <xdr:col>2</xdr:col>
      <xdr:colOff>203760</xdr:colOff>
      <xdr:row>0</xdr:row>
      <xdr:rowOff>675720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171360</xdr:rowOff>
    </xdr:from>
    <xdr:to>
      <xdr:col>1</xdr:col>
      <xdr:colOff>908640</xdr:colOff>
      <xdr:row>0</xdr:row>
      <xdr:rowOff>675720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171360</xdr:rowOff>
    </xdr:from>
    <xdr:to>
      <xdr:col>1</xdr:col>
      <xdr:colOff>908640</xdr:colOff>
      <xdr:row>0</xdr:row>
      <xdr:rowOff>675720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171360</xdr:rowOff>
    </xdr:from>
    <xdr:to>
      <xdr:col>2</xdr:col>
      <xdr:colOff>274320</xdr:colOff>
      <xdr:row>0</xdr:row>
      <xdr:rowOff>675720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171360</xdr:rowOff>
    </xdr:from>
    <xdr:to>
      <xdr:col>1</xdr:col>
      <xdr:colOff>908640</xdr:colOff>
      <xdr:row>0</xdr:row>
      <xdr:rowOff>675720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0</xdr:row>
      <xdr:rowOff>171360</xdr:rowOff>
    </xdr:from>
    <xdr:to>
      <xdr:col>1</xdr:col>
      <xdr:colOff>1401840</xdr:colOff>
      <xdr:row>0</xdr:row>
      <xdr:rowOff>675720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14480" y="17136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hyperlink" Target="p8.xlsx" TargetMode="External"/><Relationship Id="rId11" Type="http://schemas.openxmlformats.org/officeDocument/2006/relationships/hyperlink" Target="p8.xlsx" TargetMode="External"/><Relationship Id="rId12" Type="http://schemas.openxmlformats.org/officeDocument/2006/relationships/hyperlink" Target="p8.xlsx" TargetMode="External"/><Relationship Id="rId13" Type="http://schemas.openxmlformats.org/officeDocument/2006/relationships/hyperlink" Target="p8.xlsx" TargetMode="External"/><Relationship Id="rId14" Type="http://schemas.openxmlformats.org/officeDocument/2006/relationships/hyperlink" Target="p8.xlsx" TargetMode="External"/><Relationship Id="rId15" Type="http://schemas.openxmlformats.org/officeDocument/2006/relationships/hyperlink" Target="p8.xlsx" TargetMode="External"/><Relationship Id="rId16" Type="http://schemas.openxmlformats.org/officeDocument/2006/relationships/hyperlink" Target="p8.xlsx" TargetMode="External"/><Relationship Id="rId17" Type="http://schemas.openxmlformats.org/officeDocument/2006/relationships/hyperlink" Target="p8.xlsx" TargetMode="External"/><Relationship Id="rId1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hyperlink" Target="p8.xlsx" TargetMode="External"/><Relationship Id="rId11" Type="http://schemas.openxmlformats.org/officeDocument/2006/relationships/hyperlink" Target="p8.xlsx" TargetMode="External"/><Relationship Id="rId12" Type="http://schemas.openxmlformats.org/officeDocument/2006/relationships/hyperlink" Target="p8.xlsx" TargetMode="External"/><Relationship Id="rId13" Type="http://schemas.openxmlformats.org/officeDocument/2006/relationships/hyperlink" Target="p8.xlsx" TargetMode="External"/><Relationship Id="rId14" Type="http://schemas.openxmlformats.org/officeDocument/2006/relationships/hyperlink" Target="p8.xlsx" TargetMode="External"/><Relationship Id="rId15" Type="http://schemas.openxmlformats.org/officeDocument/2006/relationships/hyperlink" Target="p8.xlsx" TargetMode="External"/><Relationship Id="rId16" Type="http://schemas.openxmlformats.org/officeDocument/2006/relationships/hyperlink" Target="p8.xlsx" TargetMode="External"/><Relationship Id="rId17" Type="http://schemas.openxmlformats.org/officeDocument/2006/relationships/hyperlink" Target="p8.xlsx" TargetMode="External"/><Relationship Id="rId18" Type="http://schemas.openxmlformats.org/officeDocument/2006/relationships/hyperlink" Target="p8.xlsx" TargetMode="External"/><Relationship Id="rId19" Type="http://schemas.openxmlformats.org/officeDocument/2006/relationships/hyperlink" Target="p8.xlsx" TargetMode="External"/><Relationship Id="rId20" Type="http://schemas.openxmlformats.org/officeDocument/2006/relationships/hyperlink" Target="p8.xlsx" TargetMode="External"/><Relationship Id="rId21" Type="http://schemas.openxmlformats.org/officeDocument/2006/relationships/hyperlink" Target="p8.xlsx" TargetMode="External"/><Relationship Id="rId22" Type="http://schemas.openxmlformats.org/officeDocument/2006/relationships/hyperlink" Target="p8.xlsx" TargetMode="External"/><Relationship Id="rId23" Type="http://schemas.openxmlformats.org/officeDocument/2006/relationships/hyperlink" Target="p8.xlsx" TargetMode="External"/><Relationship Id="rId24" Type="http://schemas.openxmlformats.org/officeDocument/2006/relationships/hyperlink" Target="p8.xlsx" TargetMode="External"/><Relationship Id="rId25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p8.xlsx" TargetMode="External"/><Relationship Id="rId2" Type="http://schemas.openxmlformats.org/officeDocument/2006/relationships/hyperlink" Target="p8.xlsx" TargetMode="External"/><Relationship Id="rId3" Type="http://schemas.openxmlformats.org/officeDocument/2006/relationships/hyperlink" Target="p8.xlsx" TargetMode="External"/><Relationship Id="rId4" Type="http://schemas.openxmlformats.org/officeDocument/2006/relationships/hyperlink" Target="p8.xlsx" TargetMode="External"/><Relationship Id="rId5" Type="http://schemas.openxmlformats.org/officeDocument/2006/relationships/hyperlink" Target="p8.xlsx" TargetMode="External"/><Relationship Id="rId6" Type="http://schemas.openxmlformats.org/officeDocument/2006/relationships/hyperlink" Target="p8.xlsx" TargetMode="External"/><Relationship Id="rId7" Type="http://schemas.openxmlformats.org/officeDocument/2006/relationships/hyperlink" Target="p8.xlsx" TargetMode="External"/><Relationship Id="rId8" Type="http://schemas.openxmlformats.org/officeDocument/2006/relationships/hyperlink" Target="p8.xlsx" TargetMode="External"/><Relationship Id="rId9" Type="http://schemas.openxmlformats.org/officeDocument/2006/relationships/hyperlink" Target="p8.xlsx" TargetMode="External"/><Relationship Id="rId10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BF2"/>
    <pageSetUpPr fitToPage="true"/>
  </sheetPr>
  <dimension ref="A1:M3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00390625" defaultRowHeight="15" zeroHeight="true" outlineLevelRow="0" outlineLevelCol="1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3"/>
    <col collapsed="false" customWidth="true" hidden="false" outlineLevel="0" max="7" min="7" style="0" width="4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3"/>
    <col collapsed="false" customWidth="false" hidden="true" outlineLevel="1" max="16384" min="14" style="0" width="13"/>
  </cols>
  <sheetData>
    <row r="1" customFormat="false" ht="54" hidden="false" customHeight="true" outlineLevel="0" collapsed="false">
      <c r="A1" s="1"/>
      <c r="B1" s="1"/>
      <c r="C1" s="2" t="s">
        <v>0</v>
      </c>
      <c r="D1" s="2"/>
      <c r="E1" s="2"/>
      <c r="F1" s="3" t="s">
        <v>1</v>
      </c>
      <c r="G1" s="3"/>
      <c r="H1" s="3"/>
      <c r="I1" s="3"/>
      <c r="J1" s="3"/>
      <c r="K1" s="3"/>
      <c r="L1" s="3"/>
      <c r="M1" s="3"/>
    </row>
    <row r="2" customFormat="false" ht="24" hidden="false" customHeight="true" outlineLevel="0" collapsed="false"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/>
      <c r="H2" s="5" t="s">
        <v>7</v>
      </c>
      <c r="I2" s="5" t="s">
        <v>8</v>
      </c>
      <c r="J2" s="5"/>
      <c r="K2" s="5" t="s">
        <v>9</v>
      </c>
      <c r="L2" s="5"/>
      <c r="M2" s="5" t="s">
        <v>10</v>
      </c>
    </row>
    <row r="3" customFormat="false" ht="16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6.5" hidden="false" customHeight="true" outlineLevel="0" collapsed="false">
      <c r="A4" s="6"/>
      <c r="B4" s="7" t="s">
        <v>11</v>
      </c>
      <c r="C4" s="7"/>
      <c r="D4" s="7"/>
      <c r="E4" s="7"/>
      <c r="F4" s="6"/>
      <c r="G4" s="7" t="s">
        <v>12</v>
      </c>
      <c r="H4" s="7"/>
      <c r="I4" s="7"/>
      <c r="J4" s="7"/>
      <c r="K4" s="6"/>
      <c r="L4" s="6"/>
      <c r="M4" s="6"/>
    </row>
    <row r="5" customFormat="false" ht="16.5" hidden="false" customHeight="true" outlineLevel="0" collapsed="false">
      <c r="A5" s="6"/>
      <c r="B5" s="8" t="s">
        <v>13</v>
      </c>
      <c r="C5" s="9"/>
      <c r="D5" s="9"/>
      <c r="E5" s="9"/>
      <c r="F5" s="6"/>
      <c r="G5" s="8" t="s">
        <v>14</v>
      </c>
      <c r="H5" s="10" t="n">
        <f aca="false">PRESUPUESTO!G5</f>
        <v>0</v>
      </c>
      <c r="I5" s="10"/>
      <c r="J5" s="10"/>
      <c r="K5" s="6"/>
      <c r="L5" s="6"/>
      <c r="M5" s="6"/>
    </row>
    <row r="6" customFormat="false" ht="16.5" hidden="false" customHeight="true" outlineLevel="0" collapsed="false">
      <c r="A6" s="6"/>
      <c r="B6" s="8" t="s">
        <v>15</v>
      </c>
      <c r="C6" s="9"/>
      <c r="D6" s="9"/>
      <c r="E6" s="9"/>
      <c r="F6" s="6"/>
      <c r="G6" s="8" t="s">
        <v>16</v>
      </c>
      <c r="H6" s="10" t="n">
        <f aca="false">v_CD*p_Admin</f>
        <v>0</v>
      </c>
      <c r="I6" s="10"/>
      <c r="J6" s="10"/>
      <c r="K6" s="6"/>
      <c r="L6" s="6"/>
      <c r="M6" s="6"/>
    </row>
    <row r="7" customFormat="false" ht="16.5" hidden="false" customHeight="true" outlineLevel="0" collapsed="false">
      <c r="A7" s="6"/>
      <c r="B7" s="8" t="s">
        <v>17</v>
      </c>
      <c r="C7" s="9"/>
      <c r="D7" s="9"/>
      <c r="E7" s="9"/>
      <c r="F7" s="6"/>
      <c r="G7" s="8" t="s">
        <v>18</v>
      </c>
      <c r="H7" s="10" t="n">
        <f aca="false">v_CD*p_Imprev</f>
        <v>0</v>
      </c>
      <c r="I7" s="10"/>
      <c r="J7" s="10"/>
      <c r="K7" s="6"/>
      <c r="L7" s="6"/>
      <c r="M7" s="6"/>
    </row>
    <row r="8" customFormat="false" ht="16.5" hidden="false" customHeight="true" outlineLevel="0" collapsed="false">
      <c r="A8" s="6"/>
      <c r="B8" s="8" t="s">
        <v>19</v>
      </c>
      <c r="C8" s="9"/>
      <c r="D8" s="9"/>
      <c r="E8" s="9"/>
      <c r="F8" s="6"/>
      <c r="G8" s="8" t="s">
        <v>20</v>
      </c>
      <c r="H8" s="10" t="n">
        <f aca="false">v_CD*p_Util</f>
        <v>0</v>
      </c>
      <c r="I8" s="10"/>
      <c r="J8" s="10"/>
      <c r="K8" s="6"/>
      <c r="L8" s="6"/>
      <c r="M8" s="6"/>
    </row>
    <row r="9" customFormat="false" ht="16.5" hidden="false" customHeight="true" outlineLevel="0" collapsed="false">
      <c r="A9" s="6"/>
      <c r="B9" s="8" t="s">
        <v>21</v>
      </c>
      <c r="C9" s="11"/>
      <c r="D9" s="11"/>
      <c r="E9" s="11"/>
      <c r="F9" s="6"/>
      <c r="G9" s="8" t="s">
        <v>22</v>
      </c>
      <c r="H9" s="10" t="n">
        <f aca="false">v_CD*p_Util*p_IVA</f>
        <v>0</v>
      </c>
      <c r="I9" s="10"/>
      <c r="J9" s="10"/>
      <c r="K9" s="6"/>
      <c r="L9" s="6"/>
      <c r="M9" s="6"/>
    </row>
    <row r="10" customFormat="false" ht="16.5" hidden="false" customHeight="true" outlineLevel="0" collapsed="false">
      <c r="A10" s="6"/>
      <c r="B10" s="8" t="s">
        <v>23</v>
      </c>
      <c r="C10" s="11"/>
      <c r="D10" s="11"/>
      <c r="E10" s="11"/>
      <c r="F10" s="6"/>
      <c r="G10" s="12" t="s">
        <v>24</v>
      </c>
      <c r="H10" s="13" t="n">
        <f aca="false">SUM(H5:H9)</f>
        <v>0</v>
      </c>
      <c r="I10" s="13"/>
      <c r="J10" s="13"/>
      <c r="K10" s="6"/>
      <c r="L10" s="6"/>
      <c r="M10" s="6"/>
    </row>
    <row r="11" customFormat="false" ht="16.5" hidden="false" customHeight="true" outlineLevel="0" collapsed="false">
      <c r="A11" s="6"/>
      <c r="B11" s="8" t="s">
        <v>25</v>
      </c>
      <c r="C11" s="11"/>
      <c r="D11" s="11"/>
      <c r="E11" s="11"/>
      <c r="F11" s="6"/>
      <c r="G11" s="8" t="s">
        <v>26</v>
      </c>
      <c r="H11" s="10" t="n">
        <f aca="false">SUM(H5:H8)</f>
        <v>0</v>
      </c>
      <c r="I11" s="10"/>
      <c r="J11" s="10"/>
      <c r="K11" s="6"/>
      <c r="L11" s="6"/>
      <c r="M11" s="6"/>
    </row>
    <row r="12" customFormat="false" ht="16.5" hidden="false" customHeight="true" outlineLevel="0" collapsed="false">
      <c r="A12" s="6"/>
      <c r="B12" s="8" t="s">
        <v>27</v>
      </c>
      <c r="C12" s="9"/>
      <c r="D12" s="9"/>
      <c r="E12" s="9"/>
      <c r="F12" s="6"/>
      <c r="G12" s="8" t="s">
        <v>28</v>
      </c>
      <c r="H12" s="10" t="n">
        <f aca="false">v_Total*p_Anticipo</f>
        <v>0</v>
      </c>
      <c r="I12" s="10"/>
      <c r="J12" s="10"/>
      <c r="K12" s="6"/>
      <c r="L12" s="6"/>
      <c r="M12" s="6"/>
    </row>
    <row r="13" customFormat="false" ht="16.5" hidden="false" customHeight="true" outlineLevel="0" collapsed="false">
      <c r="A13" s="6"/>
      <c r="B13" s="8" t="s">
        <v>29</v>
      </c>
      <c r="C13" s="9"/>
      <c r="D13" s="9"/>
      <c r="E13" s="9"/>
      <c r="F13" s="6"/>
      <c r="G13" s="6"/>
      <c r="H13" s="6"/>
      <c r="I13" s="6"/>
      <c r="J13" s="6"/>
      <c r="K13" s="6"/>
      <c r="L13" s="6"/>
      <c r="M13" s="6"/>
    </row>
    <row r="14" customFormat="false" ht="16.5" hidden="false" customHeight="true" outlineLevel="0" collapsed="false">
      <c r="A14" s="6"/>
      <c r="B14" s="8" t="s">
        <v>30</v>
      </c>
      <c r="C14" s="9"/>
      <c r="D14" s="9"/>
      <c r="E14" s="9"/>
      <c r="F14" s="6"/>
      <c r="G14" s="7" t="s">
        <v>31</v>
      </c>
      <c r="H14" s="7"/>
      <c r="I14" s="7"/>
      <c r="J14" s="7"/>
      <c r="K14" s="6"/>
      <c r="L14" s="6"/>
      <c r="M14" s="6"/>
    </row>
    <row r="15" customFormat="false" ht="16.5" hidden="false" customHeight="true" outlineLevel="0" collapsed="false">
      <c r="A15" s="6"/>
      <c r="B15" s="8" t="s">
        <v>32</v>
      </c>
      <c r="C15" s="9"/>
      <c r="D15" s="9"/>
      <c r="E15" s="9"/>
      <c r="F15" s="6"/>
      <c r="G15" s="14" t="s">
        <v>33</v>
      </c>
      <c r="H15" s="14" t="s">
        <v>34</v>
      </c>
      <c r="I15" s="14" t="s">
        <v>35</v>
      </c>
      <c r="J15" s="14" t="s">
        <v>36</v>
      </c>
      <c r="K15" s="6"/>
      <c r="L15" s="6"/>
      <c r="M15" s="6"/>
    </row>
    <row r="16" customFormat="false" ht="16.5" hidden="false" customHeight="true" outlineLevel="0" collapsed="false">
      <c r="A16" s="6"/>
      <c r="B16" s="6"/>
      <c r="C16" s="6"/>
      <c r="D16" s="6"/>
      <c r="E16" s="6"/>
      <c r="F16" s="6"/>
      <c r="G16" s="15" t="s">
        <v>37</v>
      </c>
      <c r="H16" s="16" t="n">
        <v>12000</v>
      </c>
      <c r="I16" s="17" t="n">
        <v>8</v>
      </c>
      <c r="J16" s="10" t="n">
        <f aca="false">IF(G16="","",H16*I16)</f>
        <v>96000</v>
      </c>
      <c r="K16" s="6"/>
      <c r="L16" s="6"/>
      <c r="M16" s="6"/>
    </row>
    <row r="17" customFormat="false" ht="16.5" hidden="false" customHeight="true" outlineLevel="0" collapsed="false">
      <c r="A17" s="6"/>
      <c r="B17" s="7" t="s">
        <v>38</v>
      </c>
      <c r="C17" s="7"/>
      <c r="D17" s="7"/>
      <c r="E17" s="7"/>
      <c r="F17" s="6"/>
      <c r="G17" s="15" t="s">
        <v>39</v>
      </c>
      <c r="H17" s="16" t="n">
        <v>12000</v>
      </c>
      <c r="I17" s="17" t="n">
        <v>8</v>
      </c>
      <c r="J17" s="10" t="n">
        <f aca="false">IF(G17="","",H17*I17)</f>
        <v>96000</v>
      </c>
      <c r="K17" s="6"/>
      <c r="L17" s="6"/>
      <c r="M17" s="6"/>
    </row>
    <row r="18" customFormat="false" ht="16.5" hidden="false" customHeight="true" outlineLevel="0" collapsed="false">
      <c r="A18" s="6"/>
      <c r="B18" s="8" t="s">
        <v>40</v>
      </c>
      <c r="C18" s="18" t="n">
        <v>0.08</v>
      </c>
      <c r="D18" s="19" t="s">
        <v>41</v>
      </c>
      <c r="E18" s="19"/>
      <c r="F18" s="6"/>
      <c r="G18" s="15" t="s">
        <v>42</v>
      </c>
      <c r="H18" s="16" t="n">
        <v>8500</v>
      </c>
      <c r="I18" s="17" t="n">
        <v>8</v>
      </c>
      <c r="J18" s="10" t="n">
        <f aca="false">IF(G18="","",H18*I18)</f>
        <v>68000</v>
      </c>
      <c r="K18" s="6"/>
      <c r="L18" s="6"/>
      <c r="M18" s="6"/>
    </row>
    <row r="19" customFormat="false" ht="16.5" hidden="false" customHeight="true" outlineLevel="0" collapsed="false">
      <c r="A19" s="6"/>
      <c r="B19" s="8" t="s">
        <v>43</v>
      </c>
      <c r="C19" s="18" t="n">
        <v>0.03</v>
      </c>
      <c r="D19" s="19"/>
      <c r="E19" s="19"/>
      <c r="F19" s="6"/>
      <c r="G19" s="15" t="s">
        <v>44</v>
      </c>
      <c r="H19" s="16" t="n">
        <v>25000</v>
      </c>
      <c r="I19" s="17" t="n">
        <v>8</v>
      </c>
      <c r="J19" s="10" t="n">
        <f aca="false">IF(G19="","",H19*I19)</f>
        <v>200000</v>
      </c>
      <c r="K19" s="6"/>
      <c r="L19" s="6"/>
      <c r="M19" s="6"/>
    </row>
    <row r="20" customFormat="false" ht="16.5" hidden="false" customHeight="true" outlineLevel="0" collapsed="false">
      <c r="A20" s="6"/>
      <c r="B20" s="8" t="s">
        <v>45</v>
      </c>
      <c r="C20" s="18" t="n">
        <v>0.05</v>
      </c>
      <c r="D20" s="19"/>
      <c r="E20" s="19"/>
      <c r="F20" s="6"/>
      <c r="G20" s="15"/>
      <c r="H20" s="16"/>
      <c r="I20" s="17"/>
      <c r="J20" s="10" t="str">
        <f aca="false">IF(G20="","",H20*I20)</f>
        <v/>
      </c>
      <c r="K20" s="6"/>
      <c r="L20" s="6"/>
      <c r="M20" s="6"/>
    </row>
    <row r="21" customFormat="false" ht="16.5" hidden="false" customHeight="true" outlineLevel="0" collapsed="false">
      <c r="A21" s="6"/>
      <c r="B21" s="8" t="s">
        <v>46</v>
      </c>
      <c r="C21" s="18" t="n">
        <v>0.19</v>
      </c>
      <c r="D21" s="19" t="s">
        <v>47</v>
      </c>
      <c r="E21" s="19"/>
      <c r="F21" s="6"/>
      <c r="G21" s="15"/>
      <c r="H21" s="16"/>
      <c r="I21" s="17"/>
      <c r="J21" s="10" t="str">
        <f aca="false">IF(G21="","",H21*I21)</f>
        <v/>
      </c>
      <c r="K21" s="6"/>
      <c r="L21" s="6"/>
      <c r="M21" s="6"/>
    </row>
    <row r="22" customFormat="false" ht="16.5" hidden="false" customHeight="true" outlineLevel="0" collapsed="false">
      <c r="A22" s="6"/>
      <c r="B22" s="8" t="s">
        <v>48</v>
      </c>
      <c r="C22" s="20" t="s">
        <v>49</v>
      </c>
      <c r="D22" s="19" t="s">
        <v>50</v>
      </c>
      <c r="E22" s="19"/>
      <c r="F22" s="6"/>
      <c r="G22" s="15"/>
      <c r="H22" s="16"/>
      <c r="I22" s="17"/>
      <c r="J22" s="10" t="str">
        <f aca="false">IF(G22="","",H22*I22)</f>
        <v/>
      </c>
      <c r="K22" s="6"/>
      <c r="L22" s="6"/>
      <c r="M22" s="6"/>
    </row>
    <row r="23" customFormat="false" ht="16.5" hidden="false" customHeight="true" outlineLevel="0" collapsed="false">
      <c r="A23" s="6"/>
      <c r="B23" s="8" t="s">
        <v>51</v>
      </c>
      <c r="C23" s="18" t="n">
        <v>0.3</v>
      </c>
      <c r="D23" s="19" t="s">
        <v>52</v>
      </c>
      <c r="E23" s="19"/>
      <c r="F23" s="6"/>
      <c r="G23" s="15"/>
      <c r="H23" s="16"/>
      <c r="I23" s="17"/>
      <c r="J23" s="10" t="str">
        <f aca="false">IF(G23="","",H23*I23)</f>
        <v/>
      </c>
      <c r="K23" s="6"/>
      <c r="L23" s="6"/>
      <c r="M23" s="6"/>
    </row>
    <row r="24" customFormat="false" ht="16.5" hidden="false" customHeight="true" outlineLevel="0" collapsed="false">
      <c r="A24" s="6"/>
      <c r="B24" s="8" t="s">
        <v>53</v>
      </c>
      <c r="C24" s="21" t="n">
        <v>0.051</v>
      </c>
      <c r="D24" s="19" t="s">
        <v>54</v>
      </c>
      <c r="E24" s="19"/>
      <c r="F24" s="6"/>
      <c r="G24" s="22" t="s">
        <v>55</v>
      </c>
      <c r="H24" s="6"/>
      <c r="I24" s="6"/>
      <c r="J24" s="6"/>
      <c r="K24" s="6"/>
      <c r="L24" s="6"/>
      <c r="M24" s="6"/>
    </row>
    <row r="25" customFormat="false" ht="16.5" hidden="false" customHeight="true" outlineLevel="0" collapsed="false">
      <c r="A25" s="6"/>
      <c r="B25" s="8" t="s">
        <v>56</v>
      </c>
      <c r="C25" s="21" t="n">
        <v>0.015</v>
      </c>
      <c r="D25" s="19" t="s">
        <v>54</v>
      </c>
      <c r="E25" s="19"/>
      <c r="F25" s="6"/>
      <c r="G25" s="6"/>
      <c r="H25" s="6"/>
      <c r="I25" s="6"/>
      <c r="J25" s="6"/>
      <c r="K25" s="6"/>
      <c r="L25" s="6"/>
      <c r="M25" s="6"/>
    </row>
    <row r="26" customFormat="false" ht="16.5" hidden="false" customHeight="true" outlineLevel="0" collapsed="false">
      <c r="A26" s="6"/>
      <c r="B26" s="8" t="s">
        <v>57</v>
      </c>
      <c r="C26" s="21" t="n">
        <v>0.001</v>
      </c>
      <c r="D26" s="19" t="s">
        <v>58</v>
      </c>
      <c r="E26" s="19"/>
      <c r="F26" s="6"/>
      <c r="G26" s="7" t="s">
        <v>59</v>
      </c>
      <c r="H26" s="7"/>
      <c r="I26" s="7"/>
      <c r="J26" s="7"/>
      <c r="K26" s="6"/>
      <c r="L26" s="6"/>
      <c r="M26" s="6"/>
    </row>
    <row r="27" customFormat="false" ht="16.5" hidden="false" customHeight="true" outlineLevel="0" collapsed="false">
      <c r="A27" s="6"/>
      <c r="B27" s="8" t="s">
        <v>60</v>
      </c>
      <c r="C27" s="18" t="n">
        <v>0.25</v>
      </c>
      <c r="D27" s="19" t="s">
        <v>61</v>
      </c>
      <c r="E27" s="19"/>
      <c r="F27" s="6"/>
      <c r="G27" s="15" t="s">
        <v>62</v>
      </c>
      <c r="H27" s="23" t="s">
        <v>63</v>
      </c>
      <c r="I27" s="23"/>
      <c r="J27" s="23"/>
      <c r="K27" s="6"/>
      <c r="L27" s="6"/>
      <c r="M27" s="6"/>
    </row>
    <row r="28" customFormat="false" ht="16.5" hidden="false" customHeight="true" outlineLevel="0" collapsed="false">
      <c r="A28" s="6"/>
      <c r="B28" s="8" t="s">
        <v>64</v>
      </c>
      <c r="C28" s="24"/>
      <c r="D28" s="19" t="s">
        <v>65</v>
      </c>
      <c r="E28" s="19"/>
      <c r="F28" s="6"/>
      <c r="G28" s="23" t="s">
        <v>66</v>
      </c>
      <c r="H28" s="23" t="s">
        <v>67</v>
      </c>
      <c r="I28" s="23"/>
      <c r="J28" s="23"/>
      <c r="K28" s="6"/>
      <c r="L28" s="6"/>
      <c r="M28" s="6"/>
    </row>
    <row r="29" customFormat="false" ht="16.5" hidden="false" customHeight="true" outlineLevel="0" collapsed="false">
      <c r="A29" s="6"/>
      <c r="B29" s="6"/>
      <c r="C29" s="6"/>
      <c r="D29" s="6"/>
      <c r="E29" s="6"/>
      <c r="F29" s="6"/>
      <c r="G29" s="25" t="s">
        <v>68</v>
      </c>
      <c r="H29" s="23" t="s">
        <v>69</v>
      </c>
      <c r="I29" s="23"/>
      <c r="J29" s="23"/>
      <c r="K29" s="6"/>
      <c r="L29" s="6"/>
      <c r="M29" s="6"/>
    </row>
    <row r="30" customFormat="false" ht="16.5" hidden="false" customHeight="true" outlineLevel="0" collapsed="false">
      <c r="A30" s="6"/>
      <c r="B30" s="7" t="s">
        <v>70</v>
      </c>
      <c r="C30" s="7"/>
      <c r="D30" s="7"/>
      <c r="E30" s="7"/>
      <c r="F30" s="6"/>
      <c r="G30" s="26" t="s">
        <v>71</v>
      </c>
      <c r="H30" s="23" t="s">
        <v>72</v>
      </c>
      <c r="I30" s="23"/>
      <c r="J30" s="23"/>
      <c r="K30" s="6"/>
      <c r="L30" s="6"/>
      <c r="M30" s="6"/>
    </row>
    <row r="31" customFormat="false" ht="16.5" hidden="false" customHeight="true" outlineLevel="0" collapsed="false">
      <c r="A31" s="6"/>
      <c r="B31" s="27" t="s">
        <v>3</v>
      </c>
      <c r="C31" s="23" t="s">
        <v>73</v>
      </c>
      <c r="D31" s="23"/>
      <c r="E31" s="23"/>
      <c r="F31" s="6"/>
      <c r="G31" s="6"/>
      <c r="H31" s="6"/>
      <c r="I31" s="6"/>
      <c r="J31" s="6"/>
      <c r="K31" s="6"/>
      <c r="L31" s="6"/>
      <c r="M31" s="6"/>
    </row>
    <row r="32" customFormat="false" ht="16.5" hidden="false" customHeight="true" outlineLevel="0" collapsed="false">
      <c r="A32" s="6"/>
      <c r="B32" s="27" t="s">
        <v>4</v>
      </c>
      <c r="C32" s="23" t="s">
        <v>74</v>
      </c>
      <c r="D32" s="23"/>
      <c r="E32" s="23"/>
      <c r="F32" s="6"/>
      <c r="G32" s="28" t="s">
        <v>75</v>
      </c>
      <c r="H32" s="28"/>
      <c r="I32" s="28"/>
      <c r="J32" s="28"/>
      <c r="K32" s="6"/>
      <c r="L32" s="6"/>
      <c r="M32" s="6"/>
    </row>
    <row r="33" customFormat="false" ht="16.5" hidden="false" customHeight="true" outlineLevel="0" collapsed="false">
      <c r="A33" s="6"/>
      <c r="B33" s="27" t="s">
        <v>5</v>
      </c>
      <c r="C33" s="23" t="s">
        <v>76</v>
      </c>
      <c r="D33" s="23"/>
      <c r="E33" s="23"/>
      <c r="F33" s="6"/>
      <c r="G33" s="28"/>
      <c r="H33" s="28"/>
      <c r="I33" s="28"/>
      <c r="J33" s="28"/>
      <c r="K33" s="6"/>
      <c r="L33" s="6"/>
      <c r="M33" s="6"/>
    </row>
    <row r="34" customFormat="false" ht="16.5" hidden="false" customHeight="true" outlineLevel="0" collapsed="false">
      <c r="A34" s="6"/>
      <c r="B34" s="27" t="s">
        <v>6</v>
      </c>
      <c r="C34" s="23" t="s">
        <v>77</v>
      </c>
      <c r="D34" s="23"/>
      <c r="E34" s="23"/>
      <c r="F34" s="6"/>
      <c r="G34" s="28" t="s">
        <v>78</v>
      </c>
      <c r="H34" s="28"/>
      <c r="I34" s="28"/>
      <c r="J34" s="28"/>
      <c r="K34" s="6"/>
      <c r="L34" s="6"/>
      <c r="M34" s="6"/>
    </row>
    <row r="35" customFormat="false" ht="16.5" hidden="false" customHeight="true" outlineLevel="0" collapsed="false">
      <c r="A35" s="6"/>
      <c r="B35" s="27" t="s">
        <v>7</v>
      </c>
      <c r="C35" s="23" t="s">
        <v>79</v>
      </c>
      <c r="D35" s="23"/>
      <c r="E35" s="23"/>
      <c r="F35" s="6"/>
      <c r="G35" s="28"/>
      <c r="H35" s="28"/>
      <c r="I35" s="28"/>
      <c r="J35" s="28"/>
      <c r="K35" s="6"/>
      <c r="L35" s="6"/>
      <c r="M35" s="6"/>
    </row>
    <row r="36" customFormat="false" ht="16.5" hidden="false" customHeight="true" outlineLevel="0" collapsed="false">
      <c r="A36" s="6"/>
      <c r="B36" s="27" t="s">
        <v>8</v>
      </c>
      <c r="C36" s="23" t="s">
        <v>80</v>
      </c>
      <c r="D36" s="23"/>
      <c r="E36" s="23"/>
      <c r="F36" s="6"/>
      <c r="G36" s="28" t="s">
        <v>81</v>
      </c>
      <c r="H36" s="28"/>
      <c r="I36" s="28"/>
      <c r="J36" s="28"/>
      <c r="K36" s="6"/>
      <c r="L36" s="6"/>
      <c r="M36" s="6"/>
    </row>
    <row r="37" customFormat="false" ht="16.5" hidden="false" customHeight="true" outlineLevel="0" collapsed="false">
      <c r="A37" s="6"/>
      <c r="B37" s="27" t="s">
        <v>82</v>
      </c>
      <c r="C37" s="23" t="s">
        <v>83</v>
      </c>
      <c r="D37" s="23"/>
      <c r="E37" s="23"/>
      <c r="F37" s="6"/>
      <c r="G37" s="28"/>
      <c r="H37" s="28"/>
      <c r="I37" s="28"/>
      <c r="J37" s="28"/>
      <c r="K37" s="6"/>
      <c r="L37" s="6"/>
      <c r="M37" s="6"/>
    </row>
    <row r="38" customFormat="false" ht="16.5" hidden="false" customHeight="true" outlineLevel="0" collapsed="false">
      <c r="A38" s="6"/>
      <c r="B38" s="27" t="s">
        <v>84</v>
      </c>
      <c r="C38" s="23" t="s">
        <v>85</v>
      </c>
      <c r="D38" s="23"/>
      <c r="E38" s="23"/>
      <c r="F38" s="6"/>
      <c r="G38" s="6"/>
      <c r="H38" s="6"/>
      <c r="I38" s="6"/>
      <c r="J38" s="6"/>
      <c r="K38" s="6"/>
      <c r="L38" s="6"/>
      <c r="M38" s="6"/>
    </row>
    <row r="39" customFormat="false" ht="12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</sheetData>
  <mergeCells count="56">
    <mergeCell ref="C1:E1"/>
    <mergeCell ref="F1:M1"/>
    <mergeCell ref="F2:G2"/>
    <mergeCell ref="I2:J2"/>
    <mergeCell ref="K2:L2"/>
    <mergeCell ref="B4:E4"/>
    <mergeCell ref="G4:J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C14:E14"/>
    <mergeCell ref="G14:J14"/>
    <mergeCell ref="C15:E15"/>
    <mergeCell ref="B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G26:J26"/>
    <mergeCell ref="D27:E27"/>
    <mergeCell ref="H27:J27"/>
    <mergeCell ref="D28:E28"/>
    <mergeCell ref="H28:J28"/>
    <mergeCell ref="H29:J29"/>
    <mergeCell ref="B30:E30"/>
    <mergeCell ref="H30:J30"/>
    <mergeCell ref="C31:E31"/>
    <mergeCell ref="C32:E32"/>
    <mergeCell ref="G32:J33"/>
    <mergeCell ref="C33:E33"/>
    <mergeCell ref="C34:E34"/>
    <mergeCell ref="G34:J35"/>
    <mergeCell ref="C35:E35"/>
    <mergeCell ref="C36:E36"/>
    <mergeCell ref="G36:J37"/>
    <mergeCell ref="C37:E37"/>
    <mergeCell ref="C38:E38"/>
  </mergeCells>
  <dataValidations count="2">
    <dataValidation allowBlank="true" error="Seleccione un valor de la lista" errorStyle="stop" operator="between" showDropDown="false" showErrorMessage="true" showInputMessage="false" sqref="C15" type="list">
      <formula1>lst_EstProy</formula1>
      <formula2>0</formula2>
    </dataValidation>
    <dataValidation allowBlank="true" error="Seleccione un valor de la lista" errorStyle="stop" operator="between" showDropDown="false" showErrorMessage="true" showInputMessage="false" sqref="C22" type="list">
      <formula1>lst_SiNo</formula1>
      <formula2>0</formula2>
    </dataValidation>
  </dataValidations>
  <hyperlinks>
    <hyperlink ref="B2" r:id="rId1" location="'INICIO'!A1" display="● INICIO"/>
    <hyperlink ref="C2" r:id="rId2" location="'TABLERO'!A1" display="TABLERO"/>
    <hyperlink ref="D2" r:id="rId3" location="'CRONOGRAMA'!A1" display="CRONOGRAMA"/>
    <hyperlink ref="E2" r:id="rId4" location="'PRESUPUESTO'!A1" display="PRESUPUESTO"/>
    <hyperlink ref="F2" r:id="rId5" location="'CORTES%20CLIENTE'!A1" display="CORTES CLIENTE"/>
    <hyperlink ref="H2" r:id="rId6" location="'MANO%20DE%20OBRA'!A1" display="MANO DE OBRA"/>
    <hyperlink ref="I2" r:id="rId7" location="'GASTOS'!A1" display="GASTOS"/>
    <hyperlink ref="K2" r:id="rId8" location="'CONTROL%20DE%20MATERIALES'!A1" display="MATERIALES"/>
    <hyperlink ref="M2" r:id="rId9" location="'GUÍA%20APP'!A1" display="GUÍA"/>
    <hyperlink ref="B31" r:id="rId10" location="'TABLERO'!A1" display="TABLERO"/>
    <hyperlink ref="B32" r:id="rId11" location="'CRONOGRAMA'!A1" display="CRONOGRAMA"/>
    <hyperlink ref="B33" r:id="rId12" location="'PRESUPUESTO'!A1" display="PRESUPUESTO"/>
    <hyperlink ref="B34" r:id="rId13" location="'CORTES%20CLIENTE'!A1" display="CORTES CLIENTE"/>
    <hyperlink ref="B35" r:id="rId14" location="'MANO%20DE%20OBRA'!A1" display="MANO DE OBRA"/>
    <hyperlink ref="B36" r:id="rId15" location="'GASTOS'!A1" display="GASTOS"/>
    <hyperlink ref="B37" r:id="rId16" location="'CONTROL%20DE%20MATERIALES'!A1" display="CONTROL DE MATERIALES"/>
    <hyperlink ref="B38" r:id="rId17" location="'GUÍA%20APP'!A1" display="GUÍA AP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BF2"/>
    <pageSetUpPr fitToPage="true"/>
  </sheetPr>
  <dimension ref="A1:P5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00390625" defaultRowHeight="15" zeroHeight="true" outlineLevelRow="0" outlineLevelCol="1"/>
  <cols>
    <col collapsed="false" customWidth="true" hidden="false" outlineLevel="0" max="1" min="1" style="0" width="2"/>
    <col collapsed="false" customWidth="true" hidden="false" outlineLevel="0" max="16" min="2" style="0" width="14"/>
    <col collapsed="false" customWidth="false" hidden="true" outlineLevel="1" max="16384" min="17" style="0" width="13"/>
  </cols>
  <sheetData>
    <row r="1" customFormat="false" ht="54" hidden="false" customHeight="true" outlineLevel="0" collapsed="false">
      <c r="A1" s="1"/>
      <c r="B1" s="1"/>
      <c r="C1" s="1"/>
      <c r="D1" s="2" t="s">
        <v>86</v>
      </c>
      <c r="E1" s="2"/>
      <c r="F1" s="2"/>
      <c r="G1" s="2"/>
      <c r="H1" s="3" t="s">
        <v>87</v>
      </c>
      <c r="I1" s="3"/>
      <c r="J1" s="3"/>
      <c r="K1" s="3"/>
      <c r="L1" s="3"/>
      <c r="M1" s="3"/>
      <c r="N1" s="3"/>
      <c r="O1" s="3"/>
      <c r="P1" s="3"/>
    </row>
    <row r="2" customFormat="false" ht="24" hidden="false" customHeight="true" outlineLevel="0" collapsed="false">
      <c r="B2" s="5" t="s">
        <v>88</v>
      </c>
      <c r="C2" s="4" t="s">
        <v>89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29"/>
      <c r="L2" s="29"/>
      <c r="M2" s="29"/>
      <c r="N2" s="29"/>
      <c r="O2" s="29"/>
      <c r="P2" s="29"/>
    </row>
    <row r="3" customFormat="false" ht="16.5" hidden="false" customHeight="true" outlineLevel="0" collapsed="false">
      <c r="A3" s="6"/>
      <c r="B3" s="30" t="str">
        <f aca="true">n_Proyecto&amp;"  ·  Cliente: "&amp;n_Cliente&amp;"  ·  "&amp;n_Cotizacion&amp;"  ·  Corte al "&amp;TEXT(TODAY(),"dd/mm/yyyy")</f>
        <v>  ·  Cliente:   ·    ·  Corte al 17/10/2026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Format="false" ht="16.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9.5" hidden="false" customHeight="true" outlineLevel="0" collapsed="false">
      <c r="A5" s="6"/>
      <c r="B5" s="31" t="s">
        <v>90</v>
      </c>
      <c r="C5" s="31"/>
      <c r="D5" s="31"/>
      <c r="E5" s="31" t="s">
        <v>91</v>
      </c>
      <c r="F5" s="31"/>
      <c r="G5" s="31"/>
      <c r="H5" s="31" t="s">
        <v>92</v>
      </c>
      <c r="I5" s="31"/>
      <c r="J5" s="31"/>
      <c r="K5" s="31" t="s">
        <v>93</v>
      </c>
      <c r="L5" s="31"/>
      <c r="M5" s="31"/>
      <c r="N5" s="31" t="s">
        <v>94</v>
      </c>
      <c r="O5" s="31"/>
      <c r="P5" s="31"/>
    </row>
    <row r="6" customFormat="false" ht="33.75" hidden="false" customHeight="true" outlineLevel="0" collapsed="false">
      <c r="A6" s="6"/>
      <c r="B6" s="32" t="n">
        <f aca="false">v_Total</f>
        <v>0</v>
      </c>
      <c r="C6" s="32"/>
      <c r="D6" s="32"/>
      <c r="E6" s="33" t="str">
        <f aca="false">'CORTES CLIENTE'!$N$18</f>
        <v/>
      </c>
      <c r="F6" s="33"/>
      <c r="G6" s="33"/>
      <c r="H6" s="32" t="n">
        <f aca="false">(SUMIF('CORTES CLIENTE'!$F$16:$K$16,"Facturado",'CORTES CLIENTE'!$F$13:$K$13)+SUMIF('CORTES CLIENTE'!$F$16:$K$16,"Pagado",'CORTES CLIENTE'!$F$13:$K$13))+N(p_AntRecibido)</f>
        <v>0</v>
      </c>
      <c r="I6" s="32"/>
      <c r="J6" s="32"/>
      <c r="K6" s="32" t="n">
        <f aca="false">E16</f>
        <v>0</v>
      </c>
      <c r="L6" s="32"/>
      <c r="M6" s="32"/>
      <c r="N6" s="33" t="str">
        <f aca="false">F24</f>
        <v/>
      </c>
      <c r="O6" s="33"/>
      <c r="P6" s="33"/>
    </row>
    <row r="7" customFormat="false" ht="18" hidden="false" customHeight="true" outlineLevel="0" collapsed="false">
      <c r="A7" s="6"/>
      <c r="B7" s="34" t="str">
        <f aca="false">"Ingreso sin IVA: "&amp;TEXT(v_Ingreso,"$#,##0")</f>
        <v>Ingreso sin IVA: $0</v>
      </c>
      <c r="C7" s="34"/>
      <c r="D7" s="34"/>
      <c r="E7" s="34" t="str">
        <f aca="false">"Ejecutado: "&amp;TEXT('CORTES CLIENTE'!$O$18,"$#,##0")</f>
        <v>Ejecutado: $0</v>
      </c>
      <c r="F7" s="34"/>
      <c r="G7" s="34"/>
      <c r="H7" s="34" t="str">
        <f aca="false">"Incluye anticipo recibido · "&amp;TEXT(IF(v_Total=0,0,((SUMIF('CORTES CLIENTE'!$F$16:$K$16,"Facturado",'CORTES CLIENTE'!$F$13:$K$13)+SUMIF('CORTES CLIENTE'!$F$16:$K$16,"Pagado",'CORTES CLIENTE'!$F$13:$K$13))+N(p_AntRecibido))/v_Total),"0%")&amp;" del contrato"</f>
        <v>Incluye anticipo recibido · 0% del contrato</v>
      </c>
      <c r="I7" s="34"/>
      <c r="J7" s="34"/>
      <c r="K7" s="34" t="str">
        <f aca="false">"Consumido: "&amp;TEXT(IF(D16=0,0,E16/D16),"0.0%")&amp;" del presupuesto"</f>
        <v>Consumido: 0.0% del presupuesto</v>
      </c>
      <c r="L7" s="34"/>
      <c r="M7" s="34"/>
      <c r="N7" s="34" t="str">
        <f aca="false">"Al cierre: "&amp;TEXT(E24,"$#,##0")</f>
        <v>Al cierre: $0</v>
      </c>
      <c r="O7" s="34"/>
      <c r="P7" s="34"/>
    </row>
    <row r="8" customFormat="false" ht="16.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16.5" hidden="false" customHeight="true" outlineLevel="0" collapsed="false">
      <c r="A9" s="6"/>
      <c r="B9" s="7" t="s">
        <v>95</v>
      </c>
      <c r="C9" s="7"/>
      <c r="D9" s="7"/>
      <c r="E9" s="7"/>
      <c r="F9" s="7"/>
      <c r="G9" s="7"/>
      <c r="H9" s="7"/>
      <c r="I9" s="7"/>
      <c r="J9" s="7"/>
      <c r="K9" s="7"/>
      <c r="L9" s="6"/>
      <c r="M9" s="6"/>
      <c r="N9" s="6"/>
      <c r="O9" s="6"/>
      <c r="P9" s="6"/>
    </row>
    <row r="10" customFormat="false" ht="16.5" hidden="false" customHeight="true" outlineLevel="0" collapsed="false">
      <c r="A10" s="6"/>
      <c r="B10" s="35" t="s">
        <v>96</v>
      </c>
      <c r="C10" s="35"/>
      <c r="D10" s="35" t="s">
        <v>97</v>
      </c>
      <c r="E10" s="35" t="s">
        <v>98</v>
      </c>
      <c r="F10" s="35" t="s">
        <v>99</v>
      </c>
      <c r="G10" s="35" t="s">
        <v>100</v>
      </c>
      <c r="H10" s="35" t="s">
        <v>101</v>
      </c>
      <c r="I10" s="35" t="s">
        <v>102</v>
      </c>
      <c r="J10" s="35" t="s">
        <v>103</v>
      </c>
      <c r="K10" s="35" t="s">
        <v>104</v>
      </c>
      <c r="L10" s="6"/>
      <c r="M10" s="6"/>
      <c r="N10" s="6"/>
      <c r="O10" s="6"/>
      <c r="P10" s="6"/>
    </row>
    <row r="11" customFormat="false" ht="16.5" hidden="false" customHeight="true" outlineLevel="0" collapsed="false">
      <c r="A11" s="6"/>
      <c r="B11" s="8" t="s">
        <v>105</v>
      </c>
      <c r="C11" s="8"/>
      <c r="D11" s="10" t="n">
        <f aca="false">PRESUPUESTO!O5</f>
        <v>0</v>
      </c>
      <c r="E11" s="10" t="n">
        <f aca="false">SUMIFS(GASTOS!$J$7:$J$5000,GASTOS!$L$7:$L$5000,"Materiales y equipos")</f>
        <v>0</v>
      </c>
      <c r="F11" s="36" t="str">
        <f aca="false">IF(D11=0,"",E11/D11)</f>
        <v/>
      </c>
      <c r="G11" s="10" t="n">
        <f aca="false">D11-E11</f>
        <v>0</v>
      </c>
      <c r="H11" s="37" t="n">
        <f aca="false">E11+v_FaltMat</f>
        <v>0</v>
      </c>
      <c r="I11" s="38" t="n">
        <f aca="false">H11-D11</f>
        <v>0</v>
      </c>
      <c r="J11" s="39" t="str">
        <f aca="false">IF(H11&gt;D11+1,"Sobrecosto",IF(IF(D11&gt;0,E11/D11,0)&gt;N('CORTES CLIENTE'!$N$18)+0.15,"Atención","En control"))</f>
        <v>En control</v>
      </c>
      <c r="K11" s="40" t="s">
        <v>106</v>
      </c>
      <c r="L11" s="6"/>
      <c r="M11" s="6"/>
      <c r="N11" s="6"/>
      <c r="O11" s="6"/>
      <c r="P11" s="6"/>
    </row>
    <row r="12" customFormat="false" ht="16.5" hidden="false" customHeight="true" outlineLevel="0" collapsed="false">
      <c r="A12" s="6"/>
      <c r="B12" s="8" t="s">
        <v>107</v>
      </c>
      <c r="C12" s="8"/>
      <c r="D12" s="10" t="n">
        <f aca="false">PRESUPUESTO!P5</f>
        <v>0</v>
      </c>
      <c r="E12" s="10" t="n">
        <f aca="false">SUMIFS(GASTOS!$J$7:$J$5000,GASTOS!$L$7:$L$5000,"Mano de obra contratista")+v_MOPropia</f>
        <v>0</v>
      </c>
      <c r="F12" s="36" t="str">
        <f aca="false">IF(D12=0,"",E12/D12)</f>
        <v/>
      </c>
      <c r="G12" s="10" t="n">
        <f aca="false">D12-E12</f>
        <v>0</v>
      </c>
      <c r="H12" s="37" t="n">
        <f aca="false">MAX(E12,'MANO DE OBRA'!$H$11+v_MOPropia)</f>
        <v>0</v>
      </c>
      <c r="I12" s="38" t="n">
        <f aca="false">H12-D12</f>
        <v>0</v>
      </c>
      <c r="J12" s="39" t="str">
        <f aca="false">IF(H12&gt;D12+1,"Sobrecosto",IF(IF(D12&gt;0,E12/D12,0)&gt;N('CORTES CLIENTE'!$N$18)+0.15,"Atención","En control"))</f>
        <v>En control</v>
      </c>
      <c r="K12" s="40" t="s">
        <v>108</v>
      </c>
      <c r="L12" s="6"/>
      <c r="M12" s="6"/>
      <c r="N12" s="6"/>
      <c r="O12" s="6"/>
      <c r="P12" s="6"/>
    </row>
    <row r="13" customFormat="false" ht="16.5" hidden="false" customHeight="true" outlineLevel="0" collapsed="false">
      <c r="A13" s="6"/>
      <c r="B13" s="8" t="s">
        <v>109</v>
      </c>
      <c r="C13" s="8"/>
      <c r="D13" s="10" t="n">
        <f aca="false">PRESUPUESTO!Q5</f>
        <v>0</v>
      </c>
      <c r="E13" s="10" t="n">
        <f aca="false">SUMIFS(GASTOS!$J$7:$J$5000,GASTOS!$L$7:$L$5000,"Transporte y otros")</f>
        <v>0</v>
      </c>
      <c r="F13" s="36" t="str">
        <f aca="false">IF(D13=0,"",E13/D13)</f>
        <v/>
      </c>
      <c r="G13" s="10" t="n">
        <f aca="false">D13-E13</f>
        <v>0</v>
      </c>
      <c r="H13" s="37" t="n">
        <f aca="false">MAX(D13,E13)</f>
        <v>0</v>
      </c>
      <c r="I13" s="38" t="n">
        <f aca="false">H13-D13</f>
        <v>0</v>
      </c>
      <c r="J13" s="39" t="str">
        <f aca="false">IF(H13&gt;D13+1,"Sobrecosto",IF(IF(D13&gt;0,E13/D13,0)&gt;N('CORTES CLIENTE'!$N$18)+0.15,"Atención","En control"))</f>
        <v>En control</v>
      </c>
      <c r="K13" s="40" t="s">
        <v>110</v>
      </c>
      <c r="L13" s="6"/>
      <c r="M13" s="6"/>
      <c r="N13" s="6"/>
      <c r="O13" s="6"/>
      <c r="P13" s="6"/>
    </row>
    <row r="14" customFormat="false" ht="16.5" hidden="false" customHeight="true" outlineLevel="0" collapsed="false">
      <c r="A14" s="6"/>
      <c r="B14" s="8" t="s">
        <v>111</v>
      </c>
      <c r="C14" s="8"/>
      <c r="D14" s="10" t="n">
        <f aca="false">PRESUPUESTO!R5</f>
        <v>0</v>
      </c>
      <c r="E14" s="10" t="n">
        <f aca="false">SUMIFS(GASTOS!$J$7:$J$5000,GASTOS!$L$7:$L$5000,"Alquileres")</f>
        <v>0</v>
      </c>
      <c r="F14" s="36" t="str">
        <f aca="false">IF(D14=0,"",E14/D14)</f>
        <v/>
      </c>
      <c r="G14" s="10" t="n">
        <f aca="false">D14-E14</f>
        <v>0</v>
      </c>
      <c r="H14" s="37" t="n">
        <f aca="false">MAX(D14,E14)</f>
        <v>0</v>
      </c>
      <c r="I14" s="38" t="n">
        <f aca="false">H14-D14</f>
        <v>0</v>
      </c>
      <c r="J14" s="39" t="str">
        <f aca="false">IF(H14&gt;D14+1,"Sobrecosto",IF(IF(D14&gt;0,E14/D14,0)&gt;N('CORTES CLIENTE'!$N$18)+0.15,"Atención","En control"))</f>
        <v>En control</v>
      </c>
      <c r="K14" s="40" t="s">
        <v>110</v>
      </c>
      <c r="L14" s="6"/>
      <c r="M14" s="6"/>
      <c r="N14" s="6"/>
      <c r="O14" s="6"/>
      <c r="P14" s="6"/>
    </row>
    <row r="15" customFormat="false" ht="16.5" hidden="false" customHeight="true" outlineLevel="0" collapsed="false">
      <c r="A15" s="6"/>
      <c r="B15" s="8" t="s">
        <v>112</v>
      </c>
      <c r="C15" s="8"/>
      <c r="D15" s="10" t="n">
        <f aca="false">v_CD*(p_Impuestos+p_Legales)+v_Total*p_Polizas</f>
        <v>0</v>
      </c>
      <c r="E15" s="10" t="n">
        <f aca="false">D15*N('CORTES CLIENTE'!$N$18)</f>
        <v>0</v>
      </c>
      <c r="F15" s="36" t="str">
        <f aca="false">IF(D15=0,"",E15/D15)</f>
        <v/>
      </c>
      <c r="G15" s="10" t="n">
        <f aca="false">D15-E15</f>
        <v>0</v>
      </c>
      <c r="H15" s="37" t="n">
        <f aca="false">D15</f>
        <v>0</v>
      </c>
      <c r="I15" s="10" t="n">
        <f aca="false">H15-D15</f>
        <v>0</v>
      </c>
      <c r="J15" s="39" t="s">
        <v>113</v>
      </c>
      <c r="K15" s="40" t="s">
        <v>114</v>
      </c>
      <c r="L15" s="6"/>
      <c r="M15" s="6"/>
      <c r="N15" s="6"/>
      <c r="O15" s="6"/>
      <c r="P15" s="6"/>
    </row>
    <row r="16" customFormat="false" ht="16.5" hidden="false" customHeight="true" outlineLevel="0" collapsed="false">
      <c r="A16" s="6"/>
      <c r="B16" s="12" t="s">
        <v>115</v>
      </c>
      <c r="C16" s="12"/>
      <c r="D16" s="13" t="n">
        <f aca="false">SUM(D11:D15)</f>
        <v>0</v>
      </c>
      <c r="E16" s="13" t="n">
        <f aca="false">SUM(E11:E15)</f>
        <v>0</v>
      </c>
      <c r="F16" s="41" t="str">
        <f aca="false">IF(D16=0,"",E16/D16)</f>
        <v/>
      </c>
      <c r="G16" s="13" t="n">
        <f aca="false">SUM(G11:G15)</f>
        <v>0</v>
      </c>
      <c r="H16" s="13" t="n">
        <f aca="false">SUM(H11:H15)</f>
        <v>0</v>
      </c>
      <c r="I16" s="13" t="n">
        <f aca="false">SUM(I11:I15)</f>
        <v>0</v>
      </c>
      <c r="J16" s="42" t="str">
        <f aca="false">IF(H16&gt;D16+1,"Sobrecosto","En control")</f>
        <v>En control</v>
      </c>
      <c r="K16" s="43"/>
      <c r="L16" s="6"/>
      <c r="M16" s="6"/>
      <c r="N16" s="6"/>
      <c r="O16" s="6"/>
      <c r="P16" s="6"/>
    </row>
    <row r="17" customFormat="false" ht="16.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6.5" hidden="false" customHeight="true" outlineLevel="0" collapsed="false">
      <c r="A18" s="6"/>
      <c r="B18" s="7" t="s">
        <v>116</v>
      </c>
      <c r="C18" s="7"/>
      <c r="D18" s="7"/>
      <c r="E18" s="7"/>
      <c r="F18" s="7"/>
      <c r="G18" s="6"/>
      <c r="H18" s="7" t="s">
        <v>117</v>
      </c>
      <c r="I18" s="7"/>
      <c r="J18" s="7"/>
      <c r="K18" s="7"/>
      <c r="L18" s="6"/>
      <c r="M18" s="6"/>
      <c r="N18" s="6"/>
      <c r="O18" s="6"/>
      <c r="P18" s="6"/>
    </row>
    <row r="19" customFormat="false" ht="16.5" hidden="false" customHeight="true" outlineLevel="0" collapsed="false">
      <c r="A19" s="6"/>
      <c r="B19" s="35" t="s">
        <v>118</v>
      </c>
      <c r="C19" s="35"/>
      <c r="D19" s="35"/>
      <c r="E19" s="35" t="s">
        <v>119</v>
      </c>
      <c r="F19" s="35" t="s">
        <v>120</v>
      </c>
      <c r="G19" s="6"/>
      <c r="H19" s="35" t="s">
        <v>118</v>
      </c>
      <c r="I19" s="35"/>
      <c r="J19" s="35"/>
      <c r="K19" s="35" t="s">
        <v>119</v>
      </c>
      <c r="L19" s="6"/>
      <c r="M19" s="6"/>
      <c r="N19" s="6"/>
      <c r="O19" s="6"/>
      <c r="P19" s="6"/>
    </row>
    <row r="20" customFormat="false" ht="16.5" hidden="false" customHeight="true" outlineLevel="0" collapsed="false">
      <c r="A20" s="6"/>
      <c r="B20" s="8" t="s">
        <v>121</v>
      </c>
      <c r="C20" s="8"/>
      <c r="D20" s="8"/>
      <c r="E20" s="10" t="n">
        <f aca="false">v_Ingreso</f>
        <v>0</v>
      </c>
      <c r="F20" s="36"/>
      <c r="G20" s="6"/>
      <c r="H20" s="8" t="s">
        <v>122</v>
      </c>
      <c r="I20" s="8"/>
      <c r="J20" s="8"/>
      <c r="K20" s="10" t="n">
        <f aca="false">v_Total</f>
        <v>0</v>
      </c>
      <c r="L20" s="6"/>
      <c r="M20" s="6"/>
      <c r="N20" s="6"/>
      <c r="O20" s="6"/>
      <c r="P20" s="6"/>
    </row>
    <row r="21" customFormat="false" ht="16.5" hidden="false" customHeight="true" outlineLevel="0" collapsed="false">
      <c r="A21" s="6"/>
      <c r="B21" s="8" t="s">
        <v>123</v>
      </c>
      <c r="C21" s="8"/>
      <c r="D21" s="8"/>
      <c r="E21" s="10" t="n">
        <f aca="false">D16</f>
        <v>0</v>
      </c>
      <c r="F21" s="36"/>
      <c r="G21" s="6"/>
      <c r="H21" s="8" t="s">
        <v>51</v>
      </c>
      <c r="I21" s="8"/>
      <c r="J21" s="8"/>
      <c r="K21" s="10" t="n">
        <f aca="false">v_Anticipo</f>
        <v>0</v>
      </c>
      <c r="L21" s="6"/>
      <c r="M21" s="6"/>
      <c r="N21" s="6"/>
      <c r="O21" s="6"/>
      <c r="P21" s="6"/>
    </row>
    <row r="22" customFormat="false" ht="16.5" hidden="false" customHeight="true" outlineLevel="0" collapsed="false">
      <c r="A22" s="6"/>
      <c r="B22" s="12" t="s">
        <v>124</v>
      </c>
      <c r="C22" s="12"/>
      <c r="D22" s="12"/>
      <c r="E22" s="13" t="n">
        <f aca="false">E20-E21</f>
        <v>0</v>
      </c>
      <c r="F22" s="41" t="str">
        <f aca="false">IF(E20=0,"",E22/E20)</f>
        <v/>
      </c>
      <c r="G22" s="6"/>
      <c r="H22" s="8" t="s">
        <v>125</v>
      </c>
      <c r="I22" s="8"/>
      <c r="J22" s="8"/>
      <c r="K22" s="10" t="n">
        <f aca="false">N(p_AntRecibido)</f>
        <v>0</v>
      </c>
      <c r="L22" s="6"/>
      <c r="M22" s="6"/>
      <c r="N22" s="6"/>
      <c r="O22" s="6"/>
      <c r="P22" s="6"/>
    </row>
    <row r="23" customFormat="false" ht="16.5" hidden="false" customHeight="true" outlineLevel="0" collapsed="false">
      <c r="A23" s="6"/>
      <c r="B23" s="8" t="s">
        <v>126</v>
      </c>
      <c r="C23" s="8"/>
      <c r="D23" s="8"/>
      <c r="E23" s="10" t="n">
        <f aca="false">H16</f>
        <v>0</v>
      </c>
      <c r="F23" s="36"/>
      <c r="G23" s="6"/>
      <c r="H23" s="8" t="s">
        <v>127</v>
      </c>
      <c r="I23" s="8"/>
      <c r="J23" s="8"/>
      <c r="K23" s="10" t="n">
        <f aca="false">'CORTES CLIENTE'!L11</f>
        <v>0</v>
      </c>
      <c r="L23" s="6"/>
      <c r="M23" s="6"/>
      <c r="N23" s="6"/>
      <c r="O23" s="6"/>
      <c r="P23" s="6"/>
    </row>
    <row r="24" customFormat="false" ht="16.5" hidden="false" customHeight="true" outlineLevel="0" collapsed="false">
      <c r="A24" s="6"/>
      <c r="B24" s="12" t="s">
        <v>94</v>
      </c>
      <c r="C24" s="12"/>
      <c r="D24" s="12"/>
      <c r="E24" s="13" t="n">
        <f aca="false">E20-E23</f>
        <v>0</v>
      </c>
      <c r="F24" s="41" t="str">
        <f aca="false">IF(E20=0,"",E24/E20)</f>
        <v/>
      </c>
      <c r="G24" s="6"/>
      <c r="H24" s="8" t="s">
        <v>128</v>
      </c>
      <c r="I24" s="8"/>
      <c r="J24" s="8"/>
      <c r="K24" s="10" t="n">
        <f aca="false">(SUMIF('CORTES CLIENTE'!$F$16:$K$16,"Facturado",'CORTES CLIENTE'!$F$13:$K$13)+SUMIF('CORTES CLIENTE'!$F$16:$K$16,"Pagado",'CORTES CLIENTE'!$F$13:$K$13))</f>
        <v>0</v>
      </c>
      <c r="L24" s="6"/>
      <c r="M24" s="6"/>
      <c r="N24" s="6"/>
      <c r="O24" s="6"/>
      <c r="P24" s="6"/>
    </row>
    <row r="25" customFormat="false" ht="16.5" hidden="false" customHeight="true" outlineLevel="0" collapsed="false">
      <c r="A25" s="6"/>
      <c r="B25" s="8" t="s">
        <v>129</v>
      </c>
      <c r="C25" s="8"/>
      <c r="D25" s="8"/>
      <c r="E25" s="10" t="n">
        <f aca="false">SUM('CORTES CLIENTE'!L6:L9)</f>
        <v>0</v>
      </c>
      <c r="F25" s="36"/>
      <c r="G25" s="6"/>
      <c r="H25" s="8" t="s">
        <v>130</v>
      </c>
      <c r="I25" s="8"/>
      <c r="J25" s="8"/>
      <c r="K25" s="10" t="n">
        <f aca="false">'CORTES CLIENTE'!L17+N(p_AntRecibido)</f>
        <v>0</v>
      </c>
      <c r="L25" s="6"/>
      <c r="M25" s="6"/>
      <c r="N25" s="6"/>
      <c r="O25" s="6"/>
      <c r="P25" s="6"/>
    </row>
    <row r="26" customFormat="false" ht="16.5" hidden="false" customHeight="true" outlineLevel="0" collapsed="false">
      <c r="A26" s="6"/>
      <c r="B26" s="8" t="s">
        <v>131</v>
      </c>
      <c r="C26" s="8"/>
      <c r="D26" s="8"/>
      <c r="E26" s="10" t="n">
        <f aca="false">E16</f>
        <v>0</v>
      </c>
      <c r="F26" s="36"/>
      <c r="G26" s="6"/>
      <c r="H26" s="12" t="s">
        <v>132</v>
      </c>
      <c r="I26" s="12"/>
      <c r="J26" s="12"/>
      <c r="K26" s="13" t="n">
        <f aca="false">v_Total-'CORTES CLIENTE'!L11</f>
        <v>0</v>
      </c>
      <c r="L26" s="6"/>
      <c r="M26" s="6"/>
      <c r="N26" s="6"/>
      <c r="O26" s="6"/>
      <c r="P26" s="6"/>
    </row>
    <row r="27" customFormat="false" ht="16.5" hidden="false" customHeight="true" outlineLevel="0" collapsed="false">
      <c r="A27" s="6"/>
      <c r="B27" s="12" t="s">
        <v>133</v>
      </c>
      <c r="C27" s="12"/>
      <c r="D27" s="12"/>
      <c r="E27" s="13" t="n">
        <f aca="false">E25-E26</f>
        <v>0</v>
      </c>
      <c r="F27" s="41" t="str">
        <f aca="false">IF(E25=0,"",E27/E25)</f>
        <v/>
      </c>
      <c r="G27" s="6"/>
      <c r="H27" s="12" t="s">
        <v>134</v>
      </c>
      <c r="I27" s="12"/>
      <c r="J27" s="12"/>
      <c r="K27" s="13" t="n">
        <f aca="false">K24-'CORTES CLIENTE'!L17</f>
        <v>0</v>
      </c>
      <c r="L27" s="6"/>
      <c r="M27" s="6"/>
      <c r="N27" s="6"/>
      <c r="O27" s="6"/>
      <c r="P27" s="6"/>
    </row>
    <row r="28" customFormat="false" ht="16.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customFormat="false" ht="16.5" hidden="false" customHeight="true" outlineLevel="0" collapsed="false">
      <c r="A29" s="6"/>
      <c r="B29" s="7" t="s">
        <v>135</v>
      </c>
      <c r="C29" s="7"/>
      <c r="D29" s="7"/>
      <c r="E29" s="7"/>
      <c r="F29" s="7"/>
      <c r="G29" s="7"/>
      <c r="H29" s="6"/>
      <c r="I29" s="7" t="s">
        <v>136</v>
      </c>
      <c r="J29" s="7"/>
      <c r="K29" s="7"/>
      <c r="L29" s="7"/>
      <c r="M29" s="7"/>
      <c r="N29" s="7"/>
      <c r="O29" s="7"/>
      <c r="P29" s="6"/>
    </row>
    <row r="30" customFormat="false" ht="16.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35" t="s">
        <v>137</v>
      </c>
      <c r="J30" s="35"/>
      <c r="K30" s="35"/>
      <c r="L30" s="35" t="s">
        <v>119</v>
      </c>
      <c r="M30" s="35" t="s">
        <v>138</v>
      </c>
      <c r="N30" s="35" t="s">
        <v>139</v>
      </c>
      <c r="O30" s="35"/>
      <c r="P30" s="6"/>
    </row>
    <row r="31" customFormat="false" ht="16.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8" t="s">
        <v>140</v>
      </c>
      <c r="J31" s="8"/>
      <c r="K31" s="8"/>
      <c r="L31" s="10" t="n">
        <f aca="false">SUMIFS(GASTOS!$J$7:$J$5000,GASTOS!$C$7:$C$5000,I31)</f>
        <v>0</v>
      </c>
      <c r="M31" s="36" t="str">
        <f aca="false">IF(L$37=0,"",L31/L$37)</f>
        <v/>
      </c>
      <c r="N31" s="44" t="n">
        <f aca="false">COUNTIF(GASTOS!$C$7:$C$5000,I31)</f>
        <v>0</v>
      </c>
      <c r="O31" s="44"/>
      <c r="P31" s="6"/>
    </row>
    <row r="32" customFormat="false" ht="16.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8" t="s">
        <v>141</v>
      </c>
      <c r="J32" s="8"/>
      <c r="K32" s="8"/>
      <c r="L32" s="10" t="n">
        <f aca="false">SUMIFS(GASTOS!$J$7:$J$5000,GASTOS!$C$7:$C$5000,I32)</f>
        <v>0</v>
      </c>
      <c r="M32" s="36" t="str">
        <f aca="false">IF(L$37=0,"",L32/L$37)</f>
        <v/>
      </c>
      <c r="N32" s="44" t="n">
        <f aca="false">COUNTIF(GASTOS!$C$7:$C$5000,I32)</f>
        <v>0</v>
      </c>
      <c r="O32" s="44"/>
      <c r="P32" s="6"/>
    </row>
    <row r="33" customFormat="false" ht="16.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8" t="s">
        <v>142</v>
      </c>
      <c r="J33" s="8"/>
      <c r="K33" s="8"/>
      <c r="L33" s="10" t="n">
        <f aca="false">SUMIFS(GASTOS!$J$7:$J$5000,GASTOS!$C$7:$C$5000,I33)</f>
        <v>0</v>
      </c>
      <c r="M33" s="36" t="str">
        <f aca="false">IF(L$37=0,"",L33/L$37)</f>
        <v/>
      </c>
      <c r="N33" s="44" t="n">
        <f aca="false">COUNTIF(GASTOS!$C$7:$C$5000,I33)</f>
        <v>0</v>
      </c>
      <c r="O33" s="44"/>
      <c r="P33" s="6"/>
    </row>
    <row r="34" customFormat="false" ht="16.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8" t="s">
        <v>143</v>
      </c>
      <c r="J34" s="8"/>
      <c r="K34" s="8"/>
      <c r="L34" s="10" t="n">
        <f aca="false">SUMIFS(GASTOS!$J$7:$J$5000,GASTOS!$C$7:$C$5000,I34)</f>
        <v>0</v>
      </c>
      <c r="M34" s="36" t="str">
        <f aca="false">IF(L$37=0,"",L34/L$37)</f>
        <v/>
      </c>
      <c r="N34" s="44" t="n">
        <f aca="false">COUNTIF(GASTOS!$C$7:$C$5000,I34)</f>
        <v>0</v>
      </c>
      <c r="O34" s="44"/>
      <c r="P34" s="6"/>
    </row>
    <row r="35" customFormat="false" ht="16.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8" t="s">
        <v>144</v>
      </c>
      <c r="J35" s="8"/>
      <c r="K35" s="8"/>
      <c r="L35" s="10" t="n">
        <f aca="false">SUMIFS(GASTOS!$J$7:$J$5000,GASTOS!$C$7:$C$5000,I35)</f>
        <v>0</v>
      </c>
      <c r="M35" s="36" t="str">
        <f aca="false">IF(L$37=0,"",L35/L$37)</f>
        <v/>
      </c>
      <c r="N35" s="44" t="n">
        <f aca="false">COUNTIF(GASTOS!$C$7:$C$5000,I35)</f>
        <v>0</v>
      </c>
      <c r="O35" s="44"/>
      <c r="P35" s="6"/>
    </row>
    <row r="36" customFormat="false" ht="16.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8" t="s">
        <v>145</v>
      </c>
      <c r="J36" s="8"/>
      <c r="K36" s="8"/>
      <c r="L36" s="10" t="n">
        <f aca="false">SUMIFS(GASTOS!$J$7:$J$5000,GASTOS!$C$7:$C$5000,I36)</f>
        <v>0</v>
      </c>
      <c r="M36" s="36" t="str">
        <f aca="false">IF(L$37=0,"",L36/L$37)</f>
        <v/>
      </c>
      <c r="N36" s="44" t="n">
        <f aca="false">COUNTIF(GASTOS!$C$7:$C$5000,I36)</f>
        <v>0</v>
      </c>
      <c r="O36" s="44"/>
      <c r="P36" s="6"/>
    </row>
    <row r="37" customFormat="false" ht="16.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12" t="s">
        <v>146</v>
      </c>
      <c r="J37" s="12"/>
      <c r="K37" s="12"/>
      <c r="L37" s="13" t="n">
        <f aca="false">SUM(L31:L36)</f>
        <v>0</v>
      </c>
      <c r="M37" s="41" t="str">
        <f aca="false">IF(L37=0,"",SUM(M31:M36))</f>
        <v/>
      </c>
      <c r="N37" s="45" t="n">
        <f aca="false">SUM(N31:N36)</f>
        <v>0</v>
      </c>
      <c r="O37" s="45"/>
      <c r="P37" s="6"/>
    </row>
    <row r="38" customFormat="false" ht="16.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customFormat="false" ht="16.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16.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customFormat="false" ht="16.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customFormat="false" ht="16.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customFormat="false" ht="16.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customFormat="false" ht="16.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customFormat="false" ht="16.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customFormat="false" ht="16.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6.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customFormat="false" ht="16.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6.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customFormat="false" ht="16.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customFormat="false" ht="12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</sheetData>
  <mergeCells count="63">
    <mergeCell ref="D1:G1"/>
    <mergeCell ref="H1:P1"/>
    <mergeCell ref="B5:D5"/>
    <mergeCell ref="E5:G5"/>
    <mergeCell ref="H5:J5"/>
    <mergeCell ref="K5:M5"/>
    <mergeCell ref="N5:P5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9:K9"/>
    <mergeCell ref="B10:C10"/>
    <mergeCell ref="B11:C11"/>
    <mergeCell ref="B12:C12"/>
    <mergeCell ref="B13:C13"/>
    <mergeCell ref="B14:C14"/>
    <mergeCell ref="B15:C15"/>
    <mergeCell ref="B16:C16"/>
    <mergeCell ref="B18:F18"/>
    <mergeCell ref="H18:K18"/>
    <mergeCell ref="B19:D19"/>
    <mergeCell ref="H19:J19"/>
    <mergeCell ref="B20:D20"/>
    <mergeCell ref="H20:J20"/>
    <mergeCell ref="B21:D21"/>
    <mergeCell ref="H21:J21"/>
    <mergeCell ref="B22:D22"/>
    <mergeCell ref="H22:J22"/>
    <mergeCell ref="B23:D23"/>
    <mergeCell ref="H23:J23"/>
    <mergeCell ref="B24:D24"/>
    <mergeCell ref="H24:J24"/>
    <mergeCell ref="B25:D25"/>
    <mergeCell ref="H25:J25"/>
    <mergeCell ref="B26:D26"/>
    <mergeCell ref="H26:J26"/>
    <mergeCell ref="B27:D27"/>
    <mergeCell ref="H27:J27"/>
    <mergeCell ref="B29:G29"/>
    <mergeCell ref="I29:O29"/>
    <mergeCell ref="I30:K30"/>
    <mergeCell ref="N30:O30"/>
    <mergeCell ref="I31:K31"/>
    <mergeCell ref="N31:O31"/>
    <mergeCell ref="I32:K32"/>
    <mergeCell ref="N32:O32"/>
    <mergeCell ref="I33:K33"/>
    <mergeCell ref="N33:O33"/>
    <mergeCell ref="I34:K34"/>
    <mergeCell ref="N34:O34"/>
    <mergeCell ref="I35:K35"/>
    <mergeCell ref="N35:O35"/>
    <mergeCell ref="I36:K36"/>
    <mergeCell ref="N36:O36"/>
    <mergeCell ref="I37:K37"/>
    <mergeCell ref="N37:O37"/>
  </mergeCells>
  <conditionalFormatting sqref="J11:J16">
    <cfRule type="cellIs" priority="2" operator="equal" aboveAverage="0" equalAverage="0" bottom="0" percent="0" rank="0" text="" dxfId="0">
      <formula>"Sobrecosto"</formula>
    </cfRule>
    <cfRule type="cellIs" priority="3" operator="equal" aboveAverage="0" equalAverage="0" bottom="0" percent="0" rank="0" text="" dxfId="1">
      <formula>"Atención"</formula>
    </cfRule>
    <cfRule type="cellIs" priority="4" operator="equal" aboveAverage="0" equalAverage="0" bottom="0" percent="0" rank="0" text="" dxfId="2">
      <formula>"En control"</formula>
    </cfRule>
  </conditionalFormatting>
  <conditionalFormatting sqref="I11:I16">
    <cfRule type="cellIs" priority="5" operator="greaterThan" aboveAverage="0" equalAverage="0" bottom="0" percent="0" rank="0" text="" dxfId="3">
      <formula>1</formula>
    </cfRule>
    <cfRule type="cellIs" priority="6" operator="lessThan" aboveAverage="0" equalAverage="0" bottom="0" percent="0" rank="0" text="" dxfId="4">
      <formula>-1</formula>
    </cfRule>
  </conditionalFormatting>
  <conditionalFormatting sqref="F20:F27">
    <cfRule type="expression" priority="7" aboveAverage="0" equalAverage="0" bottom="0" percent="0" rank="0" text="" dxfId="3">
      <formula>AND(ISNUMBER(F20),F20&lt;0.12)</formula>
    </cfRule>
  </conditionalFormatting>
  <conditionalFormatting sqref="M31:M36">
    <cfRule type="dataBar" priority="8">
      <dataBar showValue="1" minLength="10" maxLength="90">
        <cfvo type="num" val="0"/>
        <cfvo type="num" val="1"/>
        <color rgb="FF00BBF2"/>
      </dataBar>
      <extLst>
        <ext xmlns:x14="http://schemas.microsoft.com/office/spreadsheetml/2009/9/main" uri="{B025F937-C7B1-47D3-B67F-A62EFF666E3E}">
          <x14:id>{C382E730-69E5-4A61-B2E2-00A8D3BCCABE}</x14:id>
        </ext>
      </extLst>
    </cfRule>
  </conditionalFormatting>
  <hyperlinks>
    <hyperlink ref="B2" r:id="rId1" location="'INICIO'!A1" display="INICIO"/>
    <hyperlink ref="C2" r:id="rId2" location="'TABLERO'!A1" display="● TABLERO"/>
    <hyperlink ref="D2" r:id="rId3" location="'CRONOGRAMA'!A1" display="CRONOGRAMA"/>
    <hyperlink ref="E2" r:id="rId4" location="'PRESUPUESTO'!A1" display="PRESUPUESTO"/>
    <hyperlink ref="F2" r:id="rId5" location="'CORTES%20CLIENTE'!A1" display="CORTES CLIENTE"/>
    <hyperlink ref="G2" r:id="rId6" location="'MANO%20DE%20OBRA'!A1" display="MANO DE OBRA"/>
    <hyperlink ref="H2" r:id="rId7" location="'GASTOS'!A1" display="GASTOS"/>
    <hyperlink ref="I2" r:id="rId8" location="'CONTROL%20DE%20MATERIALES'!A1" display="MATERIALES"/>
    <hyperlink ref="J2" r:id="rId9" location="'GUÍA%20APP'!A1" display="GUÍA"/>
    <hyperlink ref="B5" r:id="rId10" location="'INICIO'!A1" display="VALOR DEL CONTRATO"/>
    <hyperlink ref="E5" r:id="rId11" location="'CORTES%20CLIENTE'!A1" display="AVANCE FÍSICO"/>
    <hyperlink ref="H5" r:id="rId12" location="'CORTES%20CLIENTE'!A1" display="FACTURADO (neto)"/>
    <hyperlink ref="K5" r:id="rId13" location="'GASTOS'!A1" display="COSTO REAL A LA FECHA"/>
    <hyperlink ref="N5" r:id="rId14" location="'PRESUPUESTO'!A1" display="MARGEN BRUTO PROYECTADO"/>
    <hyperlink ref="B6" r:id="rId15" location="'INICIO'!A1" display="file:///home/claude/p8.xlsx#'INICIO'!A1"/>
    <hyperlink ref="E6" r:id="rId16" location="'CORTES%20CLIENTE'!A1" display="file:///home/claude/p8.xlsx#'CORTES CLIENTE'!A1"/>
    <hyperlink ref="H6" r:id="rId17" location="'CORTES%20CLIENTE'!A1" display="file:///home/claude/p8.xlsx#'CORTES CLIENTE'!A1"/>
    <hyperlink ref="K6" r:id="rId18" location="'GASTOS'!A1" display="file:///home/claude/p8.xlsx#'GASTOS'!A1"/>
    <hyperlink ref="N6" r:id="rId19" location="'PRESUPUESTO'!A1" display="file:///home/claude/p8.xlsx#'PRESUPUESTO'!A1"/>
    <hyperlink ref="B7" r:id="rId20" location="'INICIO'!A1" display="file:///home/claude/p8.xlsx#'INICIO'!A1"/>
    <hyperlink ref="E7" r:id="rId21" location="'CORTES%20CLIENTE'!A1" display="file:///home/claude/p8.xlsx#'CORTES CLIENTE'!A1"/>
    <hyperlink ref="H7" r:id="rId22" location="'CORTES%20CLIENTE'!A1" display="file:///home/claude/p8.xlsx#'CORTES CLIENTE'!A1"/>
    <hyperlink ref="K7" r:id="rId23" location="'GASTOS'!A1" display="file:///home/claude/p8.xlsx#'GASTOS'!A1"/>
    <hyperlink ref="N7" r:id="rId24" location="'PRESUPUESTO'!A1" display="file:///home/claude/p8.xlsx#'PRESUPUESTO'!A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2E730-69E5-4A61-B2E2-00A8D3BCCAB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0BBF2"/>
              <x14:axisColor rgb="FF000000"/>
            </x14:dataBar>
          </x14:cfRule>
          <xm:sqref>M31:M36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BF2"/>
    <pageSetUpPr fitToPage="true"/>
  </sheetPr>
  <dimension ref="A1:BX44"/>
  <sheetViews>
    <sheetView showFormulas="false" showGridLines="false" showRowColHeaders="false" showZeros="true" rightToLeft="false" tabSelected="false" showOutlineSymbols="true" defaultGridColor="true" view="normal" topLeftCell="A1" colorId="64" zoomScale="90" zoomScaleNormal="9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13.00390625" defaultRowHeight="15" zeroHeight="true" outlineLevelRow="1" outlineLevelCol="1"/>
  <cols>
    <col collapsed="false" customWidth="true" hidden="false" outlineLevel="0" max="1" min="1" style="0" width="1.6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3" min="10" style="0" width="11"/>
    <col collapsed="false" customWidth="true" hidden="false" outlineLevel="0" max="14" min="14" style="0" width="7"/>
    <col collapsed="false" customWidth="true" hidden="false" outlineLevel="0" max="15" min="15" style="0" width="9"/>
    <col collapsed="false" customWidth="true" hidden="false" outlineLevel="0" max="17" min="17" style="0" width="7"/>
    <col collapsed="false" customWidth="false" hidden="true" outlineLevel="0" max="24" min="18" style="0" width="13"/>
    <col collapsed="false" customWidth="true" hidden="false" outlineLevel="0" max="76" min="25" style="0" width="3.2"/>
    <col collapsed="false" customWidth="false" hidden="true" outlineLevel="1" max="16384" min="77" style="0" width="13"/>
  </cols>
  <sheetData>
    <row r="1" customFormat="false" ht="54" hidden="false" customHeight="true" outlineLevel="0" collapsed="false">
      <c r="A1" s="1"/>
      <c r="B1" s="1"/>
      <c r="C1" s="1"/>
      <c r="D1" s="2" t="s">
        <v>147</v>
      </c>
      <c r="E1" s="2"/>
      <c r="F1" s="2"/>
      <c r="G1" s="3" t="s">
        <v>148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customFormat="false" ht="24" hidden="false" customHeight="true" outlineLevel="0" collapsed="false">
      <c r="B2" s="5" t="s">
        <v>88</v>
      </c>
      <c r="C2" s="5"/>
      <c r="D2" s="5" t="s">
        <v>3</v>
      </c>
      <c r="E2" s="5"/>
      <c r="F2" s="4" t="s">
        <v>149</v>
      </c>
      <c r="G2" s="5" t="s">
        <v>5</v>
      </c>
      <c r="H2" s="5"/>
      <c r="I2" s="5" t="s">
        <v>6</v>
      </c>
      <c r="J2" s="5"/>
      <c r="K2" s="5" t="s">
        <v>7</v>
      </c>
      <c r="L2" s="5"/>
      <c r="M2" s="5" t="s">
        <v>8</v>
      </c>
      <c r="N2" s="5"/>
      <c r="O2" s="5" t="s">
        <v>9</v>
      </c>
      <c r="P2" s="5"/>
      <c r="Q2" s="5" t="s">
        <v>10</v>
      </c>
      <c r="R2" s="5"/>
      <c r="S2" s="5"/>
      <c r="T2" s="5"/>
      <c r="U2" s="5"/>
      <c r="V2" s="5"/>
      <c r="W2" s="5"/>
      <c r="X2" s="5"/>
      <c r="Y2" s="5"/>
      <c r="Z2" s="5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</row>
    <row r="3" customFormat="false" ht="15.75" hidden="false" customHeight="true" outlineLevel="0" collapsed="false">
      <c r="A3" s="6"/>
      <c r="B3" s="46" t="s">
        <v>88</v>
      </c>
      <c r="C3" s="46"/>
      <c r="D3" s="46" t="s">
        <v>150</v>
      </c>
      <c r="E3" s="46"/>
      <c r="F3" s="46" t="s">
        <v>151</v>
      </c>
      <c r="G3" s="46"/>
      <c r="H3" s="46" t="s">
        <v>152</v>
      </c>
      <c r="I3" s="46"/>
      <c r="J3" s="46" t="s">
        <v>91</v>
      </c>
      <c r="K3" s="46"/>
      <c r="L3" s="46"/>
      <c r="M3" s="46" t="s">
        <v>153</v>
      </c>
      <c r="N3" s="46"/>
      <c r="O3" s="46" t="s">
        <v>154</v>
      </c>
      <c r="P3" s="46"/>
      <c r="Q3" s="4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 customFormat="false" ht="27.75" hidden="false" customHeight="true" outlineLevel="0" collapsed="false">
      <c r="A4" s="6"/>
      <c r="B4" s="47" t="n">
        <f aca="false">IF(COUNT($J$8:$J$36)=0,"",MIN($J$8:$J$36))</f>
        <v>46312</v>
      </c>
      <c r="C4" s="47"/>
      <c r="D4" s="47" t="n">
        <f aca="false">IF(COUNT($K$8:$K$36)=0,"",MAX($K$8:$K$36))</f>
        <v>46348</v>
      </c>
      <c r="E4" s="47"/>
      <c r="F4" s="47" t="str">
        <f aca="false">IF(n_FFin="","Sin definir",n_FFin)</f>
        <v>Sin definir</v>
      </c>
      <c r="G4" s="47"/>
      <c r="H4" s="48" t="str">
        <f aca="false">IF(OR(n_FFin="",COUNT($K$8:$K$36)=0),"",n_FFin-MAX($K$8:$K$36))</f>
        <v/>
      </c>
      <c r="I4" s="48"/>
      <c r="J4" s="49" t="str">
        <f aca="false">'CORTES CLIENTE'!N18</f>
        <v/>
      </c>
      <c r="K4" s="49"/>
      <c r="L4" s="49"/>
      <c r="M4" s="50" t="str">
        <f aca="false">COUNTIFS($D$8:$D$36,"Hito",$P$8:$P$36,"Cumplido")&amp;" / "&amp;COUNTIF($D$8:$D$36,"Hito")</f>
        <v>0 / 6</v>
      </c>
      <c r="N4" s="50"/>
      <c r="O4" s="51" t="n">
        <f aca="false">COUNTIF($P$8:$P$36,"Atrasada")+COUNTIF($P$8:$P$36,"Vencido")</f>
        <v>0</v>
      </c>
      <c r="P4" s="51"/>
      <c r="Q4" s="51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</row>
    <row r="5" customFormat="false" ht="16.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52" t="str">
        <f aca="false">TEXT(Y7,"yyyy")</f>
        <v>2026</v>
      </c>
      <c r="Z5" s="52" t="str">
        <f aca="false">IF(1=0,TEXT(Z7,"yyyy"),IF(YEAR(Z7)&lt;&gt;YEAR(Y7),TEXT(Z7,"yyyy"),""))</f>
        <v/>
      </c>
      <c r="AA5" s="52" t="str">
        <f aca="false">IF(2=0,TEXT(AA7,"yyyy"),IF(YEAR(AA7)&lt;&gt;YEAR(Z7),TEXT(AA7,"yyyy"),""))</f>
        <v/>
      </c>
      <c r="AB5" s="52" t="str">
        <f aca="false">IF(3=0,TEXT(AB7,"yyyy"),IF(YEAR(AB7)&lt;&gt;YEAR(AA7),TEXT(AB7,"yyyy"),""))</f>
        <v/>
      </c>
      <c r="AC5" s="52" t="str">
        <f aca="false">IF(4=0,TEXT(AC7,"yyyy"),IF(YEAR(AC7)&lt;&gt;YEAR(AB7),TEXT(AC7,"yyyy"),""))</f>
        <v/>
      </c>
      <c r="AD5" s="52" t="str">
        <f aca="false">IF(5=0,TEXT(AD7,"yyyy"),IF(YEAR(AD7)&lt;&gt;YEAR(AC7),TEXT(AD7,"yyyy"),""))</f>
        <v/>
      </c>
      <c r="AE5" s="52" t="str">
        <f aca="false">IF(6=0,TEXT(AE7,"yyyy"),IF(YEAR(AE7)&lt;&gt;YEAR(AD7),TEXT(AE7,"yyyy"),""))</f>
        <v/>
      </c>
      <c r="AF5" s="52" t="str">
        <f aca="false">IF(7=0,TEXT(AF7,"yyyy"),IF(YEAR(AF7)&lt;&gt;YEAR(AE7),TEXT(AF7,"yyyy"),""))</f>
        <v/>
      </c>
      <c r="AG5" s="52" t="str">
        <f aca="false">IF(8=0,TEXT(AG7,"yyyy"),IF(YEAR(AG7)&lt;&gt;YEAR(AF7),TEXT(AG7,"yyyy"),""))</f>
        <v/>
      </c>
      <c r="AH5" s="52" t="str">
        <f aca="false">IF(9=0,TEXT(AH7,"yyyy"),IF(YEAR(AH7)&lt;&gt;YEAR(AG7),TEXT(AH7,"yyyy"),""))</f>
        <v/>
      </c>
      <c r="AI5" s="52" t="str">
        <f aca="false">IF(10=0,TEXT(AI7,"yyyy"),IF(YEAR(AI7)&lt;&gt;YEAR(AH7),TEXT(AI7,"yyyy"),""))</f>
        <v/>
      </c>
      <c r="AJ5" s="52" t="str">
        <f aca="false">IF(11=0,TEXT(AJ7,"yyyy"),IF(YEAR(AJ7)&lt;&gt;YEAR(AI7),TEXT(AJ7,"yyyy"),""))</f>
        <v/>
      </c>
      <c r="AK5" s="52" t="str">
        <f aca="false">IF(12=0,TEXT(AK7,"yyyy"),IF(YEAR(AK7)&lt;&gt;YEAR(AJ7),TEXT(AK7,"yyyy"),""))</f>
        <v>2027</v>
      </c>
      <c r="AL5" s="52" t="str">
        <f aca="false">IF(13=0,TEXT(AL7,"yyyy"),IF(YEAR(AL7)&lt;&gt;YEAR(AK7),TEXT(AL7,"yyyy"),""))</f>
        <v/>
      </c>
      <c r="AM5" s="52" t="str">
        <f aca="false">IF(14=0,TEXT(AM7,"yyyy"),IF(YEAR(AM7)&lt;&gt;YEAR(AL7),TEXT(AM7,"yyyy"),""))</f>
        <v/>
      </c>
      <c r="AN5" s="52" t="str">
        <f aca="false">IF(15=0,TEXT(AN7,"yyyy"),IF(YEAR(AN7)&lt;&gt;YEAR(AM7),TEXT(AN7,"yyyy"),""))</f>
        <v/>
      </c>
      <c r="AO5" s="52" t="str">
        <f aca="false">IF(16=0,TEXT(AO7,"yyyy"),IF(YEAR(AO7)&lt;&gt;YEAR(AN7),TEXT(AO7,"yyyy"),""))</f>
        <v/>
      </c>
      <c r="AP5" s="52" t="str">
        <f aca="false">IF(17=0,TEXT(AP7,"yyyy"),IF(YEAR(AP7)&lt;&gt;YEAR(AO7),TEXT(AP7,"yyyy"),""))</f>
        <v/>
      </c>
      <c r="AQ5" s="52" t="str">
        <f aca="false">IF(18=0,TEXT(AQ7,"yyyy"),IF(YEAR(AQ7)&lt;&gt;YEAR(AP7),TEXT(AQ7,"yyyy"),""))</f>
        <v/>
      </c>
      <c r="AR5" s="52" t="str">
        <f aca="false">IF(19=0,TEXT(AR7,"yyyy"),IF(YEAR(AR7)&lt;&gt;YEAR(AQ7),TEXT(AR7,"yyyy"),""))</f>
        <v/>
      </c>
      <c r="AS5" s="52" t="str">
        <f aca="false">IF(20=0,TEXT(AS7,"yyyy"),IF(YEAR(AS7)&lt;&gt;YEAR(AR7),TEXT(AS7,"yyyy"),""))</f>
        <v/>
      </c>
      <c r="AT5" s="52" t="str">
        <f aca="false">IF(21=0,TEXT(AT7,"yyyy"),IF(YEAR(AT7)&lt;&gt;YEAR(AS7),TEXT(AT7,"yyyy"),""))</f>
        <v/>
      </c>
      <c r="AU5" s="52" t="str">
        <f aca="false">IF(22=0,TEXT(AU7,"yyyy"),IF(YEAR(AU7)&lt;&gt;YEAR(AT7),TEXT(AU7,"yyyy"),""))</f>
        <v/>
      </c>
      <c r="AV5" s="52" t="str">
        <f aca="false">IF(23=0,TEXT(AV7,"yyyy"),IF(YEAR(AV7)&lt;&gt;YEAR(AU7),TEXT(AV7,"yyyy"),""))</f>
        <v/>
      </c>
      <c r="AW5" s="52" t="str">
        <f aca="false">IF(24=0,TEXT(AW7,"yyyy"),IF(YEAR(AW7)&lt;&gt;YEAR(AV7),TEXT(AW7,"yyyy"),""))</f>
        <v/>
      </c>
      <c r="AX5" s="52" t="str">
        <f aca="false">IF(25=0,TEXT(AX7,"yyyy"),IF(YEAR(AX7)&lt;&gt;YEAR(AW7),TEXT(AX7,"yyyy"),""))</f>
        <v/>
      </c>
      <c r="AY5" s="52" t="str">
        <f aca="false">IF(26=0,TEXT(AY7,"yyyy"),IF(YEAR(AY7)&lt;&gt;YEAR(AX7),TEXT(AY7,"yyyy"),""))</f>
        <v/>
      </c>
      <c r="AZ5" s="52" t="str">
        <f aca="false">IF(27=0,TEXT(AZ7,"yyyy"),IF(YEAR(AZ7)&lt;&gt;YEAR(AY7),TEXT(AZ7,"yyyy"),""))</f>
        <v/>
      </c>
      <c r="BA5" s="52" t="str">
        <f aca="false">IF(28=0,TEXT(BA7,"yyyy"),IF(YEAR(BA7)&lt;&gt;YEAR(AZ7),TEXT(BA7,"yyyy"),""))</f>
        <v/>
      </c>
      <c r="BB5" s="52" t="str">
        <f aca="false">IF(29=0,TEXT(BB7,"yyyy"),IF(YEAR(BB7)&lt;&gt;YEAR(BA7),TEXT(BB7,"yyyy"),""))</f>
        <v/>
      </c>
      <c r="BC5" s="52" t="str">
        <f aca="false">IF(30=0,TEXT(BC7,"yyyy"),IF(YEAR(BC7)&lt;&gt;YEAR(BB7),TEXT(BC7,"yyyy"),""))</f>
        <v/>
      </c>
      <c r="BD5" s="52" t="str">
        <f aca="false">IF(31=0,TEXT(BD7,"yyyy"),IF(YEAR(BD7)&lt;&gt;YEAR(BC7),TEXT(BD7,"yyyy"),""))</f>
        <v/>
      </c>
      <c r="BE5" s="52" t="str">
        <f aca="false">IF(32=0,TEXT(BE7,"yyyy"),IF(YEAR(BE7)&lt;&gt;YEAR(BD7),TEXT(BE7,"yyyy"),""))</f>
        <v/>
      </c>
      <c r="BF5" s="52" t="str">
        <f aca="false">IF(33=0,TEXT(BF7,"yyyy"),IF(YEAR(BF7)&lt;&gt;YEAR(BE7),TEXT(BF7,"yyyy"),""))</f>
        <v/>
      </c>
      <c r="BG5" s="52" t="str">
        <f aca="false">IF(34=0,TEXT(BG7,"yyyy"),IF(YEAR(BG7)&lt;&gt;YEAR(BF7),TEXT(BG7,"yyyy"),""))</f>
        <v/>
      </c>
      <c r="BH5" s="52" t="str">
        <f aca="false">IF(35=0,TEXT(BH7,"yyyy"),IF(YEAR(BH7)&lt;&gt;YEAR(BG7),TEXT(BH7,"yyyy"),""))</f>
        <v/>
      </c>
      <c r="BI5" s="52" t="str">
        <f aca="false">IF(36=0,TEXT(BI7,"yyyy"),IF(YEAR(BI7)&lt;&gt;YEAR(BH7),TEXT(BI7,"yyyy"),""))</f>
        <v/>
      </c>
      <c r="BJ5" s="52" t="str">
        <f aca="false">IF(37=0,TEXT(BJ7,"yyyy"),IF(YEAR(BJ7)&lt;&gt;YEAR(BI7),TEXT(BJ7,"yyyy"),""))</f>
        <v/>
      </c>
      <c r="BK5" s="52" t="str">
        <f aca="false">IF(38=0,TEXT(BK7,"yyyy"),IF(YEAR(BK7)&lt;&gt;YEAR(BJ7),TEXT(BK7,"yyyy"),""))</f>
        <v/>
      </c>
      <c r="BL5" s="52" t="str">
        <f aca="false">IF(39=0,TEXT(BL7,"yyyy"),IF(YEAR(BL7)&lt;&gt;YEAR(BK7),TEXT(BL7,"yyyy"),""))</f>
        <v/>
      </c>
      <c r="BM5" s="52" t="str">
        <f aca="false">IF(40=0,TEXT(BM7,"yyyy"),IF(YEAR(BM7)&lt;&gt;YEAR(BL7),TEXT(BM7,"yyyy"),""))</f>
        <v/>
      </c>
      <c r="BN5" s="52" t="str">
        <f aca="false">IF(41=0,TEXT(BN7,"yyyy"),IF(YEAR(BN7)&lt;&gt;YEAR(BM7),TEXT(BN7,"yyyy"),""))</f>
        <v/>
      </c>
      <c r="BO5" s="52" t="str">
        <f aca="false">IF(42=0,TEXT(BO7,"yyyy"),IF(YEAR(BO7)&lt;&gt;YEAR(BN7),TEXT(BO7,"yyyy"),""))</f>
        <v/>
      </c>
      <c r="BP5" s="52" t="str">
        <f aca="false">IF(43=0,TEXT(BP7,"yyyy"),IF(YEAR(BP7)&lt;&gt;YEAR(BO7),TEXT(BP7,"yyyy"),""))</f>
        <v/>
      </c>
      <c r="BQ5" s="52" t="str">
        <f aca="false">IF(44=0,TEXT(BQ7,"yyyy"),IF(YEAR(BQ7)&lt;&gt;YEAR(BP7),TEXT(BQ7,"yyyy"),""))</f>
        <v/>
      </c>
      <c r="BR5" s="52" t="str">
        <f aca="false">IF(45=0,TEXT(BR7,"yyyy"),IF(YEAR(BR7)&lt;&gt;YEAR(BQ7),TEXT(BR7,"yyyy"),""))</f>
        <v/>
      </c>
      <c r="BS5" s="52" t="str">
        <f aca="false">IF(46=0,TEXT(BS7,"yyyy"),IF(YEAR(BS7)&lt;&gt;YEAR(BR7),TEXT(BS7,"yyyy"),""))</f>
        <v/>
      </c>
      <c r="BT5" s="52" t="str">
        <f aca="false">IF(47=0,TEXT(BT7,"yyyy"),IF(YEAR(BT7)&lt;&gt;YEAR(BS7),TEXT(BT7,"yyyy"),""))</f>
        <v/>
      </c>
      <c r="BU5" s="52" t="str">
        <f aca="false">IF(48=0,TEXT(BU7,"yyyy"),IF(YEAR(BU7)&lt;&gt;YEAR(BT7),TEXT(BU7,"yyyy"),""))</f>
        <v/>
      </c>
      <c r="BV5" s="52" t="str">
        <f aca="false">IF(49=0,TEXT(BV7,"yyyy"),IF(YEAR(BV7)&lt;&gt;YEAR(BU7),TEXT(BV7,"yyyy"),""))</f>
        <v/>
      </c>
      <c r="BW5" s="52" t="str">
        <f aca="false">IF(50=0,TEXT(BW7,"yyyy"),IF(YEAR(BW7)&lt;&gt;YEAR(BV7),TEXT(BW7,"yyyy"),""))</f>
        <v/>
      </c>
      <c r="BX5" s="52" t="str">
        <f aca="false">IF(51=0,TEXT(BX7,"yyyy"),IF(YEAR(BX7)&lt;&gt;YEAR(BW7),TEXT(BX7,"yyyy"),""))</f>
        <v/>
      </c>
    </row>
    <row r="6" customFormat="false" ht="16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53" t="str">
        <f aca="false">TEXT(Y7,"mmm")</f>
        <v>Oct</v>
      </c>
      <c r="Z6" s="53" t="str">
        <f aca="false">IF(MONTH(Z7)&lt;&gt;MONTH(Y7),TEXT(Z7,"mmm"),"")</f>
        <v/>
      </c>
      <c r="AA6" s="53" t="str">
        <f aca="false">IF(MONTH(AA7)&lt;&gt;MONTH(Z7),TEXT(AA7,"mmm"),"")</f>
        <v/>
      </c>
      <c r="AB6" s="53" t="str">
        <f aca="false">IF(MONTH(AB7)&lt;&gt;MONTH(AA7),TEXT(AB7,"mmm"),"")</f>
        <v>Nov</v>
      </c>
      <c r="AC6" s="53" t="str">
        <f aca="false">IF(MONTH(AC7)&lt;&gt;MONTH(AB7),TEXT(AC7,"mmm"),"")</f>
        <v/>
      </c>
      <c r="AD6" s="53" t="str">
        <f aca="false">IF(MONTH(AD7)&lt;&gt;MONTH(AC7),TEXT(AD7,"mmm"),"")</f>
        <v/>
      </c>
      <c r="AE6" s="53" t="str">
        <f aca="false">IF(MONTH(AE7)&lt;&gt;MONTH(AD7),TEXT(AE7,"mmm"),"")</f>
        <v/>
      </c>
      <c r="AF6" s="53" t="str">
        <f aca="false">IF(MONTH(AF7)&lt;&gt;MONTH(AE7),TEXT(AF7,"mmm"),"")</f>
        <v/>
      </c>
      <c r="AG6" s="53" t="str">
        <f aca="false">IF(MONTH(AG7)&lt;&gt;MONTH(AF7),TEXT(AG7,"mmm"),"")</f>
        <v>Dec</v>
      </c>
      <c r="AH6" s="53" t="str">
        <f aca="false">IF(MONTH(AH7)&lt;&gt;MONTH(AG7),TEXT(AH7,"mmm"),"")</f>
        <v/>
      </c>
      <c r="AI6" s="53" t="str">
        <f aca="false">IF(MONTH(AI7)&lt;&gt;MONTH(AH7),TEXT(AI7,"mmm"),"")</f>
        <v/>
      </c>
      <c r="AJ6" s="53" t="str">
        <f aca="false">IF(MONTH(AJ7)&lt;&gt;MONTH(AI7),TEXT(AJ7,"mmm"),"")</f>
        <v/>
      </c>
      <c r="AK6" s="53" t="str">
        <f aca="false">IF(MONTH(AK7)&lt;&gt;MONTH(AJ7),TEXT(AK7,"mmm"),"")</f>
        <v>Jan</v>
      </c>
      <c r="AL6" s="53" t="str">
        <f aca="false">IF(MONTH(AL7)&lt;&gt;MONTH(AK7),TEXT(AL7,"mmm"),"")</f>
        <v/>
      </c>
      <c r="AM6" s="53" t="str">
        <f aca="false">IF(MONTH(AM7)&lt;&gt;MONTH(AL7),TEXT(AM7,"mmm"),"")</f>
        <v/>
      </c>
      <c r="AN6" s="53" t="str">
        <f aca="false">IF(MONTH(AN7)&lt;&gt;MONTH(AM7),TEXT(AN7,"mmm"),"")</f>
        <v/>
      </c>
      <c r="AO6" s="53" t="str">
        <f aca="false">IF(MONTH(AO7)&lt;&gt;MONTH(AN7),TEXT(AO7,"mmm"),"")</f>
        <v>Feb</v>
      </c>
      <c r="AP6" s="53" t="str">
        <f aca="false">IF(MONTH(AP7)&lt;&gt;MONTH(AO7),TEXT(AP7,"mmm"),"")</f>
        <v/>
      </c>
      <c r="AQ6" s="53" t="str">
        <f aca="false">IF(MONTH(AQ7)&lt;&gt;MONTH(AP7),TEXT(AQ7,"mmm"),"")</f>
        <v/>
      </c>
      <c r="AR6" s="53" t="str">
        <f aca="false">IF(MONTH(AR7)&lt;&gt;MONTH(AQ7),TEXT(AR7,"mmm"),"")</f>
        <v/>
      </c>
      <c r="AS6" s="53" t="str">
        <f aca="false">IF(MONTH(AS7)&lt;&gt;MONTH(AR7),TEXT(AS7,"mmm"),"")</f>
        <v>Mar</v>
      </c>
      <c r="AT6" s="53" t="str">
        <f aca="false">IF(MONTH(AT7)&lt;&gt;MONTH(AS7),TEXT(AT7,"mmm"),"")</f>
        <v/>
      </c>
      <c r="AU6" s="53" t="str">
        <f aca="false">IF(MONTH(AU7)&lt;&gt;MONTH(AT7),TEXT(AU7,"mmm"),"")</f>
        <v/>
      </c>
      <c r="AV6" s="53" t="str">
        <f aca="false">IF(MONTH(AV7)&lt;&gt;MONTH(AU7),TEXT(AV7,"mmm"),"")</f>
        <v/>
      </c>
      <c r="AW6" s="53" t="str">
        <f aca="false">IF(MONTH(AW7)&lt;&gt;MONTH(AV7),TEXT(AW7,"mmm"),"")</f>
        <v/>
      </c>
      <c r="AX6" s="53" t="str">
        <f aca="false">IF(MONTH(AX7)&lt;&gt;MONTH(AW7),TEXT(AX7,"mmm"),"")</f>
        <v>Apr</v>
      </c>
      <c r="AY6" s="53" t="str">
        <f aca="false">IF(MONTH(AY7)&lt;&gt;MONTH(AX7),TEXT(AY7,"mmm"),"")</f>
        <v/>
      </c>
      <c r="AZ6" s="53" t="str">
        <f aca="false">IF(MONTH(AZ7)&lt;&gt;MONTH(AY7),TEXT(AZ7,"mmm"),"")</f>
        <v/>
      </c>
      <c r="BA6" s="53" t="str">
        <f aca="false">IF(MONTH(BA7)&lt;&gt;MONTH(AZ7),TEXT(BA7,"mmm"),"")</f>
        <v/>
      </c>
      <c r="BB6" s="53" t="str">
        <f aca="false">IF(MONTH(BB7)&lt;&gt;MONTH(BA7),TEXT(BB7,"mmm"),"")</f>
        <v>May</v>
      </c>
      <c r="BC6" s="53" t="str">
        <f aca="false">IF(MONTH(BC7)&lt;&gt;MONTH(BB7),TEXT(BC7,"mmm"),"")</f>
        <v/>
      </c>
      <c r="BD6" s="53" t="str">
        <f aca="false">IF(MONTH(BD7)&lt;&gt;MONTH(BC7),TEXT(BD7,"mmm"),"")</f>
        <v/>
      </c>
      <c r="BE6" s="53" t="str">
        <f aca="false">IF(MONTH(BE7)&lt;&gt;MONTH(BD7),TEXT(BE7,"mmm"),"")</f>
        <v/>
      </c>
      <c r="BF6" s="53" t="str">
        <f aca="false">IF(MONTH(BF7)&lt;&gt;MONTH(BE7),TEXT(BF7,"mmm"),"")</f>
        <v/>
      </c>
      <c r="BG6" s="53" t="str">
        <f aca="false">IF(MONTH(BG7)&lt;&gt;MONTH(BF7),TEXT(BG7,"mmm"),"")</f>
        <v>Jun</v>
      </c>
      <c r="BH6" s="53" t="str">
        <f aca="false">IF(MONTH(BH7)&lt;&gt;MONTH(BG7),TEXT(BH7,"mmm"),"")</f>
        <v/>
      </c>
      <c r="BI6" s="53" t="str">
        <f aca="false">IF(MONTH(BI7)&lt;&gt;MONTH(BH7),TEXT(BI7,"mmm"),"")</f>
        <v/>
      </c>
      <c r="BJ6" s="53" t="str">
        <f aca="false">IF(MONTH(BJ7)&lt;&gt;MONTH(BI7),TEXT(BJ7,"mmm"),"")</f>
        <v/>
      </c>
      <c r="BK6" s="53" t="str">
        <f aca="false">IF(MONTH(BK7)&lt;&gt;MONTH(BJ7),TEXT(BK7,"mmm"),"")</f>
        <v>Jul</v>
      </c>
      <c r="BL6" s="53" t="str">
        <f aca="false">IF(MONTH(BL7)&lt;&gt;MONTH(BK7),TEXT(BL7,"mmm"),"")</f>
        <v/>
      </c>
      <c r="BM6" s="53" t="str">
        <f aca="false">IF(MONTH(BM7)&lt;&gt;MONTH(BL7),TEXT(BM7,"mmm"),"")</f>
        <v/>
      </c>
      <c r="BN6" s="53" t="str">
        <f aca="false">IF(MONTH(BN7)&lt;&gt;MONTH(BM7),TEXT(BN7,"mmm"),"")</f>
        <v/>
      </c>
      <c r="BO6" s="53" t="str">
        <f aca="false">IF(MONTH(BO7)&lt;&gt;MONTH(BN7),TEXT(BO7,"mmm"),"")</f>
        <v>Aug</v>
      </c>
      <c r="BP6" s="53" t="str">
        <f aca="false">IF(MONTH(BP7)&lt;&gt;MONTH(BO7),TEXT(BP7,"mmm"),"")</f>
        <v/>
      </c>
      <c r="BQ6" s="53" t="str">
        <f aca="false">IF(MONTH(BQ7)&lt;&gt;MONTH(BP7),TEXT(BQ7,"mmm"),"")</f>
        <v/>
      </c>
      <c r="BR6" s="53" t="str">
        <f aca="false">IF(MONTH(BR7)&lt;&gt;MONTH(BQ7),TEXT(BR7,"mmm"),"")</f>
        <v/>
      </c>
      <c r="BS6" s="53" t="str">
        <f aca="false">IF(MONTH(BS7)&lt;&gt;MONTH(BR7),TEXT(BS7,"mmm"),"")</f>
        <v/>
      </c>
      <c r="BT6" s="53" t="str">
        <f aca="false">IF(MONTH(BT7)&lt;&gt;MONTH(BS7),TEXT(BT7,"mmm"),"")</f>
        <v>Sep</v>
      </c>
      <c r="BU6" s="53" t="str">
        <f aca="false">IF(MONTH(BU7)&lt;&gt;MONTH(BT7),TEXT(BU7,"mmm"),"")</f>
        <v/>
      </c>
      <c r="BV6" s="53" t="str">
        <f aca="false">IF(MONTH(BV7)&lt;&gt;MONTH(BU7),TEXT(BV7,"mmm"),"")</f>
        <v/>
      </c>
      <c r="BW6" s="53" t="str">
        <f aca="false">IF(MONTH(BW7)&lt;&gt;MONTH(BV7),TEXT(BW7,"mmm"),"")</f>
        <v/>
      </c>
      <c r="BX6" s="53" t="str">
        <f aca="false">IF(MONTH(BX7)&lt;&gt;MONTH(BW7),TEXT(BX7,"mmm"),"")</f>
        <v>Oct</v>
      </c>
    </row>
    <row r="7" customFormat="false" ht="33.75" hidden="false" customHeight="true" outlineLevel="0" collapsed="false">
      <c r="A7" s="35"/>
      <c r="B7" s="35" t="s">
        <v>155</v>
      </c>
      <c r="C7" s="35" t="s">
        <v>156</v>
      </c>
      <c r="D7" s="35" t="s">
        <v>137</v>
      </c>
      <c r="E7" s="35" t="s">
        <v>157</v>
      </c>
      <c r="F7" s="35" t="s">
        <v>158</v>
      </c>
      <c r="G7" s="35" t="s">
        <v>159</v>
      </c>
      <c r="H7" s="35" t="s">
        <v>160</v>
      </c>
      <c r="I7" s="35" t="s">
        <v>161</v>
      </c>
      <c r="J7" s="35" t="s">
        <v>162</v>
      </c>
      <c r="K7" s="35" t="s">
        <v>163</v>
      </c>
      <c r="L7" s="54" t="s">
        <v>164</v>
      </c>
      <c r="M7" s="54" t="s">
        <v>165</v>
      </c>
      <c r="N7" s="54" t="s">
        <v>166</v>
      </c>
      <c r="O7" s="35" t="s">
        <v>167</v>
      </c>
      <c r="P7" s="35" t="s">
        <v>103</v>
      </c>
      <c r="Q7" s="35" t="s">
        <v>168</v>
      </c>
      <c r="R7" s="6"/>
      <c r="S7" s="6"/>
      <c r="T7" s="6"/>
      <c r="U7" s="6"/>
      <c r="V7" s="6"/>
      <c r="W7" s="6"/>
      <c r="X7" s="6"/>
      <c r="Y7" s="55" t="n">
        <f aca="true">IF(COUNT($J$8:$J$36)=0,TODAY(),MIN($J$8:$J$36))-WEEKDAY(IF(COUNT($J$8:$J$36)=0,TODAY(),MIN($J$8:$J$36)),2)+1</f>
        <v>46307</v>
      </c>
      <c r="Z7" s="55" t="n">
        <f aca="false">Y7+7</f>
        <v>46314</v>
      </c>
      <c r="AA7" s="55" t="n">
        <f aca="false">Z7+7</f>
        <v>46321</v>
      </c>
      <c r="AB7" s="55" t="n">
        <f aca="false">AA7+7</f>
        <v>46328</v>
      </c>
      <c r="AC7" s="55" t="n">
        <f aca="false">AB7+7</f>
        <v>46335</v>
      </c>
      <c r="AD7" s="55" t="n">
        <f aca="false">AC7+7</f>
        <v>46342</v>
      </c>
      <c r="AE7" s="55" t="n">
        <f aca="false">AD7+7</f>
        <v>46349</v>
      </c>
      <c r="AF7" s="55" t="n">
        <f aca="false">AE7+7</f>
        <v>46356</v>
      </c>
      <c r="AG7" s="55" t="n">
        <f aca="false">AF7+7</f>
        <v>46363</v>
      </c>
      <c r="AH7" s="55" t="n">
        <f aca="false">AG7+7</f>
        <v>46370</v>
      </c>
      <c r="AI7" s="55" t="n">
        <f aca="false">AH7+7</f>
        <v>46377</v>
      </c>
      <c r="AJ7" s="55" t="n">
        <f aca="false">AI7+7</f>
        <v>46384</v>
      </c>
      <c r="AK7" s="55" t="n">
        <f aca="false">AJ7+7</f>
        <v>46391</v>
      </c>
      <c r="AL7" s="55" t="n">
        <f aca="false">AK7+7</f>
        <v>46398</v>
      </c>
      <c r="AM7" s="55" t="n">
        <f aca="false">AL7+7</f>
        <v>46405</v>
      </c>
      <c r="AN7" s="55" t="n">
        <f aca="false">AM7+7</f>
        <v>46412</v>
      </c>
      <c r="AO7" s="55" t="n">
        <f aca="false">AN7+7</f>
        <v>46419</v>
      </c>
      <c r="AP7" s="55" t="n">
        <f aca="false">AO7+7</f>
        <v>46426</v>
      </c>
      <c r="AQ7" s="55" t="n">
        <f aca="false">AP7+7</f>
        <v>46433</v>
      </c>
      <c r="AR7" s="55" t="n">
        <f aca="false">AQ7+7</f>
        <v>46440</v>
      </c>
      <c r="AS7" s="55" t="n">
        <f aca="false">AR7+7</f>
        <v>46447</v>
      </c>
      <c r="AT7" s="55" t="n">
        <f aca="false">AS7+7</f>
        <v>46454</v>
      </c>
      <c r="AU7" s="55" t="n">
        <f aca="false">AT7+7</f>
        <v>46461</v>
      </c>
      <c r="AV7" s="55" t="n">
        <f aca="false">AU7+7</f>
        <v>46468</v>
      </c>
      <c r="AW7" s="55" t="n">
        <f aca="false">AV7+7</f>
        <v>46475</v>
      </c>
      <c r="AX7" s="55" t="n">
        <f aca="false">AW7+7</f>
        <v>46482</v>
      </c>
      <c r="AY7" s="55" t="n">
        <f aca="false">AX7+7</f>
        <v>46489</v>
      </c>
      <c r="AZ7" s="55" t="n">
        <f aca="false">AY7+7</f>
        <v>46496</v>
      </c>
      <c r="BA7" s="55" t="n">
        <f aca="false">AZ7+7</f>
        <v>46503</v>
      </c>
      <c r="BB7" s="55" t="n">
        <f aca="false">BA7+7</f>
        <v>46510</v>
      </c>
      <c r="BC7" s="55" t="n">
        <f aca="false">BB7+7</f>
        <v>46517</v>
      </c>
      <c r="BD7" s="55" t="n">
        <f aca="false">BC7+7</f>
        <v>46524</v>
      </c>
      <c r="BE7" s="55" t="n">
        <f aca="false">BD7+7</f>
        <v>46531</v>
      </c>
      <c r="BF7" s="55" t="n">
        <f aca="false">BE7+7</f>
        <v>46538</v>
      </c>
      <c r="BG7" s="55" t="n">
        <f aca="false">BF7+7</f>
        <v>46545</v>
      </c>
      <c r="BH7" s="55" t="n">
        <f aca="false">BG7+7</f>
        <v>46552</v>
      </c>
      <c r="BI7" s="55" t="n">
        <f aca="false">BH7+7</f>
        <v>46559</v>
      </c>
      <c r="BJ7" s="55" t="n">
        <f aca="false">BI7+7</f>
        <v>46566</v>
      </c>
      <c r="BK7" s="55" t="n">
        <f aca="false">BJ7+7</f>
        <v>46573</v>
      </c>
      <c r="BL7" s="55" t="n">
        <f aca="false">BK7+7</f>
        <v>46580</v>
      </c>
      <c r="BM7" s="55" t="n">
        <f aca="false">BL7+7</f>
        <v>46587</v>
      </c>
      <c r="BN7" s="55" t="n">
        <f aca="false">BM7+7</f>
        <v>46594</v>
      </c>
      <c r="BO7" s="55" t="n">
        <f aca="false">BN7+7</f>
        <v>46601</v>
      </c>
      <c r="BP7" s="55" t="n">
        <f aca="false">BO7+7</f>
        <v>46608</v>
      </c>
      <c r="BQ7" s="55" t="n">
        <f aca="false">BP7+7</f>
        <v>46615</v>
      </c>
      <c r="BR7" s="55" t="n">
        <f aca="false">BQ7+7</f>
        <v>46622</v>
      </c>
      <c r="BS7" s="55" t="n">
        <f aca="false">BR7+7</f>
        <v>46629</v>
      </c>
      <c r="BT7" s="55" t="n">
        <f aca="false">BS7+7</f>
        <v>46636</v>
      </c>
      <c r="BU7" s="55" t="n">
        <f aca="false">BT7+7</f>
        <v>46643</v>
      </c>
      <c r="BV7" s="55" t="n">
        <f aca="false">BU7+7</f>
        <v>46650</v>
      </c>
      <c r="BW7" s="55" t="n">
        <f aca="false">BV7+7</f>
        <v>46657</v>
      </c>
      <c r="BX7" s="55" t="n">
        <f aca="false">BW7+7</f>
        <v>46664</v>
      </c>
    </row>
    <row r="8" customFormat="false" ht="24" hidden="false" customHeight="true" outlineLevel="0" collapsed="false">
      <c r="A8" s="56"/>
      <c r="B8" s="56" t="str">
        <f aca="false">"F"&amp;R8</f>
        <v>F1</v>
      </c>
      <c r="C8" s="57" t="s">
        <v>169</v>
      </c>
      <c r="D8" s="56" t="s">
        <v>170</v>
      </c>
      <c r="E8" s="56"/>
      <c r="F8" s="56"/>
      <c r="G8" s="56"/>
      <c r="H8" s="56"/>
      <c r="I8" s="58" t="n">
        <f aca="false">IF(OR(J8="",K8=""),"",K8-J8+1)</f>
        <v>6</v>
      </c>
      <c r="J8" s="59" t="n">
        <f aca="false">IFERROR(1/(1/_xlfn.MINIFS($S$8:$S$36,$R$8:$R$36,R8)),"")</f>
        <v>46312</v>
      </c>
      <c r="K8" s="59" t="n">
        <f aca="false">IFERROR(1/(1/_xlfn.MAXIFS($T$8:$T$36,$R$8:$R$36,R8)),"")</f>
        <v>46317</v>
      </c>
      <c r="L8" s="56"/>
      <c r="M8" s="56"/>
      <c r="N8" s="56"/>
      <c r="O8" s="60" t="n">
        <f aca="false">IFERROR(SUMIFS($V$8:$V$36,$R$8:$R$36,R8)/SUMIFS($U$8:$U$36,$R$8:$R$36,R8),"")</f>
        <v>0</v>
      </c>
      <c r="P8" s="56" t="str">
        <f aca="false">IF(COUNTIFS($R$8:$R$36,R8,$U$8:$U$36,"&gt;0")=0,"",IF(COUNTIFS($R$8:$R$36,R8,$W$8:$W$36,"Atrasada")+COUNTIFS($R$8:$R$36,R8,$W$8:$W$36,"Vencido")&gt;0,"Con atraso",IF(N(O8)&gt;=1,"Terminada",IF(N(O8)&gt;0,"En curso","Por iniciar"))))</f>
        <v>Por iniciar</v>
      </c>
      <c r="Q8" s="58" t="str">
        <f aca="false">IF(N(_xlfn.MAXIFS($X$8:$X$36,$R$8:$R$36,R8))&gt;0,_xlfn.MAXIFS($X$8:$X$36,$R$8:$R$36,R8),"")</f>
        <v/>
      </c>
      <c r="R8" s="6" t="n">
        <f aca="false">COUNTIF($D$8:D8,"Fase")</f>
        <v>1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</row>
    <row r="9" customFormat="false" ht="18.75" hidden="false" customHeight="true" outlineLevel="1" collapsed="false">
      <c r="A9" s="6"/>
      <c r="B9" s="61" t="n">
        <v>1</v>
      </c>
      <c r="C9" s="62" t="s">
        <v>171</v>
      </c>
      <c r="D9" s="63" t="s">
        <v>172</v>
      </c>
      <c r="E9" s="64" t="s">
        <v>173</v>
      </c>
      <c r="F9" s="64"/>
      <c r="G9" s="61"/>
      <c r="H9" s="65"/>
      <c r="I9" s="61" t="n">
        <v>0</v>
      </c>
      <c r="J9" s="66" t="n">
        <f aca="true">IF(C9="","",IF(L9&lt;&gt;"",L9,IF(H9&lt;&gt;"",H9,IF(G9&lt;&gt;"",IFERROR(INDEX($T$8:$T$36,MATCH(G9,$B$8:$B$36,0))+IF(D9="Hito",0,1),IF(n_FInicio="",TODAY(),n_FInicio)),IF(n_FInicio="",TODAY(),n_FInicio)))))</f>
        <v>46312</v>
      </c>
      <c r="K9" s="66" t="n">
        <f aca="false">IF(C9="","",IF(M9&lt;&gt;"",M9,IF(D9="Hito",J9,J9+MAX(N(I9),1)-1)))</f>
        <v>46312</v>
      </c>
      <c r="L9" s="67"/>
      <c r="M9" s="67"/>
      <c r="N9" s="68"/>
      <c r="O9" s="69" t="n">
        <f aca="false">IF(C9="","",IF(N9&lt;&gt;"",N9,IF(M9&lt;&gt;"",1,IF(F9="",0,IF(D9="Instalación",MIN(1,IFERROR(SUMIFS('CORTES CLIENTE'!$O$20:$O$219,PRESUPUESTO!$V$7:$V$206,F9)/SUMIFS(PRESUPUESTO!$G$7:$G$206,PRESUPUESTO!$V$7:$V$206,F9),0)),IF(D9="Compra",MIN(1,IFERROR(SUMIFS('CONTROL DE MATERIALES'!$U$11:$U$210,PRESUPUESTO!$V$7:$V$206,F9)/SUMIFS('CONTROL DE MATERIALES'!$V$11:$V$210,PRESUPUESTO!$V$7:$V$206,F9),0)),0))))))</f>
        <v>0</v>
      </c>
      <c r="P9" s="70" t="str">
        <f aca="true">IF(C9="","",IF(D9="Hito",IF(O9&gt;=1,"Cumplido",IF(TODAY()&gt;K9,"Vencido","Pendiente")),IF(O9&gt;=1,"Terminada",IF(TODAY()&gt;K9,"Atrasada",IF(OR(O9&gt;0,L9&lt;&gt;""),"En curso",IF(TODAY()&gt;=J9,"Debe iniciar","Por iniciar"))))))</f>
        <v>Pendiente</v>
      </c>
      <c r="Q9" s="71" t="n">
        <f aca="true">IF(OR(C9="",N(O9)&gt;=1),"",IF(TODAY()&gt;K9,TODAY()-K9,0))</f>
        <v>0</v>
      </c>
      <c r="R9" s="6" t="n">
        <f aca="false">COUNTIF($D$8:D9,"Fase")</f>
        <v>1</v>
      </c>
      <c r="S9" s="72" t="n">
        <f aca="false">IF(C9="","",J9)</f>
        <v>46312</v>
      </c>
      <c r="T9" s="72" t="n">
        <f aca="false">IF(C9="","",K9)</f>
        <v>46312</v>
      </c>
      <c r="U9" s="6" t="n">
        <f aca="false">IF(C9="","",MAX(N(I9),1))</f>
        <v>1</v>
      </c>
      <c r="V9" s="6" t="n">
        <f aca="false">IF(C9="","",U9*N(O9))</f>
        <v>0</v>
      </c>
      <c r="W9" s="6" t="str">
        <f aca="false">P9</f>
        <v>Pendiente</v>
      </c>
      <c r="X9" s="6" t="n">
        <f aca="false">IF(Q9="","",N(Q9))</f>
        <v>0</v>
      </c>
      <c r="Y9" s="73" t="str">
        <f aca="false">IF(AND($D9="Hito",ISNUMBER($K9)),IF(AND($K9&gt;=Y$7,$K9&lt;Y$7+7),"◆",""),"")</f>
        <v>◆</v>
      </c>
      <c r="Z9" s="73" t="str">
        <f aca="false">IF(AND($D9="Hito",ISNUMBER($K9)),IF(AND($K9&gt;=Z$7,$K9&lt;Z$7+7),"◆",""),"")</f>
        <v/>
      </c>
      <c r="AA9" s="73" t="str">
        <f aca="false">IF(AND($D9="Hito",ISNUMBER($K9)),IF(AND($K9&gt;=AA$7,$K9&lt;AA$7+7),"◆",""),"")</f>
        <v/>
      </c>
      <c r="AB9" s="73" t="str">
        <f aca="false">IF(AND($D9="Hito",ISNUMBER($K9)),IF(AND($K9&gt;=AB$7,$K9&lt;AB$7+7),"◆",""),"")</f>
        <v/>
      </c>
      <c r="AC9" s="73" t="str">
        <f aca="false">IF(AND($D9="Hito",ISNUMBER($K9)),IF(AND($K9&gt;=AC$7,$K9&lt;AC$7+7),"◆",""),"")</f>
        <v/>
      </c>
      <c r="AD9" s="73" t="str">
        <f aca="false">IF(AND($D9="Hito",ISNUMBER($K9)),IF(AND($K9&gt;=AD$7,$K9&lt;AD$7+7),"◆",""),"")</f>
        <v/>
      </c>
      <c r="AE9" s="73" t="str">
        <f aca="false">IF(AND($D9="Hito",ISNUMBER($K9)),IF(AND($K9&gt;=AE$7,$K9&lt;AE$7+7),"◆",""),"")</f>
        <v/>
      </c>
      <c r="AF9" s="73" t="str">
        <f aca="false">IF(AND($D9="Hito",ISNUMBER($K9)),IF(AND($K9&gt;=AF$7,$K9&lt;AF$7+7),"◆",""),"")</f>
        <v/>
      </c>
      <c r="AG9" s="73" t="str">
        <f aca="false">IF(AND($D9="Hito",ISNUMBER($K9)),IF(AND($K9&gt;=AG$7,$K9&lt;AG$7+7),"◆",""),"")</f>
        <v/>
      </c>
      <c r="AH9" s="73" t="str">
        <f aca="false">IF(AND($D9="Hito",ISNUMBER($K9)),IF(AND($K9&gt;=AH$7,$K9&lt;AH$7+7),"◆",""),"")</f>
        <v/>
      </c>
      <c r="AI9" s="73" t="str">
        <f aca="false">IF(AND($D9="Hito",ISNUMBER($K9)),IF(AND($K9&gt;=AI$7,$K9&lt;AI$7+7),"◆",""),"")</f>
        <v/>
      </c>
      <c r="AJ9" s="73" t="str">
        <f aca="false">IF(AND($D9="Hito",ISNUMBER($K9)),IF(AND($K9&gt;=AJ$7,$K9&lt;AJ$7+7),"◆",""),"")</f>
        <v/>
      </c>
      <c r="AK9" s="73" t="str">
        <f aca="false">IF(AND($D9="Hito",ISNUMBER($K9)),IF(AND($K9&gt;=AK$7,$K9&lt;AK$7+7),"◆",""),"")</f>
        <v/>
      </c>
      <c r="AL9" s="73" t="str">
        <f aca="false">IF(AND($D9="Hito",ISNUMBER($K9)),IF(AND($K9&gt;=AL$7,$K9&lt;AL$7+7),"◆",""),"")</f>
        <v/>
      </c>
      <c r="AM9" s="73" t="str">
        <f aca="false">IF(AND($D9="Hito",ISNUMBER($K9)),IF(AND($K9&gt;=AM$7,$K9&lt;AM$7+7),"◆",""),"")</f>
        <v/>
      </c>
      <c r="AN9" s="73" t="str">
        <f aca="false">IF(AND($D9="Hito",ISNUMBER($K9)),IF(AND($K9&gt;=AN$7,$K9&lt;AN$7+7),"◆",""),"")</f>
        <v/>
      </c>
      <c r="AO9" s="73" t="str">
        <f aca="false">IF(AND($D9="Hito",ISNUMBER($K9)),IF(AND($K9&gt;=AO$7,$K9&lt;AO$7+7),"◆",""),"")</f>
        <v/>
      </c>
      <c r="AP9" s="73" t="str">
        <f aca="false">IF(AND($D9="Hito",ISNUMBER($K9)),IF(AND($K9&gt;=AP$7,$K9&lt;AP$7+7),"◆",""),"")</f>
        <v/>
      </c>
      <c r="AQ9" s="73" t="str">
        <f aca="false">IF(AND($D9="Hito",ISNUMBER($K9)),IF(AND($K9&gt;=AQ$7,$K9&lt;AQ$7+7),"◆",""),"")</f>
        <v/>
      </c>
      <c r="AR9" s="73" t="str">
        <f aca="false">IF(AND($D9="Hito",ISNUMBER($K9)),IF(AND($K9&gt;=AR$7,$K9&lt;AR$7+7),"◆",""),"")</f>
        <v/>
      </c>
      <c r="AS9" s="73" t="str">
        <f aca="false">IF(AND($D9="Hito",ISNUMBER($K9)),IF(AND($K9&gt;=AS$7,$K9&lt;AS$7+7),"◆",""),"")</f>
        <v/>
      </c>
      <c r="AT9" s="73" t="str">
        <f aca="false">IF(AND($D9="Hito",ISNUMBER($K9)),IF(AND($K9&gt;=AT$7,$K9&lt;AT$7+7),"◆",""),"")</f>
        <v/>
      </c>
      <c r="AU9" s="73" t="str">
        <f aca="false">IF(AND($D9="Hito",ISNUMBER($K9)),IF(AND($K9&gt;=AU$7,$K9&lt;AU$7+7),"◆",""),"")</f>
        <v/>
      </c>
      <c r="AV9" s="73" t="str">
        <f aca="false">IF(AND($D9="Hito",ISNUMBER($K9)),IF(AND($K9&gt;=AV$7,$K9&lt;AV$7+7),"◆",""),"")</f>
        <v/>
      </c>
      <c r="AW9" s="73" t="str">
        <f aca="false">IF(AND($D9="Hito",ISNUMBER($K9)),IF(AND($K9&gt;=AW$7,$K9&lt;AW$7+7),"◆",""),"")</f>
        <v/>
      </c>
      <c r="AX9" s="73" t="str">
        <f aca="false">IF(AND($D9="Hito",ISNUMBER($K9)),IF(AND($K9&gt;=AX$7,$K9&lt;AX$7+7),"◆",""),"")</f>
        <v/>
      </c>
      <c r="AY9" s="73" t="str">
        <f aca="false">IF(AND($D9="Hito",ISNUMBER($K9)),IF(AND($K9&gt;=AY$7,$K9&lt;AY$7+7),"◆",""),"")</f>
        <v/>
      </c>
      <c r="AZ9" s="73" t="str">
        <f aca="false">IF(AND($D9="Hito",ISNUMBER($K9)),IF(AND($K9&gt;=AZ$7,$K9&lt;AZ$7+7),"◆",""),"")</f>
        <v/>
      </c>
      <c r="BA9" s="73" t="str">
        <f aca="false">IF(AND($D9="Hito",ISNUMBER($K9)),IF(AND($K9&gt;=BA$7,$K9&lt;BA$7+7),"◆",""),"")</f>
        <v/>
      </c>
      <c r="BB9" s="73" t="str">
        <f aca="false">IF(AND($D9="Hito",ISNUMBER($K9)),IF(AND($K9&gt;=BB$7,$K9&lt;BB$7+7),"◆",""),"")</f>
        <v/>
      </c>
      <c r="BC9" s="73" t="str">
        <f aca="false">IF(AND($D9="Hito",ISNUMBER($K9)),IF(AND($K9&gt;=BC$7,$K9&lt;BC$7+7),"◆",""),"")</f>
        <v/>
      </c>
      <c r="BD9" s="73" t="str">
        <f aca="false">IF(AND($D9="Hito",ISNUMBER($K9)),IF(AND($K9&gt;=BD$7,$K9&lt;BD$7+7),"◆",""),"")</f>
        <v/>
      </c>
      <c r="BE9" s="73" t="str">
        <f aca="false">IF(AND($D9="Hito",ISNUMBER($K9)),IF(AND($K9&gt;=BE$7,$K9&lt;BE$7+7),"◆",""),"")</f>
        <v/>
      </c>
      <c r="BF9" s="73" t="str">
        <f aca="false">IF(AND($D9="Hito",ISNUMBER($K9)),IF(AND($K9&gt;=BF$7,$K9&lt;BF$7+7),"◆",""),"")</f>
        <v/>
      </c>
      <c r="BG9" s="73" t="str">
        <f aca="false">IF(AND($D9="Hito",ISNUMBER($K9)),IF(AND($K9&gt;=BG$7,$K9&lt;BG$7+7),"◆",""),"")</f>
        <v/>
      </c>
      <c r="BH9" s="73" t="str">
        <f aca="false">IF(AND($D9="Hito",ISNUMBER($K9)),IF(AND($K9&gt;=BH$7,$K9&lt;BH$7+7),"◆",""),"")</f>
        <v/>
      </c>
      <c r="BI9" s="73" t="str">
        <f aca="false">IF(AND($D9="Hito",ISNUMBER($K9)),IF(AND($K9&gt;=BI$7,$K9&lt;BI$7+7),"◆",""),"")</f>
        <v/>
      </c>
      <c r="BJ9" s="73" t="str">
        <f aca="false">IF(AND($D9="Hito",ISNUMBER($K9)),IF(AND($K9&gt;=BJ$7,$K9&lt;BJ$7+7),"◆",""),"")</f>
        <v/>
      </c>
      <c r="BK9" s="73" t="str">
        <f aca="false">IF(AND($D9="Hito",ISNUMBER($K9)),IF(AND($K9&gt;=BK$7,$K9&lt;BK$7+7),"◆",""),"")</f>
        <v/>
      </c>
      <c r="BL9" s="73" t="str">
        <f aca="false">IF(AND($D9="Hito",ISNUMBER($K9)),IF(AND($K9&gt;=BL$7,$K9&lt;BL$7+7),"◆",""),"")</f>
        <v/>
      </c>
      <c r="BM9" s="73" t="str">
        <f aca="false">IF(AND($D9="Hito",ISNUMBER($K9)),IF(AND($K9&gt;=BM$7,$K9&lt;BM$7+7),"◆",""),"")</f>
        <v/>
      </c>
      <c r="BN9" s="73" t="str">
        <f aca="false">IF(AND($D9="Hito",ISNUMBER($K9)),IF(AND($K9&gt;=BN$7,$K9&lt;BN$7+7),"◆",""),"")</f>
        <v/>
      </c>
      <c r="BO9" s="73" t="str">
        <f aca="false">IF(AND($D9="Hito",ISNUMBER($K9)),IF(AND($K9&gt;=BO$7,$K9&lt;BO$7+7),"◆",""),"")</f>
        <v/>
      </c>
      <c r="BP9" s="73" t="str">
        <f aca="false">IF(AND($D9="Hito",ISNUMBER($K9)),IF(AND($K9&gt;=BP$7,$K9&lt;BP$7+7),"◆",""),"")</f>
        <v/>
      </c>
      <c r="BQ9" s="73" t="str">
        <f aca="false">IF(AND($D9="Hito",ISNUMBER($K9)),IF(AND($K9&gt;=BQ$7,$K9&lt;BQ$7+7),"◆",""),"")</f>
        <v/>
      </c>
      <c r="BR9" s="73" t="str">
        <f aca="false">IF(AND($D9="Hito",ISNUMBER($K9)),IF(AND($K9&gt;=BR$7,$K9&lt;BR$7+7),"◆",""),"")</f>
        <v/>
      </c>
      <c r="BS9" s="73" t="str">
        <f aca="false">IF(AND($D9="Hito",ISNUMBER($K9)),IF(AND($K9&gt;=BS$7,$K9&lt;BS$7+7),"◆",""),"")</f>
        <v/>
      </c>
      <c r="BT9" s="73" t="str">
        <f aca="false">IF(AND($D9="Hito",ISNUMBER($K9)),IF(AND($K9&gt;=BT$7,$K9&lt;BT$7+7),"◆",""),"")</f>
        <v/>
      </c>
      <c r="BU9" s="73" t="str">
        <f aca="false">IF(AND($D9="Hito",ISNUMBER($K9)),IF(AND($K9&gt;=BU$7,$K9&lt;BU$7+7),"◆",""),"")</f>
        <v/>
      </c>
      <c r="BV9" s="73" t="str">
        <f aca="false">IF(AND($D9="Hito",ISNUMBER($K9)),IF(AND($K9&gt;=BV$7,$K9&lt;BV$7+7),"◆",""),"")</f>
        <v/>
      </c>
      <c r="BW9" s="73" t="str">
        <f aca="false">IF(AND($D9="Hito",ISNUMBER($K9)),IF(AND($K9&gt;=BW$7,$K9&lt;BW$7+7),"◆",""),"")</f>
        <v/>
      </c>
      <c r="BX9" s="73" t="str">
        <f aca="false">IF(AND($D9="Hito",ISNUMBER($K9)),IF(AND($K9&gt;=BX$7,$K9&lt;BX$7+7),"◆",""),"")</f>
        <v/>
      </c>
    </row>
    <row r="10" customFormat="false" ht="18.75" hidden="false" customHeight="true" outlineLevel="1" collapsed="false">
      <c r="A10" s="6"/>
      <c r="B10" s="61" t="n">
        <v>2</v>
      </c>
      <c r="C10" s="62" t="s">
        <v>174</v>
      </c>
      <c r="D10" s="63" t="s">
        <v>172</v>
      </c>
      <c r="E10" s="64" t="s">
        <v>175</v>
      </c>
      <c r="F10" s="64"/>
      <c r="G10" s="61" t="n">
        <v>1</v>
      </c>
      <c r="H10" s="65"/>
      <c r="I10" s="61" t="n">
        <v>0</v>
      </c>
      <c r="J10" s="66" t="n">
        <f aca="true">IF(C10="","",IF(L10&lt;&gt;"",L10,IF(H10&lt;&gt;"",H10,IF(G10&lt;&gt;"",IFERROR(INDEX($T$8:$T$36,MATCH(G10,$B$8:$B$36,0))+IF(D10="Hito",0,1),IF(n_FInicio="",TODAY(),n_FInicio)),IF(n_FInicio="",TODAY(),n_FInicio)))))</f>
        <v>46312</v>
      </c>
      <c r="K10" s="66" t="n">
        <f aca="false">IF(C10="","",IF(M10&lt;&gt;"",M10,IF(D10="Hito",J10,J10+MAX(N(I10),1)-1)))</f>
        <v>46312</v>
      </c>
      <c r="L10" s="67"/>
      <c r="M10" s="67"/>
      <c r="N10" s="68"/>
      <c r="O10" s="69" t="n">
        <f aca="false">IF(C10="","",IF(N10&lt;&gt;"",N10,IF(M10&lt;&gt;"",1,IF(F10="",0,IF(D10="Instalación",MIN(1,IFERROR(SUMIFS('CORTES CLIENTE'!$O$20:$O$219,PRESUPUESTO!$V$7:$V$206,F10)/SUMIFS(PRESUPUESTO!$G$7:$G$206,PRESUPUESTO!$V$7:$V$206,F10),0)),IF(D10="Compra",MIN(1,IFERROR(SUMIFS('CONTROL DE MATERIALES'!$U$11:$U$210,PRESUPUESTO!$V$7:$V$206,F10)/SUMIFS('CONTROL DE MATERIALES'!$V$11:$V$210,PRESUPUESTO!$V$7:$V$206,F10),0)),0))))))</f>
        <v>0</v>
      </c>
      <c r="P10" s="70" t="str">
        <f aca="true">IF(C10="","",IF(D10="Hito",IF(O10&gt;=1,"Cumplido",IF(TODAY()&gt;K10,"Vencido","Pendiente")),IF(O10&gt;=1,"Terminada",IF(TODAY()&gt;K10,"Atrasada",IF(OR(O10&gt;0,L10&lt;&gt;""),"En curso",IF(TODAY()&gt;=J10,"Debe iniciar","Por iniciar"))))))</f>
        <v>Pendiente</v>
      </c>
      <c r="Q10" s="71" t="n">
        <f aca="true">IF(OR(C10="",N(O10)&gt;=1),"",IF(TODAY()&gt;K10,TODAY()-K10,0))</f>
        <v>0</v>
      </c>
      <c r="R10" s="6" t="n">
        <f aca="false">COUNTIF($D$8:D10,"Fase")</f>
        <v>1</v>
      </c>
      <c r="S10" s="72" t="n">
        <f aca="false">IF(C10="","",J10)</f>
        <v>46312</v>
      </c>
      <c r="T10" s="72" t="n">
        <f aca="false">IF(C10="","",K10)</f>
        <v>46312</v>
      </c>
      <c r="U10" s="6" t="n">
        <f aca="false">IF(C10="","",MAX(N(I10),1))</f>
        <v>1</v>
      </c>
      <c r="V10" s="6" t="n">
        <f aca="false">IF(C10="","",U10*N(O10))</f>
        <v>0</v>
      </c>
      <c r="W10" s="6" t="str">
        <f aca="false">P10</f>
        <v>Pendiente</v>
      </c>
      <c r="X10" s="6" t="n">
        <f aca="false">IF(Q10="","",N(Q10))</f>
        <v>0</v>
      </c>
      <c r="Y10" s="73" t="str">
        <f aca="false">IF(AND($D10="Hito",ISNUMBER($K10)),IF(AND($K10&gt;=Y$7,$K10&lt;Y$7+7),"◆",""),"")</f>
        <v>◆</v>
      </c>
      <c r="Z10" s="73" t="str">
        <f aca="false">IF(AND($D10="Hito",ISNUMBER($K10)),IF(AND($K10&gt;=Z$7,$K10&lt;Z$7+7),"◆",""),"")</f>
        <v/>
      </c>
      <c r="AA10" s="73" t="str">
        <f aca="false">IF(AND($D10="Hito",ISNUMBER($K10)),IF(AND($K10&gt;=AA$7,$K10&lt;AA$7+7),"◆",""),"")</f>
        <v/>
      </c>
      <c r="AB10" s="73" t="str">
        <f aca="false">IF(AND($D10="Hito",ISNUMBER($K10)),IF(AND($K10&gt;=AB$7,$K10&lt;AB$7+7),"◆",""),"")</f>
        <v/>
      </c>
      <c r="AC10" s="73" t="str">
        <f aca="false">IF(AND($D10="Hito",ISNUMBER($K10)),IF(AND($K10&gt;=AC$7,$K10&lt;AC$7+7),"◆",""),"")</f>
        <v/>
      </c>
      <c r="AD10" s="73" t="str">
        <f aca="false">IF(AND($D10="Hito",ISNUMBER($K10)),IF(AND($K10&gt;=AD$7,$K10&lt;AD$7+7),"◆",""),"")</f>
        <v/>
      </c>
      <c r="AE10" s="73" t="str">
        <f aca="false">IF(AND($D10="Hito",ISNUMBER($K10)),IF(AND($K10&gt;=AE$7,$K10&lt;AE$7+7),"◆",""),"")</f>
        <v/>
      </c>
      <c r="AF10" s="73" t="str">
        <f aca="false">IF(AND($D10="Hito",ISNUMBER($K10)),IF(AND($K10&gt;=AF$7,$K10&lt;AF$7+7),"◆",""),"")</f>
        <v/>
      </c>
      <c r="AG10" s="73" t="str">
        <f aca="false">IF(AND($D10="Hito",ISNUMBER($K10)),IF(AND($K10&gt;=AG$7,$K10&lt;AG$7+7),"◆",""),"")</f>
        <v/>
      </c>
      <c r="AH10" s="73" t="str">
        <f aca="false">IF(AND($D10="Hito",ISNUMBER($K10)),IF(AND($K10&gt;=AH$7,$K10&lt;AH$7+7),"◆",""),"")</f>
        <v/>
      </c>
      <c r="AI10" s="73" t="str">
        <f aca="false">IF(AND($D10="Hito",ISNUMBER($K10)),IF(AND($K10&gt;=AI$7,$K10&lt;AI$7+7),"◆",""),"")</f>
        <v/>
      </c>
      <c r="AJ10" s="73" t="str">
        <f aca="false">IF(AND($D10="Hito",ISNUMBER($K10)),IF(AND($K10&gt;=AJ$7,$K10&lt;AJ$7+7),"◆",""),"")</f>
        <v/>
      </c>
      <c r="AK10" s="73" t="str">
        <f aca="false">IF(AND($D10="Hito",ISNUMBER($K10)),IF(AND($K10&gt;=AK$7,$K10&lt;AK$7+7),"◆",""),"")</f>
        <v/>
      </c>
      <c r="AL10" s="73" t="str">
        <f aca="false">IF(AND($D10="Hito",ISNUMBER($K10)),IF(AND($K10&gt;=AL$7,$K10&lt;AL$7+7),"◆",""),"")</f>
        <v/>
      </c>
      <c r="AM10" s="73" t="str">
        <f aca="false">IF(AND($D10="Hito",ISNUMBER($K10)),IF(AND($K10&gt;=AM$7,$K10&lt;AM$7+7),"◆",""),"")</f>
        <v/>
      </c>
      <c r="AN10" s="73" t="str">
        <f aca="false">IF(AND($D10="Hito",ISNUMBER($K10)),IF(AND($K10&gt;=AN$7,$K10&lt;AN$7+7),"◆",""),"")</f>
        <v/>
      </c>
      <c r="AO10" s="73" t="str">
        <f aca="false">IF(AND($D10="Hito",ISNUMBER($K10)),IF(AND($K10&gt;=AO$7,$K10&lt;AO$7+7),"◆",""),"")</f>
        <v/>
      </c>
      <c r="AP10" s="73" t="str">
        <f aca="false">IF(AND($D10="Hito",ISNUMBER($K10)),IF(AND($K10&gt;=AP$7,$K10&lt;AP$7+7),"◆",""),"")</f>
        <v/>
      </c>
      <c r="AQ10" s="73" t="str">
        <f aca="false">IF(AND($D10="Hito",ISNUMBER($K10)),IF(AND($K10&gt;=AQ$7,$K10&lt;AQ$7+7),"◆",""),"")</f>
        <v/>
      </c>
      <c r="AR10" s="73" t="str">
        <f aca="false">IF(AND($D10="Hito",ISNUMBER($K10)),IF(AND($K10&gt;=AR$7,$K10&lt;AR$7+7),"◆",""),"")</f>
        <v/>
      </c>
      <c r="AS10" s="73" t="str">
        <f aca="false">IF(AND($D10="Hito",ISNUMBER($K10)),IF(AND($K10&gt;=AS$7,$K10&lt;AS$7+7),"◆",""),"")</f>
        <v/>
      </c>
      <c r="AT10" s="73" t="str">
        <f aca="false">IF(AND($D10="Hito",ISNUMBER($K10)),IF(AND($K10&gt;=AT$7,$K10&lt;AT$7+7),"◆",""),"")</f>
        <v/>
      </c>
      <c r="AU10" s="73" t="str">
        <f aca="false">IF(AND($D10="Hito",ISNUMBER($K10)),IF(AND($K10&gt;=AU$7,$K10&lt;AU$7+7),"◆",""),"")</f>
        <v/>
      </c>
      <c r="AV10" s="73" t="str">
        <f aca="false">IF(AND($D10="Hito",ISNUMBER($K10)),IF(AND($K10&gt;=AV$7,$K10&lt;AV$7+7),"◆",""),"")</f>
        <v/>
      </c>
      <c r="AW10" s="73" t="str">
        <f aca="false">IF(AND($D10="Hito",ISNUMBER($K10)),IF(AND($K10&gt;=AW$7,$K10&lt;AW$7+7),"◆",""),"")</f>
        <v/>
      </c>
      <c r="AX10" s="73" t="str">
        <f aca="false">IF(AND($D10="Hito",ISNUMBER($K10)),IF(AND($K10&gt;=AX$7,$K10&lt;AX$7+7),"◆",""),"")</f>
        <v/>
      </c>
      <c r="AY10" s="73" t="str">
        <f aca="false">IF(AND($D10="Hito",ISNUMBER($K10)),IF(AND($K10&gt;=AY$7,$K10&lt;AY$7+7),"◆",""),"")</f>
        <v/>
      </c>
      <c r="AZ10" s="73" t="str">
        <f aca="false">IF(AND($D10="Hito",ISNUMBER($K10)),IF(AND($K10&gt;=AZ$7,$K10&lt;AZ$7+7),"◆",""),"")</f>
        <v/>
      </c>
      <c r="BA10" s="73" t="str">
        <f aca="false">IF(AND($D10="Hito",ISNUMBER($K10)),IF(AND($K10&gt;=BA$7,$K10&lt;BA$7+7),"◆",""),"")</f>
        <v/>
      </c>
      <c r="BB10" s="73" t="str">
        <f aca="false">IF(AND($D10="Hito",ISNUMBER($K10)),IF(AND($K10&gt;=BB$7,$K10&lt;BB$7+7),"◆",""),"")</f>
        <v/>
      </c>
      <c r="BC10" s="73" t="str">
        <f aca="false">IF(AND($D10="Hito",ISNUMBER($K10)),IF(AND($K10&gt;=BC$7,$K10&lt;BC$7+7),"◆",""),"")</f>
        <v/>
      </c>
      <c r="BD10" s="73" t="str">
        <f aca="false">IF(AND($D10="Hito",ISNUMBER($K10)),IF(AND($K10&gt;=BD$7,$K10&lt;BD$7+7),"◆",""),"")</f>
        <v/>
      </c>
      <c r="BE10" s="73" t="str">
        <f aca="false">IF(AND($D10="Hito",ISNUMBER($K10)),IF(AND($K10&gt;=BE$7,$K10&lt;BE$7+7),"◆",""),"")</f>
        <v/>
      </c>
      <c r="BF10" s="73" t="str">
        <f aca="false">IF(AND($D10="Hito",ISNUMBER($K10)),IF(AND($K10&gt;=BF$7,$K10&lt;BF$7+7),"◆",""),"")</f>
        <v/>
      </c>
      <c r="BG10" s="73" t="str">
        <f aca="false">IF(AND($D10="Hito",ISNUMBER($K10)),IF(AND($K10&gt;=BG$7,$K10&lt;BG$7+7),"◆",""),"")</f>
        <v/>
      </c>
      <c r="BH10" s="73" t="str">
        <f aca="false">IF(AND($D10="Hito",ISNUMBER($K10)),IF(AND($K10&gt;=BH$7,$K10&lt;BH$7+7),"◆",""),"")</f>
        <v/>
      </c>
      <c r="BI10" s="73" t="str">
        <f aca="false">IF(AND($D10="Hito",ISNUMBER($K10)),IF(AND($K10&gt;=BI$7,$K10&lt;BI$7+7),"◆",""),"")</f>
        <v/>
      </c>
      <c r="BJ10" s="73" t="str">
        <f aca="false">IF(AND($D10="Hito",ISNUMBER($K10)),IF(AND($K10&gt;=BJ$7,$K10&lt;BJ$7+7),"◆",""),"")</f>
        <v/>
      </c>
      <c r="BK10" s="73" t="str">
        <f aca="false">IF(AND($D10="Hito",ISNUMBER($K10)),IF(AND($K10&gt;=BK$7,$K10&lt;BK$7+7),"◆",""),"")</f>
        <v/>
      </c>
      <c r="BL10" s="73" t="str">
        <f aca="false">IF(AND($D10="Hito",ISNUMBER($K10)),IF(AND($K10&gt;=BL$7,$K10&lt;BL$7+7),"◆",""),"")</f>
        <v/>
      </c>
      <c r="BM10" s="73" t="str">
        <f aca="false">IF(AND($D10="Hito",ISNUMBER($K10)),IF(AND($K10&gt;=BM$7,$K10&lt;BM$7+7),"◆",""),"")</f>
        <v/>
      </c>
      <c r="BN10" s="73" t="str">
        <f aca="false">IF(AND($D10="Hito",ISNUMBER($K10)),IF(AND($K10&gt;=BN$7,$K10&lt;BN$7+7),"◆",""),"")</f>
        <v/>
      </c>
      <c r="BO10" s="73" t="str">
        <f aca="false">IF(AND($D10="Hito",ISNUMBER($K10)),IF(AND($K10&gt;=BO$7,$K10&lt;BO$7+7),"◆",""),"")</f>
        <v/>
      </c>
      <c r="BP10" s="73" t="str">
        <f aca="false">IF(AND($D10="Hito",ISNUMBER($K10)),IF(AND($K10&gt;=BP$7,$K10&lt;BP$7+7),"◆",""),"")</f>
        <v/>
      </c>
      <c r="BQ10" s="73" t="str">
        <f aca="false">IF(AND($D10="Hito",ISNUMBER($K10)),IF(AND($K10&gt;=BQ$7,$K10&lt;BQ$7+7),"◆",""),"")</f>
        <v/>
      </c>
      <c r="BR10" s="73" t="str">
        <f aca="false">IF(AND($D10="Hito",ISNUMBER($K10)),IF(AND($K10&gt;=BR$7,$K10&lt;BR$7+7),"◆",""),"")</f>
        <v/>
      </c>
      <c r="BS10" s="73" t="str">
        <f aca="false">IF(AND($D10="Hito",ISNUMBER($K10)),IF(AND($K10&gt;=BS$7,$K10&lt;BS$7+7),"◆",""),"")</f>
        <v/>
      </c>
      <c r="BT10" s="73" t="str">
        <f aca="false">IF(AND($D10="Hito",ISNUMBER($K10)),IF(AND($K10&gt;=BT$7,$K10&lt;BT$7+7),"◆",""),"")</f>
        <v/>
      </c>
      <c r="BU10" s="73" t="str">
        <f aca="false">IF(AND($D10="Hito",ISNUMBER($K10)),IF(AND($K10&gt;=BU$7,$K10&lt;BU$7+7),"◆",""),"")</f>
        <v/>
      </c>
      <c r="BV10" s="73" t="str">
        <f aca="false">IF(AND($D10="Hito",ISNUMBER($K10)),IF(AND($K10&gt;=BV$7,$K10&lt;BV$7+7),"◆",""),"")</f>
        <v/>
      </c>
      <c r="BW10" s="73" t="str">
        <f aca="false">IF(AND($D10="Hito",ISNUMBER($K10)),IF(AND($K10&gt;=BW$7,$K10&lt;BW$7+7),"◆",""),"")</f>
        <v/>
      </c>
      <c r="BX10" s="73" t="str">
        <f aca="false">IF(AND($D10="Hito",ISNUMBER($K10)),IF(AND($K10&gt;=BX$7,$K10&lt;BX$7+7),"◆",""),"")</f>
        <v/>
      </c>
    </row>
    <row r="11" customFormat="false" ht="18.75" hidden="false" customHeight="true" outlineLevel="1" collapsed="false">
      <c r="A11" s="6"/>
      <c r="B11" s="61" t="n">
        <v>3</v>
      </c>
      <c r="C11" s="62" t="s">
        <v>176</v>
      </c>
      <c r="D11" s="63" t="s">
        <v>177</v>
      </c>
      <c r="E11" s="64" t="s">
        <v>175</v>
      </c>
      <c r="F11" s="64"/>
      <c r="G11" s="61" t="n">
        <v>2</v>
      </c>
      <c r="H11" s="65"/>
      <c r="I11" s="61" t="n">
        <v>5</v>
      </c>
      <c r="J11" s="66" t="n">
        <f aca="true">IF(C11="","",IF(L11&lt;&gt;"",L11,IF(H11&lt;&gt;"",H11,IF(G11&lt;&gt;"",IFERROR(INDEX($T$8:$T$36,MATCH(G11,$B$8:$B$36,0))+IF(D11="Hito",0,1),IF(n_FInicio="",TODAY(),n_FInicio)),IF(n_FInicio="",TODAY(),n_FInicio)))))</f>
        <v>46313</v>
      </c>
      <c r="K11" s="66" t="n">
        <f aca="false">IF(C11="","",IF(M11&lt;&gt;"",M11,IF(D11="Hito",J11,J11+MAX(N(I11),1)-1)))</f>
        <v>46317</v>
      </c>
      <c r="L11" s="67"/>
      <c r="M11" s="67"/>
      <c r="N11" s="68"/>
      <c r="O11" s="69" t="n">
        <f aca="false">IF(C11="","",IF(N11&lt;&gt;"",N11,IF(M11&lt;&gt;"",1,IF(F11="",0,IF(D11="Instalación",MIN(1,IFERROR(SUMIFS('CORTES CLIENTE'!$O$20:$O$219,PRESUPUESTO!$V$7:$V$206,F11)/SUMIFS(PRESUPUESTO!$G$7:$G$206,PRESUPUESTO!$V$7:$V$206,F11),0)),IF(D11="Compra",MIN(1,IFERROR(SUMIFS('CONTROL DE MATERIALES'!$U$11:$U$210,PRESUPUESTO!$V$7:$V$206,F11)/SUMIFS('CONTROL DE MATERIALES'!$V$11:$V$210,PRESUPUESTO!$V$7:$V$206,F11),0)),0))))))</f>
        <v>0</v>
      </c>
      <c r="P11" s="70" t="str">
        <f aca="true">IF(C11="","",IF(D11="Hito",IF(O11&gt;=1,"Cumplido",IF(TODAY()&gt;K11,"Vencido","Pendiente")),IF(O11&gt;=1,"Terminada",IF(TODAY()&gt;K11,"Atrasada",IF(OR(O11&gt;0,L11&lt;&gt;""),"En curso",IF(TODAY()&gt;=J11,"Debe iniciar","Por iniciar"))))))</f>
        <v>Por iniciar</v>
      </c>
      <c r="Q11" s="71" t="n">
        <f aca="true">IF(OR(C11="",N(O11)&gt;=1),"",IF(TODAY()&gt;K11,TODAY()-K11,0))</f>
        <v>0</v>
      </c>
      <c r="R11" s="6" t="n">
        <f aca="false">COUNTIF($D$8:D11,"Fase")</f>
        <v>1</v>
      </c>
      <c r="S11" s="72" t="n">
        <f aca="false">IF(C11="","",J11)</f>
        <v>46313</v>
      </c>
      <c r="T11" s="72" t="n">
        <f aca="false">IF(C11="","",K11)</f>
        <v>46317</v>
      </c>
      <c r="U11" s="6" t="n">
        <f aca="false">IF(C11="","",MAX(N(I11),1))</f>
        <v>5</v>
      </c>
      <c r="V11" s="6" t="n">
        <f aca="false">IF(C11="","",U11*N(O11))</f>
        <v>0</v>
      </c>
      <c r="W11" s="6" t="str">
        <f aca="false">P11</f>
        <v>Por iniciar</v>
      </c>
      <c r="X11" s="6" t="n">
        <f aca="false">IF(Q11="","",N(Q11))</f>
        <v>0</v>
      </c>
      <c r="Y11" s="73" t="str">
        <f aca="false">IF(AND($D11="Hito",ISNUMBER($K11)),IF(AND($K11&gt;=Y$7,$K11&lt;Y$7+7),"◆",""),"")</f>
        <v/>
      </c>
      <c r="Z11" s="73" t="str">
        <f aca="false">IF(AND($D11="Hito",ISNUMBER($K11)),IF(AND($K11&gt;=Z$7,$K11&lt;Z$7+7),"◆",""),"")</f>
        <v/>
      </c>
      <c r="AA11" s="73" t="str">
        <f aca="false">IF(AND($D11="Hito",ISNUMBER($K11)),IF(AND($K11&gt;=AA$7,$K11&lt;AA$7+7),"◆",""),"")</f>
        <v/>
      </c>
      <c r="AB11" s="73" t="str">
        <f aca="false">IF(AND($D11="Hito",ISNUMBER($K11)),IF(AND($K11&gt;=AB$7,$K11&lt;AB$7+7),"◆",""),"")</f>
        <v/>
      </c>
      <c r="AC11" s="73" t="str">
        <f aca="false">IF(AND($D11="Hito",ISNUMBER($K11)),IF(AND($K11&gt;=AC$7,$K11&lt;AC$7+7),"◆",""),"")</f>
        <v/>
      </c>
      <c r="AD11" s="73" t="str">
        <f aca="false">IF(AND($D11="Hito",ISNUMBER($K11)),IF(AND($K11&gt;=AD$7,$K11&lt;AD$7+7),"◆",""),"")</f>
        <v/>
      </c>
      <c r="AE11" s="73" t="str">
        <f aca="false">IF(AND($D11="Hito",ISNUMBER($K11)),IF(AND($K11&gt;=AE$7,$K11&lt;AE$7+7),"◆",""),"")</f>
        <v/>
      </c>
      <c r="AF11" s="73" t="str">
        <f aca="false">IF(AND($D11="Hito",ISNUMBER($K11)),IF(AND($K11&gt;=AF$7,$K11&lt;AF$7+7),"◆",""),"")</f>
        <v/>
      </c>
      <c r="AG11" s="73" t="str">
        <f aca="false">IF(AND($D11="Hito",ISNUMBER($K11)),IF(AND($K11&gt;=AG$7,$K11&lt;AG$7+7),"◆",""),"")</f>
        <v/>
      </c>
      <c r="AH11" s="73" t="str">
        <f aca="false">IF(AND($D11="Hito",ISNUMBER($K11)),IF(AND($K11&gt;=AH$7,$K11&lt;AH$7+7),"◆",""),"")</f>
        <v/>
      </c>
      <c r="AI11" s="73" t="str">
        <f aca="false">IF(AND($D11="Hito",ISNUMBER($K11)),IF(AND($K11&gt;=AI$7,$K11&lt;AI$7+7),"◆",""),"")</f>
        <v/>
      </c>
      <c r="AJ11" s="73" t="str">
        <f aca="false">IF(AND($D11="Hito",ISNUMBER($K11)),IF(AND($K11&gt;=AJ$7,$K11&lt;AJ$7+7),"◆",""),"")</f>
        <v/>
      </c>
      <c r="AK11" s="73" t="str">
        <f aca="false">IF(AND($D11="Hito",ISNUMBER($K11)),IF(AND($K11&gt;=AK$7,$K11&lt;AK$7+7),"◆",""),"")</f>
        <v/>
      </c>
      <c r="AL11" s="73" t="str">
        <f aca="false">IF(AND($D11="Hito",ISNUMBER($K11)),IF(AND($K11&gt;=AL$7,$K11&lt;AL$7+7),"◆",""),"")</f>
        <v/>
      </c>
      <c r="AM11" s="73" t="str">
        <f aca="false">IF(AND($D11="Hito",ISNUMBER($K11)),IF(AND($K11&gt;=AM$7,$K11&lt;AM$7+7),"◆",""),"")</f>
        <v/>
      </c>
      <c r="AN11" s="73" t="str">
        <f aca="false">IF(AND($D11="Hito",ISNUMBER($K11)),IF(AND($K11&gt;=AN$7,$K11&lt;AN$7+7),"◆",""),"")</f>
        <v/>
      </c>
      <c r="AO11" s="73" t="str">
        <f aca="false">IF(AND($D11="Hito",ISNUMBER($K11)),IF(AND($K11&gt;=AO$7,$K11&lt;AO$7+7),"◆",""),"")</f>
        <v/>
      </c>
      <c r="AP11" s="73" t="str">
        <f aca="false">IF(AND($D11="Hito",ISNUMBER($K11)),IF(AND($K11&gt;=AP$7,$K11&lt;AP$7+7),"◆",""),"")</f>
        <v/>
      </c>
      <c r="AQ11" s="73" t="str">
        <f aca="false">IF(AND($D11="Hito",ISNUMBER($K11)),IF(AND($K11&gt;=AQ$7,$K11&lt;AQ$7+7),"◆",""),"")</f>
        <v/>
      </c>
      <c r="AR11" s="73" t="str">
        <f aca="false">IF(AND($D11="Hito",ISNUMBER($K11)),IF(AND($K11&gt;=AR$7,$K11&lt;AR$7+7),"◆",""),"")</f>
        <v/>
      </c>
      <c r="AS11" s="73" t="str">
        <f aca="false">IF(AND($D11="Hito",ISNUMBER($K11)),IF(AND($K11&gt;=AS$7,$K11&lt;AS$7+7),"◆",""),"")</f>
        <v/>
      </c>
      <c r="AT11" s="73" t="str">
        <f aca="false">IF(AND($D11="Hito",ISNUMBER($K11)),IF(AND($K11&gt;=AT$7,$K11&lt;AT$7+7),"◆",""),"")</f>
        <v/>
      </c>
      <c r="AU11" s="73" t="str">
        <f aca="false">IF(AND($D11="Hito",ISNUMBER($K11)),IF(AND($K11&gt;=AU$7,$K11&lt;AU$7+7),"◆",""),"")</f>
        <v/>
      </c>
      <c r="AV11" s="73" t="str">
        <f aca="false">IF(AND($D11="Hito",ISNUMBER($K11)),IF(AND($K11&gt;=AV$7,$K11&lt;AV$7+7),"◆",""),"")</f>
        <v/>
      </c>
      <c r="AW11" s="73" t="str">
        <f aca="false">IF(AND($D11="Hito",ISNUMBER($K11)),IF(AND($K11&gt;=AW$7,$K11&lt;AW$7+7),"◆",""),"")</f>
        <v/>
      </c>
      <c r="AX11" s="73" t="str">
        <f aca="false">IF(AND($D11="Hito",ISNUMBER($K11)),IF(AND($K11&gt;=AX$7,$K11&lt;AX$7+7),"◆",""),"")</f>
        <v/>
      </c>
      <c r="AY11" s="73" t="str">
        <f aca="false">IF(AND($D11="Hito",ISNUMBER($K11)),IF(AND($K11&gt;=AY$7,$K11&lt;AY$7+7),"◆",""),"")</f>
        <v/>
      </c>
      <c r="AZ11" s="73" t="str">
        <f aca="false">IF(AND($D11="Hito",ISNUMBER($K11)),IF(AND($K11&gt;=AZ$7,$K11&lt;AZ$7+7),"◆",""),"")</f>
        <v/>
      </c>
      <c r="BA11" s="73" t="str">
        <f aca="false">IF(AND($D11="Hito",ISNUMBER($K11)),IF(AND($K11&gt;=BA$7,$K11&lt;BA$7+7),"◆",""),"")</f>
        <v/>
      </c>
      <c r="BB11" s="73" t="str">
        <f aca="false">IF(AND($D11="Hito",ISNUMBER($K11)),IF(AND($K11&gt;=BB$7,$K11&lt;BB$7+7),"◆",""),"")</f>
        <v/>
      </c>
      <c r="BC11" s="73" t="str">
        <f aca="false">IF(AND($D11="Hito",ISNUMBER($K11)),IF(AND($K11&gt;=BC$7,$K11&lt;BC$7+7),"◆",""),"")</f>
        <v/>
      </c>
      <c r="BD11" s="73" t="str">
        <f aca="false">IF(AND($D11="Hito",ISNUMBER($K11)),IF(AND($K11&gt;=BD$7,$K11&lt;BD$7+7),"◆",""),"")</f>
        <v/>
      </c>
      <c r="BE11" s="73" t="str">
        <f aca="false">IF(AND($D11="Hito",ISNUMBER($K11)),IF(AND($K11&gt;=BE$7,$K11&lt;BE$7+7),"◆",""),"")</f>
        <v/>
      </c>
      <c r="BF11" s="73" t="str">
        <f aca="false">IF(AND($D11="Hito",ISNUMBER($K11)),IF(AND($K11&gt;=BF$7,$K11&lt;BF$7+7),"◆",""),"")</f>
        <v/>
      </c>
      <c r="BG11" s="73" t="str">
        <f aca="false">IF(AND($D11="Hito",ISNUMBER($K11)),IF(AND($K11&gt;=BG$7,$K11&lt;BG$7+7),"◆",""),"")</f>
        <v/>
      </c>
      <c r="BH11" s="73" t="str">
        <f aca="false">IF(AND($D11="Hito",ISNUMBER($K11)),IF(AND($K11&gt;=BH$7,$K11&lt;BH$7+7),"◆",""),"")</f>
        <v/>
      </c>
      <c r="BI11" s="73" t="str">
        <f aca="false">IF(AND($D11="Hito",ISNUMBER($K11)),IF(AND($K11&gt;=BI$7,$K11&lt;BI$7+7),"◆",""),"")</f>
        <v/>
      </c>
      <c r="BJ11" s="73" t="str">
        <f aca="false">IF(AND($D11="Hito",ISNUMBER($K11)),IF(AND($K11&gt;=BJ$7,$K11&lt;BJ$7+7),"◆",""),"")</f>
        <v/>
      </c>
      <c r="BK11" s="73" t="str">
        <f aca="false">IF(AND($D11="Hito",ISNUMBER($K11)),IF(AND($K11&gt;=BK$7,$K11&lt;BK$7+7),"◆",""),"")</f>
        <v/>
      </c>
      <c r="BL11" s="73" t="str">
        <f aca="false">IF(AND($D11="Hito",ISNUMBER($K11)),IF(AND($K11&gt;=BL$7,$K11&lt;BL$7+7),"◆",""),"")</f>
        <v/>
      </c>
      <c r="BM11" s="73" t="str">
        <f aca="false">IF(AND($D11="Hito",ISNUMBER($K11)),IF(AND($K11&gt;=BM$7,$K11&lt;BM$7+7),"◆",""),"")</f>
        <v/>
      </c>
      <c r="BN11" s="73" t="str">
        <f aca="false">IF(AND($D11="Hito",ISNUMBER($K11)),IF(AND($K11&gt;=BN$7,$K11&lt;BN$7+7),"◆",""),"")</f>
        <v/>
      </c>
      <c r="BO11" s="73" t="str">
        <f aca="false">IF(AND($D11="Hito",ISNUMBER($K11)),IF(AND($K11&gt;=BO$7,$K11&lt;BO$7+7),"◆",""),"")</f>
        <v/>
      </c>
      <c r="BP11" s="73" t="str">
        <f aca="false">IF(AND($D11="Hito",ISNUMBER($K11)),IF(AND($K11&gt;=BP$7,$K11&lt;BP$7+7),"◆",""),"")</f>
        <v/>
      </c>
      <c r="BQ11" s="73" t="str">
        <f aca="false">IF(AND($D11="Hito",ISNUMBER($K11)),IF(AND($K11&gt;=BQ$7,$K11&lt;BQ$7+7),"◆",""),"")</f>
        <v/>
      </c>
      <c r="BR11" s="73" t="str">
        <f aca="false">IF(AND($D11="Hito",ISNUMBER($K11)),IF(AND($K11&gt;=BR$7,$K11&lt;BR$7+7),"◆",""),"")</f>
        <v/>
      </c>
      <c r="BS11" s="73" t="str">
        <f aca="false">IF(AND($D11="Hito",ISNUMBER($K11)),IF(AND($K11&gt;=BS$7,$K11&lt;BS$7+7),"◆",""),"")</f>
        <v/>
      </c>
      <c r="BT11" s="73" t="str">
        <f aca="false">IF(AND($D11="Hito",ISNUMBER($K11)),IF(AND($K11&gt;=BT$7,$K11&lt;BT$7+7),"◆",""),"")</f>
        <v/>
      </c>
      <c r="BU11" s="73" t="str">
        <f aca="false">IF(AND($D11="Hito",ISNUMBER($K11)),IF(AND($K11&gt;=BU$7,$K11&lt;BU$7+7),"◆",""),"")</f>
        <v/>
      </c>
      <c r="BV11" s="73" t="str">
        <f aca="false">IF(AND($D11="Hito",ISNUMBER($K11)),IF(AND($K11&gt;=BV$7,$K11&lt;BV$7+7),"◆",""),"")</f>
        <v/>
      </c>
      <c r="BW11" s="73" t="str">
        <f aca="false">IF(AND($D11="Hito",ISNUMBER($K11)),IF(AND($K11&gt;=BW$7,$K11&lt;BW$7+7),"◆",""),"")</f>
        <v/>
      </c>
      <c r="BX11" s="73" t="str">
        <f aca="false">IF(AND($D11="Hito",ISNUMBER($K11)),IF(AND($K11&gt;=BX$7,$K11&lt;BX$7+7),"◆",""),"")</f>
        <v/>
      </c>
    </row>
    <row r="12" customFormat="false" ht="18.75" hidden="false" customHeight="true" outlineLevel="1" collapsed="false">
      <c r="A12" s="6"/>
      <c r="B12" s="61" t="n">
        <v>4</v>
      </c>
      <c r="C12" s="62" t="s">
        <v>178</v>
      </c>
      <c r="D12" s="63" t="s">
        <v>172</v>
      </c>
      <c r="E12" s="64" t="s">
        <v>175</v>
      </c>
      <c r="F12" s="64"/>
      <c r="G12" s="61" t="n">
        <v>3</v>
      </c>
      <c r="H12" s="65"/>
      <c r="I12" s="61" t="n">
        <v>0</v>
      </c>
      <c r="J12" s="66" t="n">
        <f aca="true">IF(C12="","",IF(L12&lt;&gt;"",L12,IF(H12&lt;&gt;"",H12,IF(G12&lt;&gt;"",IFERROR(INDEX($T$8:$T$36,MATCH(G12,$B$8:$B$36,0))+IF(D12="Hito",0,1),IF(n_FInicio="",TODAY(),n_FInicio)),IF(n_FInicio="",TODAY(),n_FInicio)))))</f>
        <v>46317</v>
      </c>
      <c r="K12" s="66" t="n">
        <f aca="false">IF(C12="","",IF(M12&lt;&gt;"",M12,IF(D12="Hito",J12,J12+MAX(N(I12),1)-1)))</f>
        <v>46317</v>
      </c>
      <c r="L12" s="67"/>
      <c r="M12" s="67"/>
      <c r="N12" s="68"/>
      <c r="O12" s="69" t="n">
        <f aca="false">IF(C12="","",IF(N12&lt;&gt;"",N12,IF(M12&lt;&gt;"",1,IF(F12="",0,IF(D12="Instalación",MIN(1,IFERROR(SUMIFS('CORTES CLIENTE'!$O$20:$O$219,PRESUPUESTO!$V$7:$V$206,F12)/SUMIFS(PRESUPUESTO!$G$7:$G$206,PRESUPUESTO!$V$7:$V$206,F12),0)),IF(D12="Compra",MIN(1,IFERROR(SUMIFS('CONTROL DE MATERIALES'!$U$11:$U$210,PRESUPUESTO!$V$7:$V$206,F12)/SUMIFS('CONTROL DE MATERIALES'!$V$11:$V$210,PRESUPUESTO!$V$7:$V$206,F12),0)),0))))))</f>
        <v>0</v>
      </c>
      <c r="P12" s="70" t="str">
        <f aca="true">IF(C12="","",IF(D12="Hito",IF(O12&gt;=1,"Cumplido",IF(TODAY()&gt;K12,"Vencido","Pendiente")),IF(O12&gt;=1,"Terminada",IF(TODAY()&gt;K12,"Atrasada",IF(OR(O12&gt;0,L12&lt;&gt;""),"En curso",IF(TODAY()&gt;=J12,"Debe iniciar","Por iniciar"))))))</f>
        <v>Pendiente</v>
      </c>
      <c r="Q12" s="71" t="n">
        <f aca="true">IF(OR(C12="",N(O12)&gt;=1),"",IF(TODAY()&gt;K12,TODAY()-K12,0))</f>
        <v>0</v>
      </c>
      <c r="R12" s="6" t="n">
        <f aca="false">COUNTIF($D$8:D12,"Fase")</f>
        <v>1</v>
      </c>
      <c r="S12" s="72" t="n">
        <f aca="false">IF(C12="","",J12)</f>
        <v>46317</v>
      </c>
      <c r="T12" s="72" t="n">
        <f aca="false">IF(C12="","",K12)</f>
        <v>46317</v>
      </c>
      <c r="U12" s="6" t="n">
        <f aca="false">IF(C12="","",MAX(N(I12),1))</f>
        <v>1</v>
      </c>
      <c r="V12" s="6" t="n">
        <f aca="false">IF(C12="","",U12*N(O12))</f>
        <v>0</v>
      </c>
      <c r="W12" s="6" t="str">
        <f aca="false">P12</f>
        <v>Pendiente</v>
      </c>
      <c r="X12" s="6" t="n">
        <f aca="false">IF(Q12="","",N(Q12))</f>
        <v>0</v>
      </c>
      <c r="Y12" s="73" t="str">
        <f aca="false">IF(AND($D12="Hito",ISNUMBER($K12)),IF(AND($K12&gt;=Y$7,$K12&lt;Y$7+7),"◆",""),"")</f>
        <v/>
      </c>
      <c r="Z12" s="73" t="str">
        <f aca="false">IF(AND($D12="Hito",ISNUMBER($K12)),IF(AND($K12&gt;=Z$7,$K12&lt;Z$7+7),"◆",""),"")</f>
        <v>◆</v>
      </c>
      <c r="AA12" s="73" t="str">
        <f aca="false">IF(AND($D12="Hito",ISNUMBER($K12)),IF(AND($K12&gt;=AA$7,$K12&lt;AA$7+7),"◆",""),"")</f>
        <v/>
      </c>
      <c r="AB12" s="73" t="str">
        <f aca="false">IF(AND($D12="Hito",ISNUMBER($K12)),IF(AND($K12&gt;=AB$7,$K12&lt;AB$7+7),"◆",""),"")</f>
        <v/>
      </c>
      <c r="AC12" s="73" t="str">
        <f aca="false">IF(AND($D12="Hito",ISNUMBER($K12)),IF(AND($K12&gt;=AC$7,$K12&lt;AC$7+7),"◆",""),"")</f>
        <v/>
      </c>
      <c r="AD12" s="73" t="str">
        <f aca="false">IF(AND($D12="Hito",ISNUMBER($K12)),IF(AND($K12&gt;=AD$7,$K12&lt;AD$7+7),"◆",""),"")</f>
        <v/>
      </c>
      <c r="AE12" s="73" t="str">
        <f aca="false">IF(AND($D12="Hito",ISNUMBER($K12)),IF(AND($K12&gt;=AE$7,$K12&lt;AE$7+7),"◆",""),"")</f>
        <v/>
      </c>
      <c r="AF12" s="73" t="str">
        <f aca="false">IF(AND($D12="Hito",ISNUMBER($K12)),IF(AND($K12&gt;=AF$7,$K12&lt;AF$7+7),"◆",""),"")</f>
        <v/>
      </c>
      <c r="AG12" s="73" t="str">
        <f aca="false">IF(AND($D12="Hito",ISNUMBER($K12)),IF(AND($K12&gt;=AG$7,$K12&lt;AG$7+7),"◆",""),"")</f>
        <v/>
      </c>
      <c r="AH12" s="73" t="str">
        <f aca="false">IF(AND($D12="Hito",ISNUMBER($K12)),IF(AND($K12&gt;=AH$7,$K12&lt;AH$7+7),"◆",""),"")</f>
        <v/>
      </c>
      <c r="AI12" s="73" t="str">
        <f aca="false">IF(AND($D12="Hito",ISNUMBER($K12)),IF(AND($K12&gt;=AI$7,$K12&lt;AI$7+7),"◆",""),"")</f>
        <v/>
      </c>
      <c r="AJ12" s="73" t="str">
        <f aca="false">IF(AND($D12="Hito",ISNUMBER($K12)),IF(AND($K12&gt;=AJ$7,$K12&lt;AJ$7+7),"◆",""),"")</f>
        <v/>
      </c>
      <c r="AK12" s="73" t="str">
        <f aca="false">IF(AND($D12="Hito",ISNUMBER($K12)),IF(AND($K12&gt;=AK$7,$K12&lt;AK$7+7),"◆",""),"")</f>
        <v/>
      </c>
      <c r="AL12" s="73" t="str">
        <f aca="false">IF(AND($D12="Hito",ISNUMBER($K12)),IF(AND($K12&gt;=AL$7,$K12&lt;AL$7+7),"◆",""),"")</f>
        <v/>
      </c>
      <c r="AM12" s="73" t="str">
        <f aca="false">IF(AND($D12="Hito",ISNUMBER($K12)),IF(AND($K12&gt;=AM$7,$K12&lt;AM$7+7),"◆",""),"")</f>
        <v/>
      </c>
      <c r="AN12" s="73" t="str">
        <f aca="false">IF(AND($D12="Hito",ISNUMBER($K12)),IF(AND($K12&gt;=AN$7,$K12&lt;AN$7+7),"◆",""),"")</f>
        <v/>
      </c>
      <c r="AO12" s="73" t="str">
        <f aca="false">IF(AND($D12="Hito",ISNUMBER($K12)),IF(AND($K12&gt;=AO$7,$K12&lt;AO$7+7),"◆",""),"")</f>
        <v/>
      </c>
      <c r="AP12" s="73" t="str">
        <f aca="false">IF(AND($D12="Hito",ISNUMBER($K12)),IF(AND($K12&gt;=AP$7,$K12&lt;AP$7+7),"◆",""),"")</f>
        <v/>
      </c>
      <c r="AQ12" s="73" t="str">
        <f aca="false">IF(AND($D12="Hito",ISNUMBER($K12)),IF(AND($K12&gt;=AQ$7,$K12&lt;AQ$7+7),"◆",""),"")</f>
        <v/>
      </c>
      <c r="AR12" s="73" t="str">
        <f aca="false">IF(AND($D12="Hito",ISNUMBER($K12)),IF(AND($K12&gt;=AR$7,$K12&lt;AR$7+7),"◆",""),"")</f>
        <v/>
      </c>
      <c r="AS12" s="73" t="str">
        <f aca="false">IF(AND($D12="Hito",ISNUMBER($K12)),IF(AND($K12&gt;=AS$7,$K12&lt;AS$7+7),"◆",""),"")</f>
        <v/>
      </c>
      <c r="AT12" s="73" t="str">
        <f aca="false">IF(AND($D12="Hito",ISNUMBER($K12)),IF(AND($K12&gt;=AT$7,$K12&lt;AT$7+7),"◆",""),"")</f>
        <v/>
      </c>
      <c r="AU12" s="73" t="str">
        <f aca="false">IF(AND($D12="Hito",ISNUMBER($K12)),IF(AND($K12&gt;=AU$7,$K12&lt;AU$7+7),"◆",""),"")</f>
        <v/>
      </c>
      <c r="AV12" s="73" t="str">
        <f aca="false">IF(AND($D12="Hito",ISNUMBER($K12)),IF(AND($K12&gt;=AV$7,$K12&lt;AV$7+7),"◆",""),"")</f>
        <v/>
      </c>
      <c r="AW12" s="73" t="str">
        <f aca="false">IF(AND($D12="Hito",ISNUMBER($K12)),IF(AND($K12&gt;=AW$7,$K12&lt;AW$7+7),"◆",""),"")</f>
        <v/>
      </c>
      <c r="AX12" s="73" t="str">
        <f aca="false">IF(AND($D12="Hito",ISNUMBER($K12)),IF(AND($K12&gt;=AX$7,$K12&lt;AX$7+7),"◆",""),"")</f>
        <v/>
      </c>
      <c r="AY12" s="73" t="str">
        <f aca="false">IF(AND($D12="Hito",ISNUMBER($K12)),IF(AND($K12&gt;=AY$7,$K12&lt;AY$7+7),"◆",""),"")</f>
        <v/>
      </c>
      <c r="AZ12" s="73" t="str">
        <f aca="false">IF(AND($D12="Hito",ISNUMBER($K12)),IF(AND($K12&gt;=AZ$7,$K12&lt;AZ$7+7),"◆",""),"")</f>
        <v/>
      </c>
      <c r="BA12" s="73" t="str">
        <f aca="false">IF(AND($D12="Hito",ISNUMBER($K12)),IF(AND($K12&gt;=BA$7,$K12&lt;BA$7+7),"◆",""),"")</f>
        <v/>
      </c>
      <c r="BB12" s="73" t="str">
        <f aca="false">IF(AND($D12="Hito",ISNUMBER($K12)),IF(AND($K12&gt;=BB$7,$K12&lt;BB$7+7),"◆",""),"")</f>
        <v/>
      </c>
      <c r="BC12" s="73" t="str">
        <f aca="false">IF(AND($D12="Hito",ISNUMBER($K12)),IF(AND($K12&gt;=BC$7,$K12&lt;BC$7+7),"◆",""),"")</f>
        <v/>
      </c>
      <c r="BD12" s="73" t="str">
        <f aca="false">IF(AND($D12="Hito",ISNUMBER($K12)),IF(AND($K12&gt;=BD$7,$K12&lt;BD$7+7),"◆",""),"")</f>
        <v/>
      </c>
      <c r="BE12" s="73" t="str">
        <f aca="false">IF(AND($D12="Hito",ISNUMBER($K12)),IF(AND($K12&gt;=BE$7,$K12&lt;BE$7+7),"◆",""),"")</f>
        <v/>
      </c>
      <c r="BF12" s="73" t="str">
        <f aca="false">IF(AND($D12="Hito",ISNUMBER($K12)),IF(AND($K12&gt;=BF$7,$K12&lt;BF$7+7),"◆",""),"")</f>
        <v/>
      </c>
      <c r="BG12" s="73" t="str">
        <f aca="false">IF(AND($D12="Hito",ISNUMBER($K12)),IF(AND($K12&gt;=BG$7,$K12&lt;BG$7+7),"◆",""),"")</f>
        <v/>
      </c>
      <c r="BH12" s="73" t="str">
        <f aca="false">IF(AND($D12="Hito",ISNUMBER($K12)),IF(AND($K12&gt;=BH$7,$K12&lt;BH$7+7),"◆",""),"")</f>
        <v/>
      </c>
      <c r="BI12" s="73" t="str">
        <f aca="false">IF(AND($D12="Hito",ISNUMBER($K12)),IF(AND($K12&gt;=BI$7,$K12&lt;BI$7+7),"◆",""),"")</f>
        <v/>
      </c>
      <c r="BJ12" s="73" t="str">
        <f aca="false">IF(AND($D12="Hito",ISNUMBER($K12)),IF(AND($K12&gt;=BJ$7,$K12&lt;BJ$7+7),"◆",""),"")</f>
        <v/>
      </c>
      <c r="BK12" s="73" t="str">
        <f aca="false">IF(AND($D12="Hito",ISNUMBER($K12)),IF(AND($K12&gt;=BK$7,$K12&lt;BK$7+7),"◆",""),"")</f>
        <v/>
      </c>
      <c r="BL12" s="73" t="str">
        <f aca="false">IF(AND($D12="Hito",ISNUMBER($K12)),IF(AND($K12&gt;=BL$7,$K12&lt;BL$7+7),"◆",""),"")</f>
        <v/>
      </c>
      <c r="BM12" s="73" t="str">
        <f aca="false">IF(AND($D12="Hito",ISNUMBER($K12)),IF(AND($K12&gt;=BM$7,$K12&lt;BM$7+7),"◆",""),"")</f>
        <v/>
      </c>
      <c r="BN12" s="73" t="str">
        <f aca="false">IF(AND($D12="Hito",ISNUMBER($K12)),IF(AND($K12&gt;=BN$7,$K12&lt;BN$7+7),"◆",""),"")</f>
        <v/>
      </c>
      <c r="BO12" s="73" t="str">
        <f aca="false">IF(AND($D12="Hito",ISNUMBER($K12)),IF(AND($K12&gt;=BO$7,$K12&lt;BO$7+7),"◆",""),"")</f>
        <v/>
      </c>
      <c r="BP12" s="73" t="str">
        <f aca="false">IF(AND($D12="Hito",ISNUMBER($K12)),IF(AND($K12&gt;=BP$7,$K12&lt;BP$7+7),"◆",""),"")</f>
        <v/>
      </c>
      <c r="BQ12" s="73" t="str">
        <f aca="false">IF(AND($D12="Hito",ISNUMBER($K12)),IF(AND($K12&gt;=BQ$7,$K12&lt;BQ$7+7),"◆",""),"")</f>
        <v/>
      </c>
      <c r="BR12" s="73" t="str">
        <f aca="false">IF(AND($D12="Hito",ISNUMBER($K12)),IF(AND($K12&gt;=BR$7,$K12&lt;BR$7+7),"◆",""),"")</f>
        <v/>
      </c>
      <c r="BS12" s="73" t="str">
        <f aca="false">IF(AND($D12="Hito",ISNUMBER($K12)),IF(AND($K12&gt;=BS$7,$K12&lt;BS$7+7),"◆",""),"")</f>
        <v/>
      </c>
      <c r="BT12" s="73" t="str">
        <f aca="false">IF(AND($D12="Hito",ISNUMBER($K12)),IF(AND($K12&gt;=BT$7,$K12&lt;BT$7+7),"◆",""),"")</f>
        <v/>
      </c>
      <c r="BU12" s="73" t="str">
        <f aca="false">IF(AND($D12="Hito",ISNUMBER($K12)),IF(AND($K12&gt;=BU$7,$K12&lt;BU$7+7),"◆",""),"")</f>
        <v/>
      </c>
      <c r="BV12" s="73" t="str">
        <f aca="false">IF(AND($D12="Hito",ISNUMBER($K12)),IF(AND($K12&gt;=BV$7,$K12&lt;BV$7+7),"◆",""),"")</f>
        <v/>
      </c>
      <c r="BW12" s="73" t="str">
        <f aca="false">IF(AND($D12="Hito",ISNUMBER($K12)),IF(AND($K12&gt;=BW$7,$K12&lt;BW$7+7),"◆",""),"")</f>
        <v/>
      </c>
      <c r="BX12" s="73" t="str">
        <f aca="false">IF(AND($D12="Hito",ISNUMBER($K12)),IF(AND($K12&gt;=BX$7,$K12&lt;BX$7+7),"◆",""),"")</f>
        <v/>
      </c>
    </row>
    <row r="13" customFormat="false" ht="24" hidden="false" customHeight="true" outlineLevel="0" collapsed="false">
      <c r="A13" s="56"/>
      <c r="B13" s="56" t="str">
        <f aca="false">"F"&amp;R13</f>
        <v>F2</v>
      </c>
      <c r="C13" s="57" t="s">
        <v>179</v>
      </c>
      <c r="D13" s="56" t="s">
        <v>170</v>
      </c>
      <c r="E13" s="56"/>
      <c r="F13" s="56"/>
      <c r="G13" s="56"/>
      <c r="H13" s="56"/>
      <c r="I13" s="58" t="n">
        <f aca="false">IF(OR(J13="",K13=""),"",K13-J13+1)</f>
        <v>28</v>
      </c>
      <c r="J13" s="59" t="n">
        <f aca="false">IFERROR(1/(1/_xlfn.MINIFS($S$8:$S$36,$R$8:$R$36,R13)),"")</f>
        <v>46318</v>
      </c>
      <c r="K13" s="59" t="n">
        <f aca="false">IFERROR(1/(1/_xlfn.MAXIFS($T$8:$T$36,$R$8:$R$36,R13)),"")</f>
        <v>46345</v>
      </c>
      <c r="L13" s="56"/>
      <c r="M13" s="56"/>
      <c r="N13" s="56"/>
      <c r="O13" s="60" t="n">
        <f aca="false">IFERROR(SUMIFS($V$8:$V$36,$R$8:$R$36,R13)/SUMIFS($U$8:$U$36,$R$8:$R$36,R13),"")</f>
        <v>0</v>
      </c>
      <c r="P13" s="56" t="str">
        <f aca="false">IF(COUNTIFS($R$8:$R$36,R13,$U$8:$U$36,"&gt;0")=0,"",IF(COUNTIFS($R$8:$R$36,R13,$W$8:$W$36,"Atrasada")+COUNTIFS($R$8:$R$36,R13,$W$8:$W$36,"Vencido")&gt;0,"Con atraso",IF(N(O13)&gt;=1,"Terminada",IF(N(O13)&gt;0,"En curso","Por iniciar"))))</f>
        <v>Por iniciar</v>
      </c>
      <c r="Q13" s="58" t="str">
        <f aca="false">IF(N(_xlfn.MAXIFS($X$8:$X$36,$R$8:$R$36,R13))&gt;0,_xlfn.MAXIFS($X$8:$X$36,$R$8:$R$36,R13),"")</f>
        <v/>
      </c>
      <c r="R13" s="6" t="n">
        <f aca="false">COUNTIF($D$8:D13,"Fase")</f>
        <v>2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</row>
    <row r="14" customFormat="false" ht="18.75" hidden="false" customHeight="true" outlineLevel="1" collapsed="false">
      <c r="A14" s="6"/>
      <c r="B14" s="61" t="n">
        <v>5</v>
      </c>
      <c r="C14" s="62" t="s">
        <v>180</v>
      </c>
      <c r="D14" s="63" t="s">
        <v>181</v>
      </c>
      <c r="E14" s="64" t="s">
        <v>182</v>
      </c>
      <c r="F14" s="64"/>
      <c r="G14" s="61" t="n">
        <v>4</v>
      </c>
      <c r="H14" s="65"/>
      <c r="I14" s="61" t="n">
        <v>10</v>
      </c>
      <c r="J14" s="66" t="n">
        <f aca="true">IF(C14="","",IF(L14&lt;&gt;"",L14,IF(H14&lt;&gt;"",H14,IF(G14&lt;&gt;"",IFERROR(INDEX($T$8:$T$36,MATCH(G14,$B$8:$B$36,0))+IF(D14="Hito",0,1),IF(n_FInicio="",TODAY(),n_FInicio)),IF(n_FInicio="",TODAY(),n_FInicio)))))</f>
        <v>46318</v>
      </c>
      <c r="K14" s="66" t="n">
        <f aca="false">IF(C14="","",IF(M14&lt;&gt;"",M14,IF(D14="Hito",J14,J14+MAX(N(I14),1)-1)))</f>
        <v>46327</v>
      </c>
      <c r="L14" s="67"/>
      <c r="M14" s="67"/>
      <c r="N14" s="68"/>
      <c r="O14" s="69" t="n">
        <f aca="false">IF(C14="","",IF(N14&lt;&gt;"",N14,IF(M14&lt;&gt;"",1,IF(F14="",0,IF(D14="Instalación",MIN(1,IFERROR(SUMIFS('CORTES CLIENTE'!$O$20:$O$219,PRESUPUESTO!$V$7:$V$206,F14)/SUMIFS(PRESUPUESTO!$G$7:$G$206,PRESUPUESTO!$V$7:$V$206,F14),0)),IF(D14="Compra",MIN(1,IFERROR(SUMIFS('CONTROL DE MATERIALES'!$U$11:$U$210,PRESUPUESTO!$V$7:$V$206,F14)/SUMIFS('CONTROL DE MATERIALES'!$V$11:$V$210,PRESUPUESTO!$V$7:$V$206,F14),0)),0))))))</f>
        <v>0</v>
      </c>
      <c r="P14" s="70" t="str">
        <f aca="true">IF(C14="","",IF(D14="Hito",IF(O14&gt;=1,"Cumplido",IF(TODAY()&gt;K14,"Vencido","Pendiente")),IF(O14&gt;=1,"Terminada",IF(TODAY()&gt;K14,"Atrasada",IF(OR(O14&gt;0,L14&lt;&gt;""),"En curso",IF(TODAY()&gt;=J14,"Debe iniciar","Por iniciar"))))))</f>
        <v>Por iniciar</v>
      </c>
      <c r="Q14" s="71" t="n">
        <f aca="true">IF(OR(C14="",N(O14)&gt;=1),"",IF(TODAY()&gt;K14,TODAY()-K14,0))</f>
        <v>0</v>
      </c>
      <c r="R14" s="6" t="n">
        <f aca="false">COUNTIF($D$8:D14,"Fase")</f>
        <v>2</v>
      </c>
      <c r="S14" s="72" t="n">
        <f aca="false">IF(C14="","",J14)</f>
        <v>46318</v>
      </c>
      <c r="T14" s="72" t="n">
        <f aca="false">IF(C14="","",K14)</f>
        <v>46327</v>
      </c>
      <c r="U14" s="6" t="n">
        <f aca="false">IF(C14="","",MAX(N(I14),1))</f>
        <v>10</v>
      </c>
      <c r="V14" s="6" t="n">
        <f aca="false">IF(C14="","",U14*N(O14))</f>
        <v>0</v>
      </c>
      <c r="W14" s="6" t="str">
        <f aca="false">P14</f>
        <v>Por iniciar</v>
      </c>
      <c r="X14" s="6" t="n">
        <f aca="false">IF(Q14="","",N(Q14))</f>
        <v>0</v>
      </c>
      <c r="Y14" s="73" t="str">
        <f aca="false">IF(AND($D14="Hito",ISNUMBER($K14)),IF(AND($K14&gt;=Y$7,$K14&lt;Y$7+7),"◆",""),"")</f>
        <v/>
      </c>
      <c r="Z14" s="73" t="str">
        <f aca="false">IF(AND($D14="Hito",ISNUMBER($K14)),IF(AND($K14&gt;=Z$7,$K14&lt;Z$7+7),"◆",""),"")</f>
        <v/>
      </c>
      <c r="AA14" s="73" t="str">
        <f aca="false">IF(AND($D14="Hito",ISNUMBER($K14)),IF(AND($K14&gt;=AA$7,$K14&lt;AA$7+7),"◆",""),"")</f>
        <v/>
      </c>
      <c r="AB14" s="73" t="str">
        <f aca="false">IF(AND($D14="Hito",ISNUMBER($K14)),IF(AND($K14&gt;=AB$7,$K14&lt;AB$7+7),"◆",""),"")</f>
        <v/>
      </c>
      <c r="AC14" s="73" t="str">
        <f aca="false">IF(AND($D14="Hito",ISNUMBER($K14)),IF(AND($K14&gt;=AC$7,$K14&lt;AC$7+7),"◆",""),"")</f>
        <v/>
      </c>
      <c r="AD14" s="73" t="str">
        <f aca="false">IF(AND($D14="Hito",ISNUMBER($K14)),IF(AND($K14&gt;=AD$7,$K14&lt;AD$7+7),"◆",""),"")</f>
        <v/>
      </c>
      <c r="AE14" s="73" t="str">
        <f aca="false">IF(AND($D14="Hito",ISNUMBER($K14)),IF(AND($K14&gt;=AE$7,$K14&lt;AE$7+7),"◆",""),"")</f>
        <v/>
      </c>
      <c r="AF14" s="73" t="str">
        <f aca="false">IF(AND($D14="Hito",ISNUMBER($K14)),IF(AND($K14&gt;=AF$7,$K14&lt;AF$7+7),"◆",""),"")</f>
        <v/>
      </c>
      <c r="AG14" s="73" t="str">
        <f aca="false">IF(AND($D14="Hito",ISNUMBER($K14)),IF(AND($K14&gt;=AG$7,$K14&lt;AG$7+7),"◆",""),"")</f>
        <v/>
      </c>
      <c r="AH14" s="73" t="str">
        <f aca="false">IF(AND($D14="Hito",ISNUMBER($K14)),IF(AND($K14&gt;=AH$7,$K14&lt;AH$7+7),"◆",""),"")</f>
        <v/>
      </c>
      <c r="AI14" s="73" t="str">
        <f aca="false">IF(AND($D14="Hito",ISNUMBER($K14)),IF(AND($K14&gt;=AI$7,$K14&lt;AI$7+7),"◆",""),"")</f>
        <v/>
      </c>
      <c r="AJ14" s="73" t="str">
        <f aca="false">IF(AND($D14="Hito",ISNUMBER($K14)),IF(AND($K14&gt;=AJ$7,$K14&lt;AJ$7+7),"◆",""),"")</f>
        <v/>
      </c>
      <c r="AK14" s="73" t="str">
        <f aca="false">IF(AND($D14="Hito",ISNUMBER($K14)),IF(AND($K14&gt;=AK$7,$K14&lt;AK$7+7),"◆",""),"")</f>
        <v/>
      </c>
      <c r="AL14" s="73" t="str">
        <f aca="false">IF(AND($D14="Hito",ISNUMBER($K14)),IF(AND($K14&gt;=AL$7,$K14&lt;AL$7+7),"◆",""),"")</f>
        <v/>
      </c>
      <c r="AM14" s="73" t="str">
        <f aca="false">IF(AND($D14="Hito",ISNUMBER($K14)),IF(AND($K14&gt;=AM$7,$K14&lt;AM$7+7),"◆",""),"")</f>
        <v/>
      </c>
      <c r="AN14" s="73" t="str">
        <f aca="false">IF(AND($D14="Hito",ISNUMBER($K14)),IF(AND($K14&gt;=AN$7,$K14&lt;AN$7+7),"◆",""),"")</f>
        <v/>
      </c>
      <c r="AO14" s="73" t="str">
        <f aca="false">IF(AND($D14="Hito",ISNUMBER($K14)),IF(AND($K14&gt;=AO$7,$K14&lt;AO$7+7),"◆",""),"")</f>
        <v/>
      </c>
      <c r="AP14" s="73" t="str">
        <f aca="false">IF(AND($D14="Hito",ISNUMBER($K14)),IF(AND($K14&gt;=AP$7,$K14&lt;AP$7+7),"◆",""),"")</f>
        <v/>
      </c>
      <c r="AQ14" s="73" t="str">
        <f aca="false">IF(AND($D14="Hito",ISNUMBER($K14)),IF(AND($K14&gt;=AQ$7,$K14&lt;AQ$7+7),"◆",""),"")</f>
        <v/>
      </c>
      <c r="AR14" s="73" t="str">
        <f aca="false">IF(AND($D14="Hito",ISNUMBER($K14)),IF(AND($K14&gt;=AR$7,$K14&lt;AR$7+7),"◆",""),"")</f>
        <v/>
      </c>
      <c r="AS14" s="73" t="str">
        <f aca="false">IF(AND($D14="Hito",ISNUMBER($K14)),IF(AND($K14&gt;=AS$7,$K14&lt;AS$7+7),"◆",""),"")</f>
        <v/>
      </c>
      <c r="AT14" s="73" t="str">
        <f aca="false">IF(AND($D14="Hito",ISNUMBER($K14)),IF(AND($K14&gt;=AT$7,$K14&lt;AT$7+7),"◆",""),"")</f>
        <v/>
      </c>
      <c r="AU14" s="73" t="str">
        <f aca="false">IF(AND($D14="Hito",ISNUMBER($K14)),IF(AND($K14&gt;=AU$7,$K14&lt;AU$7+7),"◆",""),"")</f>
        <v/>
      </c>
      <c r="AV14" s="73" t="str">
        <f aca="false">IF(AND($D14="Hito",ISNUMBER($K14)),IF(AND($K14&gt;=AV$7,$K14&lt;AV$7+7),"◆",""),"")</f>
        <v/>
      </c>
      <c r="AW14" s="73" t="str">
        <f aca="false">IF(AND($D14="Hito",ISNUMBER($K14)),IF(AND($K14&gt;=AW$7,$K14&lt;AW$7+7),"◆",""),"")</f>
        <v/>
      </c>
      <c r="AX14" s="73" t="str">
        <f aca="false">IF(AND($D14="Hito",ISNUMBER($K14)),IF(AND($K14&gt;=AX$7,$K14&lt;AX$7+7),"◆",""),"")</f>
        <v/>
      </c>
      <c r="AY14" s="73" t="str">
        <f aca="false">IF(AND($D14="Hito",ISNUMBER($K14)),IF(AND($K14&gt;=AY$7,$K14&lt;AY$7+7),"◆",""),"")</f>
        <v/>
      </c>
      <c r="AZ14" s="73" t="str">
        <f aca="false">IF(AND($D14="Hito",ISNUMBER($K14)),IF(AND($K14&gt;=AZ$7,$K14&lt;AZ$7+7),"◆",""),"")</f>
        <v/>
      </c>
      <c r="BA14" s="73" t="str">
        <f aca="false">IF(AND($D14="Hito",ISNUMBER($K14)),IF(AND($K14&gt;=BA$7,$K14&lt;BA$7+7),"◆",""),"")</f>
        <v/>
      </c>
      <c r="BB14" s="73" t="str">
        <f aca="false">IF(AND($D14="Hito",ISNUMBER($K14)),IF(AND($K14&gt;=BB$7,$K14&lt;BB$7+7),"◆",""),"")</f>
        <v/>
      </c>
      <c r="BC14" s="73" t="str">
        <f aca="false">IF(AND($D14="Hito",ISNUMBER($K14)),IF(AND($K14&gt;=BC$7,$K14&lt;BC$7+7),"◆",""),"")</f>
        <v/>
      </c>
      <c r="BD14" s="73" t="str">
        <f aca="false">IF(AND($D14="Hito",ISNUMBER($K14)),IF(AND($K14&gt;=BD$7,$K14&lt;BD$7+7),"◆",""),"")</f>
        <v/>
      </c>
      <c r="BE14" s="73" t="str">
        <f aca="false">IF(AND($D14="Hito",ISNUMBER($K14)),IF(AND($K14&gt;=BE$7,$K14&lt;BE$7+7),"◆",""),"")</f>
        <v/>
      </c>
      <c r="BF14" s="73" t="str">
        <f aca="false">IF(AND($D14="Hito",ISNUMBER($K14)),IF(AND($K14&gt;=BF$7,$K14&lt;BF$7+7),"◆",""),"")</f>
        <v/>
      </c>
      <c r="BG14" s="73" t="str">
        <f aca="false">IF(AND($D14="Hito",ISNUMBER($K14)),IF(AND($K14&gt;=BG$7,$K14&lt;BG$7+7),"◆",""),"")</f>
        <v/>
      </c>
      <c r="BH14" s="73" t="str">
        <f aca="false">IF(AND($D14="Hito",ISNUMBER($K14)),IF(AND($K14&gt;=BH$7,$K14&lt;BH$7+7),"◆",""),"")</f>
        <v/>
      </c>
      <c r="BI14" s="73" t="str">
        <f aca="false">IF(AND($D14="Hito",ISNUMBER($K14)),IF(AND($K14&gt;=BI$7,$K14&lt;BI$7+7),"◆",""),"")</f>
        <v/>
      </c>
      <c r="BJ14" s="73" t="str">
        <f aca="false">IF(AND($D14="Hito",ISNUMBER($K14)),IF(AND($K14&gt;=BJ$7,$K14&lt;BJ$7+7),"◆",""),"")</f>
        <v/>
      </c>
      <c r="BK14" s="73" t="str">
        <f aca="false">IF(AND($D14="Hito",ISNUMBER($K14)),IF(AND($K14&gt;=BK$7,$K14&lt;BK$7+7),"◆",""),"")</f>
        <v/>
      </c>
      <c r="BL14" s="73" t="str">
        <f aca="false">IF(AND($D14="Hito",ISNUMBER($K14)),IF(AND($K14&gt;=BL$7,$K14&lt;BL$7+7),"◆",""),"")</f>
        <v/>
      </c>
      <c r="BM14" s="73" t="str">
        <f aca="false">IF(AND($D14="Hito",ISNUMBER($K14)),IF(AND($K14&gt;=BM$7,$K14&lt;BM$7+7),"◆",""),"")</f>
        <v/>
      </c>
      <c r="BN14" s="73" t="str">
        <f aca="false">IF(AND($D14="Hito",ISNUMBER($K14)),IF(AND($K14&gt;=BN$7,$K14&lt;BN$7+7),"◆",""),"")</f>
        <v/>
      </c>
      <c r="BO14" s="73" t="str">
        <f aca="false">IF(AND($D14="Hito",ISNUMBER($K14)),IF(AND($K14&gt;=BO$7,$K14&lt;BO$7+7),"◆",""),"")</f>
        <v/>
      </c>
      <c r="BP14" s="73" t="str">
        <f aca="false">IF(AND($D14="Hito",ISNUMBER($K14)),IF(AND($K14&gt;=BP$7,$K14&lt;BP$7+7),"◆",""),"")</f>
        <v/>
      </c>
      <c r="BQ14" s="73" t="str">
        <f aca="false">IF(AND($D14="Hito",ISNUMBER($K14)),IF(AND($K14&gt;=BQ$7,$K14&lt;BQ$7+7),"◆",""),"")</f>
        <v/>
      </c>
      <c r="BR14" s="73" t="str">
        <f aca="false">IF(AND($D14="Hito",ISNUMBER($K14)),IF(AND($K14&gt;=BR$7,$K14&lt;BR$7+7),"◆",""),"")</f>
        <v/>
      </c>
      <c r="BS14" s="73" t="str">
        <f aca="false">IF(AND($D14="Hito",ISNUMBER($K14)),IF(AND($K14&gt;=BS$7,$K14&lt;BS$7+7),"◆",""),"")</f>
        <v/>
      </c>
      <c r="BT14" s="73" t="str">
        <f aca="false">IF(AND($D14="Hito",ISNUMBER($K14)),IF(AND($K14&gt;=BT$7,$K14&lt;BT$7+7),"◆",""),"")</f>
        <v/>
      </c>
      <c r="BU14" s="73" t="str">
        <f aca="false">IF(AND($D14="Hito",ISNUMBER($K14)),IF(AND($K14&gt;=BU$7,$K14&lt;BU$7+7),"◆",""),"")</f>
        <v/>
      </c>
      <c r="BV14" s="73" t="str">
        <f aca="false">IF(AND($D14="Hito",ISNUMBER($K14)),IF(AND($K14&gt;=BV$7,$K14&lt;BV$7+7),"◆",""),"")</f>
        <v/>
      </c>
      <c r="BW14" s="73" t="str">
        <f aca="false">IF(AND($D14="Hito",ISNUMBER($K14)),IF(AND($K14&gt;=BW$7,$K14&lt;BW$7+7),"◆",""),"")</f>
        <v/>
      </c>
      <c r="BX14" s="73" t="str">
        <f aca="false">IF(AND($D14="Hito",ISNUMBER($K14)),IF(AND($K14&gt;=BX$7,$K14&lt;BX$7+7),"◆",""),"")</f>
        <v/>
      </c>
    </row>
    <row r="15" customFormat="false" ht="18.75" hidden="false" customHeight="true" outlineLevel="1" collapsed="false">
      <c r="A15" s="6"/>
      <c r="B15" s="61" t="n">
        <v>6</v>
      </c>
      <c r="C15" s="62" t="s">
        <v>183</v>
      </c>
      <c r="D15" s="63" t="s">
        <v>183</v>
      </c>
      <c r="E15" s="64" t="s">
        <v>184</v>
      </c>
      <c r="F15" s="64"/>
      <c r="G15" s="61" t="n">
        <v>5</v>
      </c>
      <c r="H15" s="65"/>
      <c r="I15" s="61" t="n">
        <v>15</v>
      </c>
      <c r="J15" s="66" t="n">
        <f aca="true">IF(C15="","",IF(L15&lt;&gt;"",L15,IF(H15&lt;&gt;"",H15,IF(G15&lt;&gt;"",IFERROR(INDEX($T$8:$T$36,MATCH(G15,$B$8:$B$36,0))+IF(D15="Hito",0,1),IF(n_FInicio="",TODAY(),n_FInicio)),IF(n_FInicio="",TODAY(),n_FInicio)))))</f>
        <v>46328</v>
      </c>
      <c r="K15" s="66" t="n">
        <f aca="false">IF(C15="","",IF(M15&lt;&gt;"",M15,IF(D15="Hito",J15,J15+MAX(N(I15),1)-1)))</f>
        <v>46342</v>
      </c>
      <c r="L15" s="67"/>
      <c r="M15" s="67"/>
      <c r="N15" s="68"/>
      <c r="O15" s="69" t="n">
        <f aca="false">IF(C15="","",IF(N15&lt;&gt;"",N15,IF(M15&lt;&gt;"",1,IF(F15="",0,IF(D15="Instalación",MIN(1,IFERROR(SUMIFS('CORTES CLIENTE'!$O$20:$O$219,PRESUPUESTO!$V$7:$V$206,F15)/SUMIFS(PRESUPUESTO!$G$7:$G$206,PRESUPUESTO!$V$7:$V$206,F15),0)),IF(D15="Compra",MIN(1,IFERROR(SUMIFS('CONTROL DE MATERIALES'!$U$11:$U$210,PRESUPUESTO!$V$7:$V$206,F15)/SUMIFS('CONTROL DE MATERIALES'!$V$11:$V$210,PRESUPUESTO!$V$7:$V$206,F15),0)),0))))))</f>
        <v>0</v>
      </c>
      <c r="P15" s="70" t="str">
        <f aca="true">IF(C15="","",IF(D15="Hito",IF(O15&gt;=1,"Cumplido",IF(TODAY()&gt;K15,"Vencido","Pendiente")),IF(O15&gt;=1,"Terminada",IF(TODAY()&gt;K15,"Atrasada",IF(OR(O15&gt;0,L15&lt;&gt;""),"En curso",IF(TODAY()&gt;=J15,"Debe iniciar","Por iniciar"))))))</f>
        <v>Por iniciar</v>
      </c>
      <c r="Q15" s="71" t="n">
        <f aca="true">IF(OR(C15="",N(O15)&gt;=1),"",IF(TODAY()&gt;K15,TODAY()-K15,0))</f>
        <v>0</v>
      </c>
      <c r="R15" s="6" t="n">
        <f aca="false">COUNTIF($D$8:D15,"Fase")</f>
        <v>2</v>
      </c>
      <c r="S15" s="72" t="n">
        <f aca="false">IF(C15="","",J15)</f>
        <v>46328</v>
      </c>
      <c r="T15" s="72" t="n">
        <f aca="false">IF(C15="","",K15)</f>
        <v>46342</v>
      </c>
      <c r="U15" s="6" t="n">
        <f aca="false">IF(C15="","",MAX(N(I15),1))</f>
        <v>15</v>
      </c>
      <c r="V15" s="6" t="n">
        <f aca="false">IF(C15="","",U15*N(O15))</f>
        <v>0</v>
      </c>
      <c r="W15" s="6" t="str">
        <f aca="false">P15</f>
        <v>Por iniciar</v>
      </c>
      <c r="X15" s="6" t="n">
        <f aca="false">IF(Q15="","",N(Q15))</f>
        <v>0</v>
      </c>
      <c r="Y15" s="73" t="str">
        <f aca="false">IF(AND($D15="Hito",ISNUMBER($K15)),IF(AND($K15&gt;=Y$7,$K15&lt;Y$7+7),"◆",""),"")</f>
        <v/>
      </c>
      <c r="Z15" s="73" t="str">
        <f aca="false">IF(AND($D15="Hito",ISNUMBER($K15)),IF(AND($K15&gt;=Z$7,$K15&lt;Z$7+7),"◆",""),"")</f>
        <v/>
      </c>
      <c r="AA15" s="73" t="str">
        <f aca="false">IF(AND($D15="Hito",ISNUMBER($K15)),IF(AND($K15&gt;=AA$7,$K15&lt;AA$7+7),"◆",""),"")</f>
        <v/>
      </c>
      <c r="AB15" s="73" t="str">
        <f aca="false">IF(AND($D15="Hito",ISNUMBER($K15)),IF(AND($K15&gt;=AB$7,$K15&lt;AB$7+7),"◆",""),"")</f>
        <v/>
      </c>
      <c r="AC15" s="73" t="str">
        <f aca="false">IF(AND($D15="Hito",ISNUMBER($K15)),IF(AND($K15&gt;=AC$7,$K15&lt;AC$7+7),"◆",""),"")</f>
        <v/>
      </c>
      <c r="AD15" s="73" t="str">
        <f aca="false">IF(AND($D15="Hito",ISNUMBER($K15)),IF(AND($K15&gt;=AD$7,$K15&lt;AD$7+7),"◆",""),"")</f>
        <v/>
      </c>
      <c r="AE15" s="73" t="str">
        <f aca="false">IF(AND($D15="Hito",ISNUMBER($K15)),IF(AND($K15&gt;=AE$7,$K15&lt;AE$7+7),"◆",""),"")</f>
        <v/>
      </c>
      <c r="AF15" s="73" t="str">
        <f aca="false">IF(AND($D15="Hito",ISNUMBER($K15)),IF(AND($K15&gt;=AF$7,$K15&lt;AF$7+7),"◆",""),"")</f>
        <v/>
      </c>
      <c r="AG15" s="73" t="str">
        <f aca="false">IF(AND($D15="Hito",ISNUMBER($K15)),IF(AND($K15&gt;=AG$7,$K15&lt;AG$7+7),"◆",""),"")</f>
        <v/>
      </c>
      <c r="AH15" s="73" t="str">
        <f aca="false">IF(AND($D15="Hito",ISNUMBER($K15)),IF(AND($K15&gt;=AH$7,$K15&lt;AH$7+7),"◆",""),"")</f>
        <v/>
      </c>
      <c r="AI15" s="73" t="str">
        <f aca="false">IF(AND($D15="Hito",ISNUMBER($K15)),IF(AND($K15&gt;=AI$7,$K15&lt;AI$7+7),"◆",""),"")</f>
        <v/>
      </c>
      <c r="AJ15" s="73" t="str">
        <f aca="false">IF(AND($D15="Hito",ISNUMBER($K15)),IF(AND($K15&gt;=AJ$7,$K15&lt;AJ$7+7),"◆",""),"")</f>
        <v/>
      </c>
      <c r="AK15" s="73" t="str">
        <f aca="false">IF(AND($D15="Hito",ISNUMBER($K15)),IF(AND($K15&gt;=AK$7,$K15&lt;AK$7+7),"◆",""),"")</f>
        <v/>
      </c>
      <c r="AL15" s="73" t="str">
        <f aca="false">IF(AND($D15="Hito",ISNUMBER($K15)),IF(AND($K15&gt;=AL$7,$K15&lt;AL$7+7),"◆",""),"")</f>
        <v/>
      </c>
      <c r="AM15" s="73" t="str">
        <f aca="false">IF(AND($D15="Hito",ISNUMBER($K15)),IF(AND($K15&gt;=AM$7,$K15&lt;AM$7+7),"◆",""),"")</f>
        <v/>
      </c>
      <c r="AN15" s="73" t="str">
        <f aca="false">IF(AND($D15="Hito",ISNUMBER($K15)),IF(AND($K15&gt;=AN$7,$K15&lt;AN$7+7),"◆",""),"")</f>
        <v/>
      </c>
      <c r="AO15" s="73" t="str">
        <f aca="false">IF(AND($D15="Hito",ISNUMBER($K15)),IF(AND($K15&gt;=AO$7,$K15&lt;AO$7+7),"◆",""),"")</f>
        <v/>
      </c>
      <c r="AP15" s="73" t="str">
        <f aca="false">IF(AND($D15="Hito",ISNUMBER($K15)),IF(AND($K15&gt;=AP$7,$K15&lt;AP$7+7),"◆",""),"")</f>
        <v/>
      </c>
      <c r="AQ15" s="73" t="str">
        <f aca="false">IF(AND($D15="Hito",ISNUMBER($K15)),IF(AND($K15&gt;=AQ$7,$K15&lt;AQ$7+7),"◆",""),"")</f>
        <v/>
      </c>
      <c r="AR15" s="73" t="str">
        <f aca="false">IF(AND($D15="Hito",ISNUMBER($K15)),IF(AND($K15&gt;=AR$7,$K15&lt;AR$7+7),"◆",""),"")</f>
        <v/>
      </c>
      <c r="AS15" s="73" t="str">
        <f aca="false">IF(AND($D15="Hito",ISNUMBER($K15)),IF(AND($K15&gt;=AS$7,$K15&lt;AS$7+7),"◆",""),"")</f>
        <v/>
      </c>
      <c r="AT15" s="73" t="str">
        <f aca="false">IF(AND($D15="Hito",ISNUMBER($K15)),IF(AND($K15&gt;=AT$7,$K15&lt;AT$7+7),"◆",""),"")</f>
        <v/>
      </c>
      <c r="AU15" s="73" t="str">
        <f aca="false">IF(AND($D15="Hito",ISNUMBER($K15)),IF(AND($K15&gt;=AU$7,$K15&lt;AU$7+7),"◆",""),"")</f>
        <v/>
      </c>
      <c r="AV15" s="73" t="str">
        <f aca="false">IF(AND($D15="Hito",ISNUMBER($K15)),IF(AND($K15&gt;=AV$7,$K15&lt;AV$7+7),"◆",""),"")</f>
        <v/>
      </c>
      <c r="AW15" s="73" t="str">
        <f aca="false">IF(AND($D15="Hito",ISNUMBER($K15)),IF(AND($K15&gt;=AW$7,$K15&lt;AW$7+7),"◆",""),"")</f>
        <v/>
      </c>
      <c r="AX15" s="73" t="str">
        <f aca="false">IF(AND($D15="Hito",ISNUMBER($K15)),IF(AND($K15&gt;=AX$7,$K15&lt;AX$7+7),"◆",""),"")</f>
        <v/>
      </c>
      <c r="AY15" s="73" t="str">
        <f aca="false">IF(AND($D15="Hito",ISNUMBER($K15)),IF(AND($K15&gt;=AY$7,$K15&lt;AY$7+7),"◆",""),"")</f>
        <v/>
      </c>
      <c r="AZ15" s="73" t="str">
        <f aca="false">IF(AND($D15="Hito",ISNUMBER($K15)),IF(AND($K15&gt;=AZ$7,$K15&lt;AZ$7+7),"◆",""),"")</f>
        <v/>
      </c>
      <c r="BA15" s="73" t="str">
        <f aca="false">IF(AND($D15="Hito",ISNUMBER($K15)),IF(AND($K15&gt;=BA$7,$K15&lt;BA$7+7),"◆",""),"")</f>
        <v/>
      </c>
      <c r="BB15" s="73" t="str">
        <f aca="false">IF(AND($D15="Hito",ISNUMBER($K15)),IF(AND($K15&gt;=BB$7,$K15&lt;BB$7+7),"◆",""),"")</f>
        <v/>
      </c>
      <c r="BC15" s="73" t="str">
        <f aca="false">IF(AND($D15="Hito",ISNUMBER($K15)),IF(AND($K15&gt;=BC$7,$K15&lt;BC$7+7),"◆",""),"")</f>
        <v/>
      </c>
      <c r="BD15" s="73" t="str">
        <f aca="false">IF(AND($D15="Hito",ISNUMBER($K15)),IF(AND($K15&gt;=BD$7,$K15&lt;BD$7+7),"◆",""),"")</f>
        <v/>
      </c>
      <c r="BE15" s="73" t="str">
        <f aca="false">IF(AND($D15="Hito",ISNUMBER($K15)),IF(AND($K15&gt;=BE$7,$K15&lt;BE$7+7),"◆",""),"")</f>
        <v/>
      </c>
      <c r="BF15" s="73" t="str">
        <f aca="false">IF(AND($D15="Hito",ISNUMBER($K15)),IF(AND($K15&gt;=BF$7,$K15&lt;BF$7+7),"◆",""),"")</f>
        <v/>
      </c>
      <c r="BG15" s="73" t="str">
        <f aca="false">IF(AND($D15="Hito",ISNUMBER($K15)),IF(AND($K15&gt;=BG$7,$K15&lt;BG$7+7),"◆",""),"")</f>
        <v/>
      </c>
      <c r="BH15" s="73" t="str">
        <f aca="false">IF(AND($D15="Hito",ISNUMBER($K15)),IF(AND($K15&gt;=BH$7,$K15&lt;BH$7+7),"◆",""),"")</f>
        <v/>
      </c>
      <c r="BI15" s="73" t="str">
        <f aca="false">IF(AND($D15="Hito",ISNUMBER($K15)),IF(AND($K15&gt;=BI$7,$K15&lt;BI$7+7),"◆",""),"")</f>
        <v/>
      </c>
      <c r="BJ15" s="73" t="str">
        <f aca="false">IF(AND($D15="Hito",ISNUMBER($K15)),IF(AND($K15&gt;=BJ$7,$K15&lt;BJ$7+7),"◆",""),"")</f>
        <v/>
      </c>
      <c r="BK15" s="73" t="str">
        <f aca="false">IF(AND($D15="Hito",ISNUMBER($K15)),IF(AND($K15&gt;=BK$7,$K15&lt;BK$7+7),"◆",""),"")</f>
        <v/>
      </c>
      <c r="BL15" s="73" t="str">
        <f aca="false">IF(AND($D15="Hito",ISNUMBER($K15)),IF(AND($K15&gt;=BL$7,$K15&lt;BL$7+7),"◆",""),"")</f>
        <v/>
      </c>
      <c r="BM15" s="73" t="str">
        <f aca="false">IF(AND($D15="Hito",ISNUMBER($K15)),IF(AND($K15&gt;=BM$7,$K15&lt;BM$7+7),"◆",""),"")</f>
        <v/>
      </c>
      <c r="BN15" s="73" t="str">
        <f aca="false">IF(AND($D15="Hito",ISNUMBER($K15)),IF(AND($K15&gt;=BN$7,$K15&lt;BN$7+7),"◆",""),"")</f>
        <v/>
      </c>
      <c r="BO15" s="73" t="str">
        <f aca="false">IF(AND($D15="Hito",ISNUMBER($K15)),IF(AND($K15&gt;=BO$7,$K15&lt;BO$7+7),"◆",""),"")</f>
        <v/>
      </c>
      <c r="BP15" s="73" t="str">
        <f aca="false">IF(AND($D15="Hito",ISNUMBER($K15)),IF(AND($K15&gt;=BP$7,$K15&lt;BP$7+7),"◆",""),"")</f>
        <v/>
      </c>
      <c r="BQ15" s="73" t="str">
        <f aca="false">IF(AND($D15="Hito",ISNUMBER($K15)),IF(AND($K15&gt;=BQ$7,$K15&lt;BQ$7+7),"◆",""),"")</f>
        <v/>
      </c>
      <c r="BR15" s="73" t="str">
        <f aca="false">IF(AND($D15="Hito",ISNUMBER($K15)),IF(AND($K15&gt;=BR$7,$K15&lt;BR$7+7),"◆",""),"")</f>
        <v/>
      </c>
      <c r="BS15" s="73" t="str">
        <f aca="false">IF(AND($D15="Hito",ISNUMBER($K15)),IF(AND($K15&gt;=BS$7,$K15&lt;BS$7+7),"◆",""),"")</f>
        <v/>
      </c>
      <c r="BT15" s="73" t="str">
        <f aca="false">IF(AND($D15="Hito",ISNUMBER($K15)),IF(AND($K15&gt;=BT$7,$K15&lt;BT$7+7),"◆",""),"")</f>
        <v/>
      </c>
      <c r="BU15" s="73" t="str">
        <f aca="false">IF(AND($D15="Hito",ISNUMBER($K15)),IF(AND($K15&gt;=BU$7,$K15&lt;BU$7+7),"◆",""),"")</f>
        <v/>
      </c>
      <c r="BV15" s="73" t="str">
        <f aca="false">IF(AND($D15="Hito",ISNUMBER($K15)),IF(AND($K15&gt;=BV$7,$K15&lt;BV$7+7),"◆",""),"")</f>
        <v/>
      </c>
      <c r="BW15" s="73" t="str">
        <f aca="false">IF(AND($D15="Hito",ISNUMBER($K15)),IF(AND($K15&gt;=BW$7,$K15&lt;BW$7+7),"◆",""),"")</f>
        <v/>
      </c>
      <c r="BX15" s="73" t="str">
        <f aca="false">IF(AND($D15="Hito",ISNUMBER($K15)),IF(AND($K15&gt;=BX$7,$K15&lt;BX$7+7),"◆",""),"")</f>
        <v/>
      </c>
    </row>
    <row r="16" customFormat="false" ht="18.75" hidden="false" customHeight="true" outlineLevel="1" collapsed="false">
      <c r="A16" s="6"/>
      <c r="B16" s="61" t="n">
        <v>7</v>
      </c>
      <c r="C16" s="62" t="s">
        <v>185</v>
      </c>
      <c r="D16" s="63" t="s">
        <v>186</v>
      </c>
      <c r="E16" s="64" t="s">
        <v>187</v>
      </c>
      <c r="F16" s="64"/>
      <c r="G16" s="61" t="n">
        <v>6</v>
      </c>
      <c r="H16" s="65"/>
      <c r="I16" s="61" t="n">
        <v>3</v>
      </c>
      <c r="J16" s="66" t="n">
        <f aca="true">IF(C16="","",IF(L16&lt;&gt;"",L16,IF(H16&lt;&gt;"",H16,IF(G16&lt;&gt;"",IFERROR(INDEX($T$8:$T$36,MATCH(G16,$B$8:$B$36,0))+IF(D16="Hito",0,1),IF(n_FInicio="",TODAY(),n_FInicio)),IF(n_FInicio="",TODAY(),n_FInicio)))))</f>
        <v>46343</v>
      </c>
      <c r="K16" s="66" t="n">
        <f aca="false">IF(C16="","",IF(M16&lt;&gt;"",M16,IF(D16="Hito",J16,J16+MAX(N(I16),1)-1)))</f>
        <v>46345</v>
      </c>
      <c r="L16" s="67"/>
      <c r="M16" s="67"/>
      <c r="N16" s="68"/>
      <c r="O16" s="69" t="n">
        <f aca="false">IF(C16="","",IF(N16&lt;&gt;"",N16,IF(M16&lt;&gt;"",1,IF(F16="",0,IF(D16="Instalación",MIN(1,IFERROR(SUMIFS('CORTES CLIENTE'!$O$20:$O$219,PRESUPUESTO!$V$7:$V$206,F16)/SUMIFS(PRESUPUESTO!$G$7:$G$206,PRESUPUESTO!$V$7:$V$206,F16),0)),IF(D16="Compra",MIN(1,IFERROR(SUMIFS('CONTROL DE MATERIALES'!$U$11:$U$210,PRESUPUESTO!$V$7:$V$206,F16)/SUMIFS('CONTROL DE MATERIALES'!$V$11:$V$210,PRESUPUESTO!$V$7:$V$206,F16),0)),0))))))</f>
        <v>0</v>
      </c>
      <c r="P16" s="70" t="str">
        <f aca="true">IF(C16="","",IF(D16="Hito",IF(O16&gt;=1,"Cumplido",IF(TODAY()&gt;K16,"Vencido","Pendiente")),IF(O16&gt;=1,"Terminada",IF(TODAY()&gt;K16,"Atrasada",IF(OR(O16&gt;0,L16&lt;&gt;""),"En curso",IF(TODAY()&gt;=J16,"Debe iniciar","Por iniciar"))))))</f>
        <v>Por iniciar</v>
      </c>
      <c r="Q16" s="71" t="n">
        <f aca="true">IF(OR(C16="",N(O16)&gt;=1),"",IF(TODAY()&gt;K16,TODAY()-K16,0))</f>
        <v>0</v>
      </c>
      <c r="R16" s="6" t="n">
        <f aca="false">COUNTIF($D$8:D16,"Fase")</f>
        <v>2</v>
      </c>
      <c r="S16" s="72" t="n">
        <f aca="false">IF(C16="","",J16)</f>
        <v>46343</v>
      </c>
      <c r="T16" s="72" t="n">
        <f aca="false">IF(C16="","",K16)</f>
        <v>46345</v>
      </c>
      <c r="U16" s="6" t="n">
        <f aca="false">IF(C16="","",MAX(N(I16),1))</f>
        <v>3</v>
      </c>
      <c r="V16" s="6" t="n">
        <f aca="false">IF(C16="","",U16*N(O16))</f>
        <v>0</v>
      </c>
      <c r="W16" s="6" t="str">
        <f aca="false">P16</f>
        <v>Por iniciar</v>
      </c>
      <c r="X16" s="6" t="n">
        <f aca="false">IF(Q16="","",N(Q16))</f>
        <v>0</v>
      </c>
      <c r="Y16" s="73" t="str">
        <f aca="false">IF(AND($D16="Hito",ISNUMBER($K16)),IF(AND($K16&gt;=Y$7,$K16&lt;Y$7+7),"◆",""),"")</f>
        <v/>
      </c>
      <c r="Z16" s="73" t="str">
        <f aca="false">IF(AND($D16="Hito",ISNUMBER($K16)),IF(AND($K16&gt;=Z$7,$K16&lt;Z$7+7),"◆",""),"")</f>
        <v/>
      </c>
      <c r="AA16" s="73" t="str">
        <f aca="false">IF(AND($D16="Hito",ISNUMBER($K16)),IF(AND($K16&gt;=AA$7,$K16&lt;AA$7+7),"◆",""),"")</f>
        <v/>
      </c>
      <c r="AB16" s="73" t="str">
        <f aca="false">IF(AND($D16="Hito",ISNUMBER($K16)),IF(AND($K16&gt;=AB$7,$K16&lt;AB$7+7),"◆",""),"")</f>
        <v/>
      </c>
      <c r="AC16" s="73" t="str">
        <f aca="false">IF(AND($D16="Hito",ISNUMBER($K16)),IF(AND($K16&gt;=AC$7,$K16&lt;AC$7+7),"◆",""),"")</f>
        <v/>
      </c>
      <c r="AD16" s="73" t="str">
        <f aca="false">IF(AND($D16="Hito",ISNUMBER($K16)),IF(AND($K16&gt;=AD$7,$K16&lt;AD$7+7),"◆",""),"")</f>
        <v/>
      </c>
      <c r="AE16" s="73" t="str">
        <f aca="false">IF(AND($D16="Hito",ISNUMBER($K16)),IF(AND($K16&gt;=AE$7,$K16&lt;AE$7+7),"◆",""),"")</f>
        <v/>
      </c>
      <c r="AF16" s="73" t="str">
        <f aca="false">IF(AND($D16="Hito",ISNUMBER($K16)),IF(AND($K16&gt;=AF$7,$K16&lt;AF$7+7),"◆",""),"")</f>
        <v/>
      </c>
      <c r="AG16" s="73" t="str">
        <f aca="false">IF(AND($D16="Hito",ISNUMBER($K16)),IF(AND($K16&gt;=AG$7,$K16&lt;AG$7+7),"◆",""),"")</f>
        <v/>
      </c>
      <c r="AH16" s="73" t="str">
        <f aca="false">IF(AND($D16="Hito",ISNUMBER($K16)),IF(AND($K16&gt;=AH$7,$K16&lt;AH$7+7),"◆",""),"")</f>
        <v/>
      </c>
      <c r="AI16" s="73" t="str">
        <f aca="false">IF(AND($D16="Hito",ISNUMBER($K16)),IF(AND($K16&gt;=AI$7,$K16&lt;AI$7+7),"◆",""),"")</f>
        <v/>
      </c>
      <c r="AJ16" s="73" t="str">
        <f aca="false">IF(AND($D16="Hito",ISNUMBER($K16)),IF(AND($K16&gt;=AJ$7,$K16&lt;AJ$7+7),"◆",""),"")</f>
        <v/>
      </c>
      <c r="AK16" s="73" t="str">
        <f aca="false">IF(AND($D16="Hito",ISNUMBER($K16)),IF(AND($K16&gt;=AK$7,$K16&lt;AK$7+7),"◆",""),"")</f>
        <v/>
      </c>
      <c r="AL16" s="73" t="str">
        <f aca="false">IF(AND($D16="Hito",ISNUMBER($K16)),IF(AND($K16&gt;=AL$7,$K16&lt;AL$7+7),"◆",""),"")</f>
        <v/>
      </c>
      <c r="AM16" s="73" t="str">
        <f aca="false">IF(AND($D16="Hito",ISNUMBER($K16)),IF(AND($K16&gt;=AM$7,$K16&lt;AM$7+7),"◆",""),"")</f>
        <v/>
      </c>
      <c r="AN16" s="73" t="str">
        <f aca="false">IF(AND($D16="Hito",ISNUMBER($K16)),IF(AND($K16&gt;=AN$7,$K16&lt;AN$7+7),"◆",""),"")</f>
        <v/>
      </c>
      <c r="AO16" s="73" t="str">
        <f aca="false">IF(AND($D16="Hito",ISNUMBER($K16)),IF(AND($K16&gt;=AO$7,$K16&lt;AO$7+7),"◆",""),"")</f>
        <v/>
      </c>
      <c r="AP16" s="73" t="str">
        <f aca="false">IF(AND($D16="Hito",ISNUMBER($K16)),IF(AND($K16&gt;=AP$7,$K16&lt;AP$7+7),"◆",""),"")</f>
        <v/>
      </c>
      <c r="AQ16" s="73" t="str">
        <f aca="false">IF(AND($D16="Hito",ISNUMBER($K16)),IF(AND($K16&gt;=AQ$7,$K16&lt;AQ$7+7),"◆",""),"")</f>
        <v/>
      </c>
      <c r="AR16" s="73" t="str">
        <f aca="false">IF(AND($D16="Hito",ISNUMBER($K16)),IF(AND($K16&gt;=AR$7,$K16&lt;AR$7+7),"◆",""),"")</f>
        <v/>
      </c>
      <c r="AS16" s="73" t="str">
        <f aca="false">IF(AND($D16="Hito",ISNUMBER($K16)),IF(AND($K16&gt;=AS$7,$K16&lt;AS$7+7),"◆",""),"")</f>
        <v/>
      </c>
      <c r="AT16" s="73" t="str">
        <f aca="false">IF(AND($D16="Hito",ISNUMBER($K16)),IF(AND($K16&gt;=AT$7,$K16&lt;AT$7+7),"◆",""),"")</f>
        <v/>
      </c>
      <c r="AU16" s="73" t="str">
        <f aca="false">IF(AND($D16="Hito",ISNUMBER($K16)),IF(AND($K16&gt;=AU$7,$K16&lt;AU$7+7),"◆",""),"")</f>
        <v/>
      </c>
      <c r="AV16" s="73" t="str">
        <f aca="false">IF(AND($D16="Hito",ISNUMBER($K16)),IF(AND($K16&gt;=AV$7,$K16&lt;AV$7+7),"◆",""),"")</f>
        <v/>
      </c>
      <c r="AW16" s="73" t="str">
        <f aca="false">IF(AND($D16="Hito",ISNUMBER($K16)),IF(AND($K16&gt;=AW$7,$K16&lt;AW$7+7),"◆",""),"")</f>
        <v/>
      </c>
      <c r="AX16" s="73" t="str">
        <f aca="false">IF(AND($D16="Hito",ISNUMBER($K16)),IF(AND($K16&gt;=AX$7,$K16&lt;AX$7+7),"◆",""),"")</f>
        <v/>
      </c>
      <c r="AY16" s="73" t="str">
        <f aca="false">IF(AND($D16="Hito",ISNUMBER($K16)),IF(AND($K16&gt;=AY$7,$K16&lt;AY$7+7),"◆",""),"")</f>
        <v/>
      </c>
      <c r="AZ16" s="73" t="str">
        <f aca="false">IF(AND($D16="Hito",ISNUMBER($K16)),IF(AND($K16&gt;=AZ$7,$K16&lt;AZ$7+7),"◆",""),"")</f>
        <v/>
      </c>
      <c r="BA16" s="73" t="str">
        <f aca="false">IF(AND($D16="Hito",ISNUMBER($K16)),IF(AND($K16&gt;=BA$7,$K16&lt;BA$7+7),"◆",""),"")</f>
        <v/>
      </c>
      <c r="BB16" s="73" t="str">
        <f aca="false">IF(AND($D16="Hito",ISNUMBER($K16)),IF(AND($K16&gt;=BB$7,$K16&lt;BB$7+7),"◆",""),"")</f>
        <v/>
      </c>
      <c r="BC16" s="73" t="str">
        <f aca="false">IF(AND($D16="Hito",ISNUMBER($K16)),IF(AND($K16&gt;=BC$7,$K16&lt;BC$7+7),"◆",""),"")</f>
        <v/>
      </c>
      <c r="BD16" s="73" t="str">
        <f aca="false">IF(AND($D16="Hito",ISNUMBER($K16)),IF(AND($K16&gt;=BD$7,$K16&lt;BD$7+7),"◆",""),"")</f>
        <v/>
      </c>
      <c r="BE16" s="73" t="str">
        <f aca="false">IF(AND($D16="Hito",ISNUMBER($K16)),IF(AND($K16&gt;=BE$7,$K16&lt;BE$7+7),"◆",""),"")</f>
        <v/>
      </c>
      <c r="BF16" s="73" t="str">
        <f aca="false">IF(AND($D16="Hito",ISNUMBER($K16)),IF(AND($K16&gt;=BF$7,$K16&lt;BF$7+7),"◆",""),"")</f>
        <v/>
      </c>
      <c r="BG16" s="73" t="str">
        <f aca="false">IF(AND($D16="Hito",ISNUMBER($K16)),IF(AND($K16&gt;=BG$7,$K16&lt;BG$7+7),"◆",""),"")</f>
        <v/>
      </c>
      <c r="BH16" s="73" t="str">
        <f aca="false">IF(AND($D16="Hito",ISNUMBER($K16)),IF(AND($K16&gt;=BH$7,$K16&lt;BH$7+7),"◆",""),"")</f>
        <v/>
      </c>
      <c r="BI16" s="73" t="str">
        <f aca="false">IF(AND($D16="Hito",ISNUMBER($K16)),IF(AND($K16&gt;=BI$7,$K16&lt;BI$7+7),"◆",""),"")</f>
        <v/>
      </c>
      <c r="BJ16" s="73" t="str">
        <f aca="false">IF(AND($D16="Hito",ISNUMBER($K16)),IF(AND($K16&gt;=BJ$7,$K16&lt;BJ$7+7),"◆",""),"")</f>
        <v/>
      </c>
      <c r="BK16" s="73" t="str">
        <f aca="false">IF(AND($D16="Hito",ISNUMBER($K16)),IF(AND($K16&gt;=BK$7,$K16&lt;BK$7+7),"◆",""),"")</f>
        <v/>
      </c>
      <c r="BL16" s="73" t="str">
        <f aca="false">IF(AND($D16="Hito",ISNUMBER($K16)),IF(AND($K16&gt;=BL$7,$K16&lt;BL$7+7),"◆",""),"")</f>
        <v/>
      </c>
      <c r="BM16" s="73" t="str">
        <f aca="false">IF(AND($D16="Hito",ISNUMBER($K16)),IF(AND($K16&gt;=BM$7,$K16&lt;BM$7+7),"◆",""),"")</f>
        <v/>
      </c>
      <c r="BN16" s="73" t="str">
        <f aca="false">IF(AND($D16="Hito",ISNUMBER($K16)),IF(AND($K16&gt;=BN$7,$K16&lt;BN$7+7),"◆",""),"")</f>
        <v/>
      </c>
      <c r="BO16" s="73" t="str">
        <f aca="false">IF(AND($D16="Hito",ISNUMBER($K16)),IF(AND($K16&gt;=BO$7,$K16&lt;BO$7+7),"◆",""),"")</f>
        <v/>
      </c>
      <c r="BP16" s="73" t="str">
        <f aca="false">IF(AND($D16="Hito",ISNUMBER($K16)),IF(AND($K16&gt;=BP$7,$K16&lt;BP$7+7),"◆",""),"")</f>
        <v/>
      </c>
      <c r="BQ16" s="73" t="str">
        <f aca="false">IF(AND($D16="Hito",ISNUMBER($K16)),IF(AND($K16&gt;=BQ$7,$K16&lt;BQ$7+7),"◆",""),"")</f>
        <v/>
      </c>
      <c r="BR16" s="73" t="str">
        <f aca="false">IF(AND($D16="Hito",ISNUMBER($K16)),IF(AND($K16&gt;=BR$7,$K16&lt;BR$7+7),"◆",""),"")</f>
        <v/>
      </c>
      <c r="BS16" s="73" t="str">
        <f aca="false">IF(AND($D16="Hito",ISNUMBER($K16)),IF(AND($K16&gt;=BS$7,$K16&lt;BS$7+7),"◆",""),"")</f>
        <v/>
      </c>
      <c r="BT16" s="73" t="str">
        <f aca="false">IF(AND($D16="Hito",ISNUMBER($K16)),IF(AND($K16&gt;=BT$7,$K16&lt;BT$7+7),"◆",""),"")</f>
        <v/>
      </c>
      <c r="BU16" s="73" t="str">
        <f aca="false">IF(AND($D16="Hito",ISNUMBER($K16)),IF(AND($K16&gt;=BU$7,$K16&lt;BU$7+7),"◆",""),"")</f>
        <v/>
      </c>
      <c r="BV16" s="73" t="str">
        <f aca="false">IF(AND($D16="Hito",ISNUMBER($K16)),IF(AND($K16&gt;=BV$7,$K16&lt;BV$7+7),"◆",""),"")</f>
        <v/>
      </c>
      <c r="BW16" s="73" t="str">
        <f aca="false">IF(AND($D16="Hito",ISNUMBER($K16)),IF(AND($K16&gt;=BW$7,$K16&lt;BW$7+7),"◆",""),"")</f>
        <v/>
      </c>
      <c r="BX16" s="73" t="str">
        <f aca="false">IF(AND($D16="Hito",ISNUMBER($K16)),IF(AND($K16&gt;=BX$7,$K16&lt;BX$7+7),"◆",""),"")</f>
        <v/>
      </c>
    </row>
    <row r="17" customFormat="false" ht="18.75" hidden="false" customHeight="true" outlineLevel="1" collapsed="false">
      <c r="A17" s="6"/>
      <c r="B17" s="61"/>
      <c r="C17" s="62"/>
      <c r="D17" s="63"/>
      <c r="E17" s="64"/>
      <c r="F17" s="64"/>
      <c r="G17" s="61"/>
      <c r="H17" s="65"/>
      <c r="I17" s="61"/>
      <c r="J17" s="66" t="str">
        <f aca="true">IF(C17="","",IF(L17&lt;&gt;"",L17,IF(H17&lt;&gt;"",H17,IF(G17&lt;&gt;"",IFERROR(INDEX($T$8:$T$36,MATCH(G17,$B$8:$B$36,0))+IF(D17="Hito",0,1),IF(n_FInicio="",TODAY(),n_FInicio)),IF(n_FInicio="",TODAY(),n_FInicio)))))</f>
        <v/>
      </c>
      <c r="K17" s="66" t="str">
        <f aca="false">IF(C17="","",IF(M17&lt;&gt;"",M17,IF(D17="Hito",J17,J17+MAX(N(I17),1)-1)))</f>
        <v/>
      </c>
      <c r="L17" s="67"/>
      <c r="M17" s="67"/>
      <c r="N17" s="68"/>
      <c r="O17" s="69" t="str">
        <f aca="false">IF(C17="","",IF(N17&lt;&gt;"",N17,IF(M17&lt;&gt;"",1,IF(F17="",0,IF(D17="Instalación",MIN(1,IFERROR(SUMIFS('CORTES CLIENTE'!$O$20:$O$219,PRESUPUESTO!$V$7:$V$206,F17)/SUMIFS(PRESUPUESTO!$G$7:$G$206,PRESUPUESTO!$V$7:$V$206,F17),0)),IF(D17="Compra",MIN(1,IFERROR(SUMIFS('CONTROL DE MATERIALES'!$U$11:$U$210,PRESUPUESTO!$V$7:$V$206,F17)/SUMIFS('CONTROL DE MATERIALES'!$V$11:$V$210,PRESUPUESTO!$V$7:$V$206,F17),0)),0))))))</f>
        <v/>
      </c>
      <c r="P17" s="70" t="str">
        <f aca="true">IF(C17="","",IF(D17="Hito",IF(O17&gt;=1,"Cumplido",IF(TODAY()&gt;K17,"Vencido","Pendiente")),IF(O17&gt;=1,"Terminada",IF(TODAY()&gt;K17,"Atrasada",IF(OR(O17&gt;0,L17&lt;&gt;""),"En curso",IF(TODAY()&gt;=J17,"Debe iniciar","Por iniciar"))))))</f>
        <v/>
      </c>
      <c r="Q17" s="71" t="str">
        <f aca="true">IF(OR(C17="",N(O17)&gt;=1),"",IF(TODAY()&gt;K17,TODAY()-K17,0))</f>
        <v/>
      </c>
      <c r="R17" s="6" t="n">
        <f aca="false">COUNTIF($D$8:D17,"Fase")</f>
        <v>2</v>
      </c>
      <c r="S17" s="6" t="str">
        <f aca="false">IF(C17="","",J17)</f>
        <v/>
      </c>
      <c r="T17" s="6" t="str">
        <f aca="false">IF(C17="","",K17)</f>
        <v/>
      </c>
      <c r="U17" s="6" t="str">
        <f aca="false">IF(C17="","",MAX(N(I17),1))</f>
        <v/>
      </c>
      <c r="V17" s="6" t="str">
        <f aca="false">IF(C17="","",U17*N(O17))</f>
        <v/>
      </c>
      <c r="W17" s="6" t="str">
        <f aca="false">P17</f>
        <v/>
      </c>
      <c r="X17" s="6" t="str">
        <f aca="false">IF(Q17="","",N(Q17))</f>
        <v/>
      </c>
      <c r="Y17" s="73" t="str">
        <f aca="false">IF(AND($D17="Hito",ISNUMBER($K17)),IF(AND($K17&gt;=Y$7,$K17&lt;Y$7+7),"◆",""),"")</f>
        <v/>
      </c>
      <c r="Z17" s="73" t="str">
        <f aca="false">IF(AND($D17="Hito",ISNUMBER($K17)),IF(AND($K17&gt;=Z$7,$K17&lt;Z$7+7),"◆",""),"")</f>
        <v/>
      </c>
      <c r="AA17" s="73" t="str">
        <f aca="false">IF(AND($D17="Hito",ISNUMBER($K17)),IF(AND($K17&gt;=AA$7,$K17&lt;AA$7+7),"◆",""),"")</f>
        <v/>
      </c>
      <c r="AB17" s="73" t="str">
        <f aca="false">IF(AND($D17="Hito",ISNUMBER($K17)),IF(AND($K17&gt;=AB$7,$K17&lt;AB$7+7),"◆",""),"")</f>
        <v/>
      </c>
      <c r="AC17" s="73" t="str">
        <f aca="false">IF(AND($D17="Hito",ISNUMBER($K17)),IF(AND($K17&gt;=AC$7,$K17&lt;AC$7+7),"◆",""),"")</f>
        <v/>
      </c>
      <c r="AD17" s="73" t="str">
        <f aca="false">IF(AND($D17="Hito",ISNUMBER($K17)),IF(AND($K17&gt;=AD$7,$K17&lt;AD$7+7),"◆",""),"")</f>
        <v/>
      </c>
      <c r="AE17" s="73" t="str">
        <f aca="false">IF(AND($D17="Hito",ISNUMBER($K17)),IF(AND($K17&gt;=AE$7,$K17&lt;AE$7+7),"◆",""),"")</f>
        <v/>
      </c>
      <c r="AF17" s="73" t="str">
        <f aca="false">IF(AND($D17="Hito",ISNUMBER($K17)),IF(AND($K17&gt;=AF$7,$K17&lt;AF$7+7),"◆",""),"")</f>
        <v/>
      </c>
      <c r="AG17" s="73" t="str">
        <f aca="false">IF(AND($D17="Hito",ISNUMBER($K17)),IF(AND($K17&gt;=AG$7,$K17&lt;AG$7+7),"◆",""),"")</f>
        <v/>
      </c>
      <c r="AH17" s="73" t="str">
        <f aca="false">IF(AND($D17="Hito",ISNUMBER($K17)),IF(AND($K17&gt;=AH$7,$K17&lt;AH$7+7),"◆",""),"")</f>
        <v/>
      </c>
      <c r="AI17" s="73" t="str">
        <f aca="false">IF(AND($D17="Hito",ISNUMBER($K17)),IF(AND($K17&gt;=AI$7,$K17&lt;AI$7+7),"◆",""),"")</f>
        <v/>
      </c>
      <c r="AJ17" s="73" t="str">
        <f aca="false">IF(AND($D17="Hito",ISNUMBER($K17)),IF(AND($K17&gt;=AJ$7,$K17&lt;AJ$7+7),"◆",""),"")</f>
        <v/>
      </c>
      <c r="AK17" s="73" t="str">
        <f aca="false">IF(AND($D17="Hito",ISNUMBER($K17)),IF(AND($K17&gt;=AK$7,$K17&lt;AK$7+7),"◆",""),"")</f>
        <v/>
      </c>
      <c r="AL17" s="73" t="str">
        <f aca="false">IF(AND($D17="Hito",ISNUMBER($K17)),IF(AND($K17&gt;=AL$7,$K17&lt;AL$7+7),"◆",""),"")</f>
        <v/>
      </c>
      <c r="AM17" s="73" t="str">
        <f aca="false">IF(AND($D17="Hito",ISNUMBER($K17)),IF(AND($K17&gt;=AM$7,$K17&lt;AM$7+7),"◆",""),"")</f>
        <v/>
      </c>
      <c r="AN17" s="73" t="str">
        <f aca="false">IF(AND($D17="Hito",ISNUMBER($K17)),IF(AND($K17&gt;=AN$7,$K17&lt;AN$7+7),"◆",""),"")</f>
        <v/>
      </c>
      <c r="AO17" s="73" t="str">
        <f aca="false">IF(AND($D17="Hito",ISNUMBER($K17)),IF(AND($K17&gt;=AO$7,$K17&lt;AO$7+7),"◆",""),"")</f>
        <v/>
      </c>
      <c r="AP17" s="73" t="str">
        <f aca="false">IF(AND($D17="Hito",ISNUMBER($K17)),IF(AND($K17&gt;=AP$7,$K17&lt;AP$7+7),"◆",""),"")</f>
        <v/>
      </c>
      <c r="AQ17" s="73" t="str">
        <f aca="false">IF(AND($D17="Hito",ISNUMBER($K17)),IF(AND($K17&gt;=AQ$7,$K17&lt;AQ$7+7),"◆",""),"")</f>
        <v/>
      </c>
      <c r="AR17" s="73" t="str">
        <f aca="false">IF(AND($D17="Hito",ISNUMBER($K17)),IF(AND($K17&gt;=AR$7,$K17&lt;AR$7+7),"◆",""),"")</f>
        <v/>
      </c>
      <c r="AS17" s="73" t="str">
        <f aca="false">IF(AND($D17="Hito",ISNUMBER($K17)),IF(AND($K17&gt;=AS$7,$K17&lt;AS$7+7),"◆",""),"")</f>
        <v/>
      </c>
      <c r="AT17" s="73" t="str">
        <f aca="false">IF(AND($D17="Hito",ISNUMBER($K17)),IF(AND($K17&gt;=AT$7,$K17&lt;AT$7+7),"◆",""),"")</f>
        <v/>
      </c>
      <c r="AU17" s="73" t="str">
        <f aca="false">IF(AND($D17="Hito",ISNUMBER($K17)),IF(AND($K17&gt;=AU$7,$K17&lt;AU$7+7),"◆",""),"")</f>
        <v/>
      </c>
      <c r="AV17" s="73" t="str">
        <f aca="false">IF(AND($D17="Hito",ISNUMBER($K17)),IF(AND($K17&gt;=AV$7,$K17&lt;AV$7+7),"◆",""),"")</f>
        <v/>
      </c>
      <c r="AW17" s="73" t="str">
        <f aca="false">IF(AND($D17="Hito",ISNUMBER($K17)),IF(AND($K17&gt;=AW$7,$K17&lt;AW$7+7),"◆",""),"")</f>
        <v/>
      </c>
      <c r="AX17" s="73" t="str">
        <f aca="false">IF(AND($D17="Hito",ISNUMBER($K17)),IF(AND($K17&gt;=AX$7,$K17&lt;AX$7+7),"◆",""),"")</f>
        <v/>
      </c>
      <c r="AY17" s="73" t="str">
        <f aca="false">IF(AND($D17="Hito",ISNUMBER($K17)),IF(AND($K17&gt;=AY$7,$K17&lt;AY$7+7),"◆",""),"")</f>
        <v/>
      </c>
      <c r="AZ17" s="73" t="str">
        <f aca="false">IF(AND($D17="Hito",ISNUMBER($K17)),IF(AND($K17&gt;=AZ$7,$K17&lt;AZ$7+7),"◆",""),"")</f>
        <v/>
      </c>
      <c r="BA17" s="73" t="str">
        <f aca="false">IF(AND($D17="Hito",ISNUMBER($K17)),IF(AND($K17&gt;=BA$7,$K17&lt;BA$7+7),"◆",""),"")</f>
        <v/>
      </c>
      <c r="BB17" s="73" t="str">
        <f aca="false">IF(AND($D17="Hito",ISNUMBER($K17)),IF(AND($K17&gt;=BB$7,$K17&lt;BB$7+7),"◆",""),"")</f>
        <v/>
      </c>
      <c r="BC17" s="73" t="str">
        <f aca="false">IF(AND($D17="Hito",ISNUMBER($K17)),IF(AND($K17&gt;=BC$7,$K17&lt;BC$7+7),"◆",""),"")</f>
        <v/>
      </c>
      <c r="BD17" s="73" t="str">
        <f aca="false">IF(AND($D17="Hito",ISNUMBER($K17)),IF(AND($K17&gt;=BD$7,$K17&lt;BD$7+7),"◆",""),"")</f>
        <v/>
      </c>
      <c r="BE17" s="73" t="str">
        <f aca="false">IF(AND($D17="Hito",ISNUMBER($K17)),IF(AND($K17&gt;=BE$7,$K17&lt;BE$7+7),"◆",""),"")</f>
        <v/>
      </c>
      <c r="BF17" s="73" t="str">
        <f aca="false">IF(AND($D17="Hito",ISNUMBER($K17)),IF(AND($K17&gt;=BF$7,$K17&lt;BF$7+7),"◆",""),"")</f>
        <v/>
      </c>
      <c r="BG17" s="73" t="str">
        <f aca="false">IF(AND($D17="Hito",ISNUMBER($K17)),IF(AND($K17&gt;=BG$7,$K17&lt;BG$7+7),"◆",""),"")</f>
        <v/>
      </c>
      <c r="BH17" s="73" t="str">
        <f aca="false">IF(AND($D17="Hito",ISNUMBER($K17)),IF(AND($K17&gt;=BH$7,$K17&lt;BH$7+7),"◆",""),"")</f>
        <v/>
      </c>
      <c r="BI17" s="73" t="str">
        <f aca="false">IF(AND($D17="Hito",ISNUMBER($K17)),IF(AND($K17&gt;=BI$7,$K17&lt;BI$7+7),"◆",""),"")</f>
        <v/>
      </c>
      <c r="BJ17" s="73" t="str">
        <f aca="false">IF(AND($D17="Hito",ISNUMBER($K17)),IF(AND($K17&gt;=BJ$7,$K17&lt;BJ$7+7),"◆",""),"")</f>
        <v/>
      </c>
      <c r="BK17" s="73" t="str">
        <f aca="false">IF(AND($D17="Hito",ISNUMBER($K17)),IF(AND($K17&gt;=BK$7,$K17&lt;BK$7+7),"◆",""),"")</f>
        <v/>
      </c>
      <c r="BL17" s="73" t="str">
        <f aca="false">IF(AND($D17="Hito",ISNUMBER($K17)),IF(AND($K17&gt;=BL$7,$K17&lt;BL$7+7),"◆",""),"")</f>
        <v/>
      </c>
      <c r="BM17" s="73" t="str">
        <f aca="false">IF(AND($D17="Hito",ISNUMBER($K17)),IF(AND($K17&gt;=BM$7,$K17&lt;BM$7+7),"◆",""),"")</f>
        <v/>
      </c>
      <c r="BN17" s="73" t="str">
        <f aca="false">IF(AND($D17="Hito",ISNUMBER($K17)),IF(AND($K17&gt;=BN$7,$K17&lt;BN$7+7),"◆",""),"")</f>
        <v/>
      </c>
      <c r="BO17" s="73" t="str">
        <f aca="false">IF(AND($D17="Hito",ISNUMBER($K17)),IF(AND($K17&gt;=BO$7,$K17&lt;BO$7+7),"◆",""),"")</f>
        <v/>
      </c>
      <c r="BP17" s="73" t="str">
        <f aca="false">IF(AND($D17="Hito",ISNUMBER($K17)),IF(AND($K17&gt;=BP$7,$K17&lt;BP$7+7),"◆",""),"")</f>
        <v/>
      </c>
      <c r="BQ17" s="73" t="str">
        <f aca="false">IF(AND($D17="Hito",ISNUMBER($K17)),IF(AND($K17&gt;=BQ$7,$K17&lt;BQ$7+7),"◆",""),"")</f>
        <v/>
      </c>
      <c r="BR17" s="73" t="str">
        <f aca="false">IF(AND($D17="Hito",ISNUMBER($K17)),IF(AND($K17&gt;=BR$7,$K17&lt;BR$7+7),"◆",""),"")</f>
        <v/>
      </c>
      <c r="BS17" s="73" t="str">
        <f aca="false">IF(AND($D17="Hito",ISNUMBER($K17)),IF(AND($K17&gt;=BS$7,$K17&lt;BS$7+7),"◆",""),"")</f>
        <v/>
      </c>
      <c r="BT17" s="73" t="str">
        <f aca="false">IF(AND($D17="Hito",ISNUMBER($K17)),IF(AND($K17&gt;=BT$7,$K17&lt;BT$7+7),"◆",""),"")</f>
        <v/>
      </c>
      <c r="BU17" s="73" t="str">
        <f aca="false">IF(AND($D17="Hito",ISNUMBER($K17)),IF(AND($K17&gt;=BU$7,$K17&lt;BU$7+7),"◆",""),"")</f>
        <v/>
      </c>
      <c r="BV17" s="73" t="str">
        <f aca="false">IF(AND($D17="Hito",ISNUMBER($K17)),IF(AND($K17&gt;=BV$7,$K17&lt;BV$7+7),"◆",""),"")</f>
        <v/>
      </c>
      <c r="BW17" s="73" t="str">
        <f aca="false">IF(AND($D17="Hito",ISNUMBER($K17)),IF(AND($K17&gt;=BW$7,$K17&lt;BW$7+7),"◆",""),"")</f>
        <v/>
      </c>
      <c r="BX17" s="73" t="str">
        <f aca="false">IF(AND($D17="Hito",ISNUMBER($K17)),IF(AND($K17&gt;=BX$7,$K17&lt;BX$7+7),"◆",""),"")</f>
        <v/>
      </c>
    </row>
    <row r="18" customFormat="false" ht="18.75" hidden="false" customHeight="true" outlineLevel="1" collapsed="false">
      <c r="A18" s="6"/>
      <c r="B18" s="61"/>
      <c r="C18" s="62"/>
      <c r="D18" s="63"/>
      <c r="E18" s="64"/>
      <c r="F18" s="64"/>
      <c r="G18" s="61"/>
      <c r="H18" s="65"/>
      <c r="I18" s="61"/>
      <c r="J18" s="66" t="str">
        <f aca="true">IF(C18="","",IF(L18&lt;&gt;"",L18,IF(H18&lt;&gt;"",H18,IF(G18&lt;&gt;"",IFERROR(INDEX($T$8:$T$36,MATCH(G18,$B$8:$B$36,0))+IF(D18="Hito",0,1),IF(n_FInicio="",TODAY(),n_FInicio)),IF(n_FInicio="",TODAY(),n_FInicio)))))</f>
        <v/>
      </c>
      <c r="K18" s="66" t="str">
        <f aca="false">IF(C18="","",IF(M18&lt;&gt;"",M18,IF(D18="Hito",J18,J18+MAX(N(I18),1)-1)))</f>
        <v/>
      </c>
      <c r="L18" s="67"/>
      <c r="M18" s="67"/>
      <c r="N18" s="68"/>
      <c r="O18" s="69" t="str">
        <f aca="false">IF(C18="","",IF(N18&lt;&gt;"",N18,IF(M18&lt;&gt;"",1,IF(F18="",0,IF(D18="Instalación",MIN(1,IFERROR(SUMIFS('CORTES CLIENTE'!$O$20:$O$219,PRESUPUESTO!$V$7:$V$206,F18)/SUMIFS(PRESUPUESTO!$G$7:$G$206,PRESUPUESTO!$V$7:$V$206,F18),0)),IF(D18="Compra",MIN(1,IFERROR(SUMIFS('CONTROL DE MATERIALES'!$U$11:$U$210,PRESUPUESTO!$V$7:$V$206,F18)/SUMIFS('CONTROL DE MATERIALES'!$V$11:$V$210,PRESUPUESTO!$V$7:$V$206,F18),0)),0))))))</f>
        <v/>
      </c>
      <c r="P18" s="70" t="str">
        <f aca="true">IF(C18="","",IF(D18="Hito",IF(O18&gt;=1,"Cumplido",IF(TODAY()&gt;K18,"Vencido","Pendiente")),IF(O18&gt;=1,"Terminada",IF(TODAY()&gt;K18,"Atrasada",IF(OR(O18&gt;0,L18&lt;&gt;""),"En curso",IF(TODAY()&gt;=J18,"Debe iniciar","Por iniciar"))))))</f>
        <v/>
      </c>
      <c r="Q18" s="71" t="str">
        <f aca="true">IF(OR(C18="",N(O18)&gt;=1),"",IF(TODAY()&gt;K18,TODAY()-K18,0))</f>
        <v/>
      </c>
      <c r="R18" s="6" t="n">
        <f aca="false">COUNTIF($D$8:D18,"Fase")</f>
        <v>2</v>
      </c>
      <c r="S18" s="6" t="str">
        <f aca="false">IF(C18="","",J18)</f>
        <v/>
      </c>
      <c r="T18" s="6" t="str">
        <f aca="false">IF(C18="","",K18)</f>
        <v/>
      </c>
      <c r="U18" s="6" t="str">
        <f aca="false">IF(C18="","",MAX(N(I18),1))</f>
        <v/>
      </c>
      <c r="V18" s="6" t="str">
        <f aca="false">IF(C18="","",U18*N(O18))</f>
        <v/>
      </c>
      <c r="W18" s="6" t="str">
        <f aca="false">P18</f>
        <v/>
      </c>
      <c r="X18" s="6" t="str">
        <f aca="false">IF(Q18="","",N(Q18))</f>
        <v/>
      </c>
      <c r="Y18" s="73" t="str">
        <f aca="false">IF(AND($D18="Hito",ISNUMBER($K18)),IF(AND($K18&gt;=Y$7,$K18&lt;Y$7+7),"◆",""),"")</f>
        <v/>
      </c>
      <c r="Z18" s="73" t="str">
        <f aca="false">IF(AND($D18="Hito",ISNUMBER($K18)),IF(AND($K18&gt;=Z$7,$K18&lt;Z$7+7),"◆",""),"")</f>
        <v/>
      </c>
      <c r="AA18" s="73" t="str">
        <f aca="false">IF(AND($D18="Hito",ISNUMBER($K18)),IF(AND($K18&gt;=AA$7,$K18&lt;AA$7+7),"◆",""),"")</f>
        <v/>
      </c>
      <c r="AB18" s="73" t="str">
        <f aca="false">IF(AND($D18="Hito",ISNUMBER($K18)),IF(AND($K18&gt;=AB$7,$K18&lt;AB$7+7),"◆",""),"")</f>
        <v/>
      </c>
      <c r="AC18" s="73" t="str">
        <f aca="false">IF(AND($D18="Hito",ISNUMBER($K18)),IF(AND($K18&gt;=AC$7,$K18&lt;AC$7+7),"◆",""),"")</f>
        <v/>
      </c>
      <c r="AD18" s="73" t="str">
        <f aca="false">IF(AND($D18="Hito",ISNUMBER($K18)),IF(AND($K18&gt;=AD$7,$K18&lt;AD$7+7),"◆",""),"")</f>
        <v/>
      </c>
      <c r="AE18" s="73" t="str">
        <f aca="false">IF(AND($D18="Hito",ISNUMBER($K18)),IF(AND($K18&gt;=AE$7,$K18&lt;AE$7+7),"◆",""),"")</f>
        <v/>
      </c>
      <c r="AF18" s="73" t="str">
        <f aca="false">IF(AND($D18="Hito",ISNUMBER($K18)),IF(AND($K18&gt;=AF$7,$K18&lt;AF$7+7),"◆",""),"")</f>
        <v/>
      </c>
      <c r="AG18" s="73" t="str">
        <f aca="false">IF(AND($D18="Hito",ISNUMBER($K18)),IF(AND($K18&gt;=AG$7,$K18&lt;AG$7+7),"◆",""),"")</f>
        <v/>
      </c>
      <c r="AH18" s="73" t="str">
        <f aca="false">IF(AND($D18="Hito",ISNUMBER($K18)),IF(AND($K18&gt;=AH$7,$K18&lt;AH$7+7),"◆",""),"")</f>
        <v/>
      </c>
      <c r="AI18" s="73" t="str">
        <f aca="false">IF(AND($D18="Hito",ISNUMBER($K18)),IF(AND($K18&gt;=AI$7,$K18&lt;AI$7+7),"◆",""),"")</f>
        <v/>
      </c>
      <c r="AJ18" s="73" t="str">
        <f aca="false">IF(AND($D18="Hito",ISNUMBER($K18)),IF(AND($K18&gt;=AJ$7,$K18&lt;AJ$7+7),"◆",""),"")</f>
        <v/>
      </c>
      <c r="AK18" s="73" t="str">
        <f aca="false">IF(AND($D18="Hito",ISNUMBER($K18)),IF(AND($K18&gt;=AK$7,$K18&lt;AK$7+7),"◆",""),"")</f>
        <v/>
      </c>
      <c r="AL18" s="73" t="str">
        <f aca="false">IF(AND($D18="Hito",ISNUMBER($K18)),IF(AND($K18&gt;=AL$7,$K18&lt;AL$7+7),"◆",""),"")</f>
        <v/>
      </c>
      <c r="AM18" s="73" t="str">
        <f aca="false">IF(AND($D18="Hito",ISNUMBER($K18)),IF(AND($K18&gt;=AM$7,$K18&lt;AM$7+7),"◆",""),"")</f>
        <v/>
      </c>
      <c r="AN18" s="73" t="str">
        <f aca="false">IF(AND($D18="Hito",ISNUMBER($K18)),IF(AND($K18&gt;=AN$7,$K18&lt;AN$7+7),"◆",""),"")</f>
        <v/>
      </c>
      <c r="AO18" s="73" t="str">
        <f aca="false">IF(AND($D18="Hito",ISNUMBER($K18)),IF(AND($K18&gt;=AO$7,$K18&lt;AO$7+7),"◆",""),"")</f>
        <v/>
      </c>
      <c r="AP18" s="73" t="str">
        <f aca="false">IF(AND($D18="Hito",ISNUMBER($K18)),IF(AND($K18&gt;=AP$7,$K18&lt;AP$7+7),"◆",""),"")</f>
        <v/>
      </c>
      <c r="AQ18" s="73" t="str">
        <f aca="false">IF(AND($D18="Hito",ISNUMBER($K18)),IF(AND($K18&gt;=AQ$7,$K18&lt;AQ$7+7),"◆",""),"")</f>
        <v/>
      </c>
      <c r="AR18" s="73" t="str">
        <f aca="false">IF(AND($D18="Hito",ISNUMBER($K18)),IF(AND($K18&gt;=AR$7,$K18&lt;AR$7+7),"◆",""),"")</f>
        <v/>
      </c>
      <c r="AS18" s="73" t="str">
        <f aca="false">IF(AND($D18="Hito",ISNUMBER($K18)),IF(AND($K18&gt;=AS$7,$K18&lt;AS$7+7),"◆",""),"")</f>
        <v/>
      </c>
      <c r="AT18" s="73" t="str">
        <f aca="false">IF(AND($D18="Hito",ISNUMBER($K18)),IF(AND($K18&gt;=AT$7,$K18&lt;AT$7+7),"◆",""),"")</f>
        <v/>
      </c>
      <c r="AU18" s="73" t="str">
        <f aca="false">IF(AND($D18="Hito",ISNUMBER($K18)),IF(AND($K18&gt;=AU$7,$K18&lt;AU$7+7),"◆",""),"")</f>
        <v/>
      </c>
      <c r="AV18" s="73" t="str">
        <f aca="false">IF(AND($D18="Hito",ISNUMBER($K18)),IF(AND($K18&gt;=AV$7,$K18&lt;AV$7+7),"◆",""),"")</f>
        <v/>
      </c>
      <c r="AW18" s="73" t="str">
        <f aca="false">IF(AND($D18="Hito",ISNUMBER($K18)),IF(AND($K18&gt;=AW$7,$K18&lt;AW$7+7),"◆",""),"")</f>
        <v/>
      </c>
      <c r="AX18" s="73" t="str">
        <f aca="false">IF(AND($D18="Hito",ISNUMBER($K18)),IF(AND($K18&gt;=AX$7,$K18&lt;AX$7+7),"◆",""),"")</f>
        <v/>
      </c>
      <c r="AY18" s="73" t="str">
        <f aca="false">IF(AND($D18="Hito",ISNUMBER($K18)),IF(AND($K18&gt;=AY$7,$K18&lt;AY$7+7),"◆",""),"")</f>
        <v/>
      </c>
      <c r="AZ18" s="73" t="str">
        <f aca="false">IF(AND($D18="Hito",ISNUMBER($K18)),IF(AND($K18&gt;=AZ$7,$K18&lt;AZ$7+7),"◆",""),"")</f>
        <v/>
      </c>
      <c r="BA18" s="73" t="str">
        <f aca="false">IF(AND($D18="Hito",ISNUMBER($K18)),IF(AND($K18&gt;=BA$7,$K18&lt;BA$7+7),"◆",""),"")</f>
        <v/>
      </c>
      <c r="BB18" s="73" t="str">
        <f aca="false">IF(AND($D18="Hito",ISNUMBER($K18)),IF(AND($K18&gt;=BB$7,$K18&lt;BB$7+7),"◆",""),"")</f>
        <v/>
      </c>
      <c r="BC18" s="73" t="str">
        <f aca="false">IF(AND($D18="Hito",ISNUMBER($K18)),IF(AND($K18&gt;=BC$7,$K18&lt;BC$7+7),"◆",""),"")</f>
        <v/>
      </c>
      <c r="BD18" s="73" t="str">
        <f aca="false">IF(AND($D18="Hito",ISNUMBER($K18)),IF(AND($K18&gt;=BD$7,$K18&lt;BD$7+7),"◆",""),"")</f>
        <v/>
      </c>
      <c r="BE18" s="73" t="str">
        <f aca="false">IF(AND($D18="Hito",ISNUMBER($K18)),IF(AND($K18&gt;=BE$7,$K18&lt;BE$7+7),"◆",""),"")</f>
        <v/>
      </c>
      <c r="BF18" s="73" t="str">
        <f aca="false">IF(AND($D18="Hito",ISNUMBER($K18)),IF(AND($K18&gt;=BF$7,$K18&lt;BF$7+7),"◆",""),"")</f>
        <v/>
      </c>
      <c r="BG18" s="73" t="str">
        <f aca="false">IF(AND($D18="Hito",ISNUMBER($K18)),IF(AND($K18&gt;=BG$7,$K18&lt;BG$7+7),"◆",""),"")</f>
        <v/>
      </c>
      <c r="BH18" s="73" t="str">
        <f aca="false">IF(AND($D18="Hito",ISNUMBER($K18)),IF(AND($K18&gt;=BH$7,$K18&lt;BH$7+7),"◆",""),"")</f>
        <v/>
      </c>
      <c r="BI18" s="73" t="str">
        <f aca="false">IF(AND($D18="Hito",ISNUMBER($K18)),IF(AND($K18&gt;=BI$7,$K18&lt;BI$7+7),"◆",""),"")</f>
        <v/>
      </c>
      <c r="BJ18" s="73" t="str">
        <f aca="false">IF(AND($D18="Hito",ISNUMBER($K18)),IF(AND($K18&gt;=BJ$7,$K18&lt;BJ$7+7),"◆",""),"")</f>
        <v/>
      </c>
      <c r="BK18" s="73" t="str">
        <f aca="false">IF(AND($D18="Hito",ISNUMBER($K18)),IF(AND($K18&gt;=BK$7,$K18&lt;BK$7+7),"◆",""),"")</f>
        <v/>
      </c>
      <c r="BL18" s="73" t="str">
        <f aca="false">IF(AND($D18="Hito",ISNUMBER($K18)),IF(AND($K18&gt;=BL$7,$K18&lt;BL$7+7),"◆",""),"")</f>
        <v/>
      </c>
      <c r="BM18" s="73" t="str">
        <f aca="false">IF(AND($D18="Hito",ISNUMBER($K18)),IF(AND($K18&gt;=BM$7,$K18&lt;BM$7+7),"◆",""),"")</f>
        <v/>
      </c>
      <c r="BN18" s="73" t="str">
        <f aca="false">IF(AND($D18="Hito",ISNUMBER($K18)),IF(AND($K18&gt;=BN$7,$K18&lt;BN$7+7),"◆",""),"")</f>
        <v/>
      </c>
      <c r="BO18" s="73" t="str">
        <f aca="false">IF(AND($D18="Hito",ISNUMBER($K18)),IF(AND($K18&gt;=BO$7,$K18&lt;BO$7+7),"◆",""),"")</f>
        <v/>
      </c>
      <c r="BP18" s="73" t="str">
        <f aca="false">IF(AND($D18="Hito",ISNUMBER($K18)),IF(AND($K18&gt;=BP$7,$K18&lt;BP$7+7),"◆",""),"")</f>
        <v/>
      </c>
      <c r="BQ18" s="73" t="str">
        <f aca="false">IF(AND($D18="Hito",ISNUMBER($K18)),IF(AND($K18&gt;=BQ$7,$K18&lt;BQ$7+7),"◆",""),"")</f>
        <v/>
      </c>
      <c r="BR18" s="73" t="str">
        <f aca="false">IF(AND($D18="Hito",ISNUMBER($K18)),IF(AND($K18&gt;=BR$7,$K18&lt;BR$7+7),"◆",""),"")</f>
        <v/>
      </c>
      <c r="BS18" s="73" t="str">
        <f aca="false">IF(AND($D18="Hito",ISNUMBER($K18)),IF(AND($K18&gt;=BS$7,$K18&lt;BS$7+7),"◆",""),"")</f>
        <v/>
      </c>
      <c r="BT18" s="73" t="str">
        <f aca="false">IF(AND($D18="Hito",ISNUMBER($K18)),IF(AND($K18&gt;=BT$7,$K18&lt;BT$7+7),"◆",""),"")</f>
        <v/>
      </c>
      <c r="BU18" s="73" t="str">
        <f aca="false">IF(AND($D18="Hito",ISNUMBER($K18)),IF(AND($K18&gt;=BU$7,$K18&lt;BU$7+7),"◆",""),"")</f>
        <v/>
      </c>
      <c r="BV18" s="73" t="str">
        <f aca="false">IF(AND($D18="Hito",ISNUMBER($K18)),IF(AND($K18&gt;=BV$7,$K18&lt;BV$7+7),"◆",""),"")</f>
        <v/>
      </c>
      <c r="BW18" s="73" t="str">
        <f aca="false">IF(AND($D18="Hito",ISNUMBER($K18)),IF(AND($K18&gt;=BW$7,$K18&lt;BW$7+7),"◆",""),"")</f>
        <v/>
      </c>
      <c r="BX18" s="73" t="str">
        <f aca="false">IF(AND($D18="Hito",ISNUMBER($K18)),IF(AND($K18&gt;=BX$7,$K18&lt;BX$7+7),"◆",""),"")</f>
        <v/>
      </c>
    </row>
    <row r="19" customFormat="false" ht="24" hidden="false" customHeight="true" outlineLevel="0" collapsed="false">
      <c r="A19" s="56"/>
      <c r="B19" s="56" t="str">
        <f aca="false">"F"&amp;R19</f>
        <v>F3</v>
      </c>
      <c r="C19" s="57" t="s">
        <v>188</v>
      </c>
      <c r="D19" s="56" t="s">
        <v>170</v>
      </c>
      <c r="E19" s="56"/>
      <c r="F19" s="56"/>
      <c r="G19" s="56"/>
      <c r="H19" s="56"/>
      <c r="I19" s="58" t="n">
        <f aca="false">IF(OR(J19="",K19=""),"",K19-J19+1)</f>
        <v>28</v>
      </c>
      <c r="J19" s="59" t="n">
        <f aca="false">IFERROR(1/(1/_xlfn.MINIFS($S$8:$S$36,$R$8:$R$36,R19)),"")</f>
        <v>46318</v>
      </c>
      <c r="K19" s="59" t="n">
        <f aca="false">IFERROR(1/(1/_xlfn.MAXIFS($T$8:$T$36,$R$8:$R$36,R19)),"")</f>
        <v>46345</v>
      </c>
      <c r="L19" s="56"/>
      <c r="M19" s="56"/>
      <c r="N19" s="56"/>
      <c r="O19" s="60" t="n">
        <f aca="false">IFERROR(SUMIFS($V$8:$V$36,$R$8:$R$36,R19)/SUMIFS($U$8:$U$36,$R$8:$R$36,R19),"")</f>
        <v>0</v>
      </c>
      <c r="P19" s="56" t="str">
        <f aca="false">IF(COUNTIFS($R$8:$R$36,R19,$U$8:$U$36,"&gt;0")=0,"",IF(COUNTIFS($R$8:$R$36,R19,$W$8:$W$36,"Atrasada")+COUNTIFS($R$8:$R$36,R19,$W$8:$W$36,"Vencido")&gt;0,"Con atraso",IF(N(O19)&gt;=1,"Terminada",IF(N(O19)&gt;0,"En curso","Por iniciar"))))</f>
        <v>Por iniciar</v>
      </c>
      <c r="Q19" s="58" t="str">
        <f aca="false">IF(N(_xlfn.MAXIFS($X$8:$X$36,$R$8:$R$36,R19))&gt;0,_xlfn.MAXIFS($X$8:$X$36,$R$8:$R$36,R19),"")</f>
        <v/>
      </c>
      <c r="R19" s="6" t="n">
        <f aca="false">COUNTIF($D$8:D19,"Fase")</f>
        <v>3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customFormat="false" ht="18.75" hidden="false" customHeight="true" outlineLevel="1" collapsed="false">
      <c r="A20" s="6"/>
      <c r="B20" s="61" t="n">
        <v>8</v>
      </c>
      <c r="C20" s="62" t="s">
        <v>180</v>
      </c>
      <c r="D20" s="63" t="s">
        <v>181</v>
      </c>
      <c r="E20" s="64" t="s">
        <v>182</v>
      </c>
      <c r="F20" s="64"/>
      <c r="G20" s="61" t="n">
        <v>4</v>
      </c>
      <c r="H20" s="65"/>
      <c r="I20" s="61" t="n">
        <v>10</v>
      </c>
      <c r="J20" s="66" t="n">
        <f aca="true">IF(C20="","",IF(L20&lt;&gt;"",L20,IF(H20&lt;&gt;"",H20,IF(G20&lt;&gt;"",IFERROR(INDEX($T$8:$T$36,MATCH(G20,$B$8:$B$36,0))+IF(D20="Hito",0,1),IF(n_FInicio="",TODAY(),n_FInicio)),IF(n_FInicio="",TODAY(),n_FInicio)))))</f>
        <v>46318</v>
      </c>
      <c r="K20" s="66" t="n">
        <f aca="false">IF(C20="","",IF(M20&lt;&gt;"",M20,IF(D20="Hito",J20,J20+MAX(N(I20),1)-1)))</f>
        <v>46327</v>
      </c>
      <c r="L20" s="67"/>
      <c r="M20" s="67"/>
      <c r="N20" s="68"/>
      <c r="O20" s="69" t="n">
        <f aca="false">IF(C20="","",IF(N20&lt;&gt;"",N20,IF(M20&lt;&gt;"",1,IF(F20="",0,IF(D20="Instalación",MIN(1,IFERROR(SUMIFS('CORTES CLIENTE'!$O$20:$O$219,PRESUPUESTO!$V$7:$V$206,F20)/SUMIFS(PRESUPUESTO!$G$7:$G$206,PRESUPUESTO!$V$7:$V$206,F20),0)),IF(D20="Compra",MIN(1,IFERROR(SUMIFS('CONTROL DE MATERIALES'!$U$11:$U$210,PRESUPUESTO!$V$7:$V$206,F20)/SUMIFS('CONTROL DE MATERIALES'!$V$11:$V$210,PRESUPUESTO!$V$7:$V$206,F20),0)),0))))))</f>
        <v>0</v>
      </c>
      <c r="P20" s="70" t="str">
        <f aca="true">IF(C20="","",IF(D20="Hito",IF(O20&gt;=1,"Cumplido",IF(TODAY()&gt;K20,"Vencido","Pendiente")),IF(O20&gt;=1,"Terminada",IF(TODAY()&gt;K20,"Atrasada",IF(OR(O20&gt;0,L20&lt;&gt;""),"En curso",IF(TODAY()&gt;=J20,"Debe iniciar","Por iniciar"))))))</f>
        <v>Por iniciar</v>
      </c>
      <c r="Q20" s="71" t="n">
        <f aca="true">IF(OR(C20="",N(O20)&gt;=1),"",IF(TODAY()&gt;K20,TODAY()-K20,0))</f>
        <v>0</v>
      </c>
      <c r="R20" s="6" t="n">
        <f aca="false">COUNTIF($D$8:D20,"Fase")</f>
        <v>3</v>
      </c>
      <c r="S20" s="72" t="n">
        <f aca="false">IF(C20="","",J20)</f>
        <v>46318</v>
      </c>
      <c r="T20" s="72" t="n">
        <f aca="false">IF(C20="","",K20)</f>
        <v>46327</v>
      </c>
      <c r="U20" s="6" t="n">
        <f aca="false">IF(C20="","",MAX(N(I20),1))</f>
        <v>10</v>
      </c>
      <c r="V20" s="6" t="n">
        <f aca="false">IF(C20="","",U20*N(O20))</f>
        <v>0</v>
      </c>
      <c r="W20" s="6" t="str">
        <f aca="false">P20</f>
        <v>Por iniciar</v>
      </c>
      <c r="X20" s="6" t="n">
        <f aca="false">IF(Q20="","",N(Q20))</f>
        <v>0</v>
      </c>
      <c r="Y20" s="73" t="str">
        <f aca="false">IF(AND($D20="Hito",ISNUMBER($K20)),IF(AND($K20&gt;=Y$7,$K20&lt;Y$7+7),"◆",""),"")</f>
        <v/>
      </c>
      <c r="Z20" s="73" t="str">
        <f aca="false">IF(AND($D20="Hito",ISNUMBER($K20)),IF(AND($K20&gt;=Z$7,$K20&lt;Z$7+7),"◆",""),"")</f>
        <v/>
      </c>
      <c r="AA20" s="73" t="str">
        <f aca="false">IF(AND($D20="Hito",ISNUMBER($K20)),IF(AND($K20&gt;=AA$7,$K20&lt;AA$7+7),"◆",""),"")</f>
        <v/>
      </c>
      <c r="AB20" s="73" t="str">
        <f aca="false">IF(AND($D20="Hito",ISNUMBER($K20)),IF(AND($K20&gt;=AB$7,$K20&lt;AB$7+7),"◆",""),"")</f>
        <v/>
      </c>
      <c r="AC20" s="73" t="str">
        <f aca="false">IF(AND($D20="Hito",ISNUMBER($K20)),IF(AND($K20&gt;=AC$7,$K20&lt;AC$7+7),"◆",""),"")</f>
        <v/>
      </c>
      <c r="AD20" s="73" t="str">
        <f aca="false">IF(AND($D20="Hito",ISNUMBER($K20)),IF(AND($K20&gt;=AD$7,$K20&lt;AD$7+7),"◆",""),"")</f>
        <v/>
      </c>
      <c r="AE20" s="73" t="str">
        <f aca="false">IF(AND($D20="Hito",ISNUMBER($K20)),IF(AND($K20&gt;=AE$7,$K20&lt;AE$7+7),"◆",""),"")</f>
        <v/>
      </c>
      <c r="AF20" s="73" t="str">
        <f aca="false">IF(AND($D20="Hito",ISNUMBER($K20)),IF(AND($K20&gt;=AF$7,$K20&lt;AF$7+7),"◆",""),"")</f>
        <v/>
      </c>
      <c r="AG20" s="73" t="str">
        <f aca="false">IF(AND($D20="Hito",ISNUMBER($K20)),IF(AND($K20&gt;=AG$7,$K20&lt;AG$7+7),"◆",""),"")</f>
        <v/>
      </c>
      <c r="AH20" s="73" t="str">
        <f aca="false">IF(AND($D20="Hito",ISNUMBER($K20)),IF(AND($K20&gt;=AH$7,$K20&lt;AH$7+7),"◆",""),"")</f>
        <v/>
      </c>
      <c r="AI20" s="73" t="str">
        <f aca="false">IF(AND($D20="Hito",ISNUMBER($K20)),IF(AND($K20&gt;=AI$7,$K20&lt;AI$7+7),"◆",""),"")</f>
        <v/>
      </c>
      <c r="AJ20" s="73" t="str">
        <f aca="false">IF(AND($D20="Hito",ISNUMBER($K20)),IF(AND($K20&gt;=AJ$7,$K20&lt;AJ$7+7),"◆",""),"")</f>
        <v/>
      </c>
      <c r="AK20" s="73" t="str">
        <f aca="false">IF(AND($D20="Hito",ISNUMBER($K20)),IF(AND($K20&gt;=AK$7,$K20&lt;AK$7+7),"◆",""),"")</f>
        <v/>
      </c>
      <c r="AL20" s="73" t="str">
        <f aca="false">IF(AND($D20="Hito",ISNUMBER($K20)),IF(AND($K20&gt;=AL$7,$K20&lt;AL$7+7),"◆",""),"")</f>
        <v/>
      </c>
      <c r="AM20" s="73" t="str">
        <f aca="false">IF(AND($D20="Hito",ISNUMBER($K20)),IF(AND($K20&gt;=AM$7,$K20&lt;AM$7+7),"◆",""),"")</f>
        <v/>
      </c>
      <c r="AN20" s="73" t="str">
        <f aca="false">IF(AND($D20="Hito",ISNUMBER($K20)),IF(AND($K20&gt;=AN$7,$K20&lt;AN$7+7),"◆",""),"")</f>
        <v/>
      </c>
      <c r="AO20" s="73" t="str">
        <f aca="false">IF(AND($D20="Hito",ISNUMBER($K20)),IF(AND($K20&gt;=AO$7,$K20&lt;AO$7+7),"◆",""),"")</f>
        <v/>
      </c>
      <c r="AP20" s="73" t="str">
        <f aca="false">IF(AND($D20="Hito",ISNUMBER($K20)),IF(AND($K20&gt;=AP$7,$K20&lt;AP$7+7),"◆",""),"")</f>
        <v/>
      </c>
      <c r="AQ20" s="73" t="str">
        <f aca="false">IF(AND($D20="Hito",ISNUMBER($K20)),IF(AND($K20&gt;=AQ$7,$K20&lt;AQ$7+7),"◆",""),"")</f>
        <v/>
      </c>
      <c r="AR20" s="73" t="str">
        <f aca="false">IF(AND($D20="Hito",ISNUMBER($K20)),IF(AND($K20&gt;=AR$7,$K20&lt;AR$7+7),"◆",""),"")</f>
        <v/>
      </c>
      <c r="AS20" s="73" t="str">
        <f aca="false">IF(AND($D20="Hito",ISNUMBER($K20)),IF(AND($K20&gt;=AS$7,$K20&lt;AS$7+7),"◆",""),"")</f>
        <v/>
      </c>
      <c r="AT20" s="73" t="str">
        <f aca="false">IF(AND($D20="Hito",ISNUMBER($K20)),IF(AND($K20&gt;=AT$7,$K20&lt;AT$7+7),"◆",""),"")</f>
        <v/>
      </c>
      <c r="AU20" s="73" t="str">
        <f aca="false">IF(AND($D20="Hito",ISNUMBER($K20)),IF(AND($K20&gt;=AU$7,$K20&lt;AU$7+7),"◆",""),"")</f>
        <v/>
      </c>
      <c r="AV20" s="73" t="str">
        <f aca="false">IF(AND($D20="Hito",ISNUMBER($K20)),IF(AND($K20&gt;=AV$7,$K20&lt;AV$7+7),"◆",""),"")</f>
        <v/>
      </c>
      <c r="AW20" s="73" t="str">
        <f aca="false">IF(AND($D20="Hito",ISNUMBER($K20)),IF(AND($K20&gt;=AW$7,$K20&lt;AW$7+7),"◆",""),"")</f>
        <v/>
      </c>
      <c r="AX20" s="73" t="str">
        <f aca="false">IF(AND($D20="Hito",ISNUMBER($K20)),IF(AND($K20&gt;=AX$7,$K20&lt;AX$7+7),"◆",""),"")</f>
        <v/>
      </c>
      <c r="AY20" s="73" t="str">
        <f aca="false">IF(AND($D20="Hito",ISNUMBER($K20)),IF(AND($K20&gt;=AY$7,$K20&lt;AY$7+7),"◆",""),"")</f>
        <v/>
      </c>
      <c r="AZ20" s="73" t="str">
        <f aca="false">IF(AND($D20="Hito",ISNUMBER($K20)),IF(AND($K20&gt;=AZ$7,$K20&lt;AZ$7+7),"◆",""),"")</f>
        <v/>
      </c>
      <c r="BA20" s="73" t="str">
        <f aca="false">IF(AND($D20="Hito",ISNUMBER($K20)),IF(AND($K20&gt;=BA$7,$K20&lt;BA$7+7),"◆",""),"")</f>
        <v/>
      </c>
      <c r="BB20" s="73" t="str">
        <f aca="false">IF(AND($D20="Hito",ISNUMBER($K20)),IF(AND($K20&gt;=BB$7,$K20&lt;BB$7+7),"◆",""),"")</f>
        <v/>
      </c>
      <c r="BC20" s="73" t="str">
        <f aca="false">IF(AND($D20="Hito",ISNUMBER($K20)),IF(AND($K20&gt;=BC$7,$K20&lt;BC$7+7),"◆",""),"")</f>
        <v/>
      </c>
      <c r="BD20" s="73" t="str">
        <f aca="false">IF(AND($D20="Hito",ISNUMBER($K20)),IF(AND($K20&gt;=BD$7,$K20&lt;BD$7+7),"◆",""),"")</f>
        <v/>
      </c>
      <c r="BE20" s="73" t="str">
        <f aca="false">IF(AND($D20="Hito",ISNUMBER($K20)),IF(AND($K20&gt;=BE$7,$K20&lt;BE$7+7),"◆",""),"")</f>
        <v/>
      </c>
      <c r="BF20" s="73" t="str">
        <f aca="false">IF(AND($D20="Hito",ISNUMBER($K20)),IF(AND($K20&gt;=BF$7,$K20&lt;BF$7+7),"◆",""),"")</f>
        <v/>
      </c>
      <c r="BG20" s="73" t="str">
        <f aca="false">IF(AND($D20="Hito",ISNUMBER($K20)),IF(AND($K20&gt;=BG$7,$K20&lt;BG$7+7),"◆",""),"")</f>
        <v/>
      </c>
      <c r="BH20" s="73" t="str">
        <f aca="false">IF(AND($D20="Hito",ISNUMBER($K20)),IF(AND($K20&gt;=BH$7,$K20&lt;BH$7+7),"◆",""),"")</f>
        <v/>
      </c>
      <c r="BI20" s="73" t="str">
        <f aca="false">IF(AND($D20="Hito",ISNUMBER($K20)),IF(AND($K20&gt;=BI$7,$K20&lt;BI$7+7),"◆",""),"")</f>
        <v/>
      </c>
      <c r="BJ20" s="73" t="str">
        <f aca="false">IF(AND($D20="Hito",ISNUMBER($K20)),IF(AND($K20&gt;=BJ$7,$K20&lt;BJ$7+7),"◆",""),"")</f>
        <v/>
      </c>
      <c r="BK20" s="73" t="str">
        <f aca="false">IF(AND($D20="Hito",ISNUMBER($K20)),IF(AND($K20&gt;=BK$7,$K20&lt;BK$7+7),"◆",""),"")</f>
        <v/>
      </c>
      <c r="BL20" s="73" t="str">
        <f aca="false">IF(AND($D20="Hito",ISNUMBER($K20)),IF(AND($K20&gt;=BL$7,$K20&lt;BL$7+7),"◆",""),"")</f>
        <v/>
      </c>
      <c r="BM20" s="73" t="str">
        <f aca="false">IF(AND($D20="Hito",ISNUMBER($K20)),IF(AND($K20&gt;=BM$7,$K20&lt;BM$7+7),"◆",""),"")</f>
        <v/>
      </c>
      <c r="BN20" s="73" t="str">
        <f aca="false">IF(AND($D20="Hito",ISNUMBER($K20)),IF(AND($K20&gt;=BN$7,$K20&lt;BN$7+7),"◆",""),"")</f>
        <v/>
      </c>
      <c r="BO20" s="73" t="str">
        <f aca="false">IF(AND($D20="Hito",ISNUMBER($K20)),IF(AND($K20&gt;=BO$7,$K20&lt;BO$7+7),"◆",""),"")</f>
        <v/>
      </c>
      <c r="BP20" s="73" t="str">
        <f aca="false">IF(AND($D20="Hito",ISNUMBER($K20)),IF(AND($K20&gt;=BP$7,$K20&lt;BP$7+7),"◆",""),"")</f>
        <v/>
      </c>
      <c r="BQ20" s="73" t="str">
        <f aca="false">IF(AND($D20="Hito",ISNUMBER($K20)),IF(AND($K20&gt;=BQ$7,$K20&lt;BQ$7+7),"◆",""),"")</f>
        <v/>
      </c>
      <c r="BR20" s="73" t="str">
        <f aca="false">IF(AND($D20="Hito",ISNUMBER($K20)),IF(AND($K20&gt;=BR$7,$K20&lt;BR$7+7),"◆",""),"")</f>
        <v/>
      </c>
      <c r="BS20" s="73" t="str">
        <f aca="false">IF(AND($D20="Hito",ISNUMBER($K20)),IF(AND($K20&gt;=BS$7,$K20&lt;BS$7+7),"◆",""),"")</f>
        <v/>
      </c>
      <c r="BT20" s="73" t="str">
        <f aca="false">IF(AND($D20="Hito",ISNUMBER($K20)),IF(AND($K20&gt;=BT$7,$K20&lt;BT$7+7),"◆",""),"")</f>
        <v/>
      </c>
      <c r="BU20" s="73" t="str">
        <f aca="false">IF(AND($D20="Hito",ISNUMBER($K20)),IF(AND($K20&gt;=BU$7,$K20&lt;BU$7+7),"◆",""),"")</f>
        <v/>
      </c>
      <c r="BV20" s="73" t="str">
        <f aca="false">IF(AND($D20="Hito",ISNUMBER($K20)),IF(AND($K20&gt;=BV$7,$K20&lt;BV$7+7),"◆",""),"")</f>
        <v/>
      </c>
      <c r="BW20" s="73" t="str">
        <f aca="false">IF(AND($D20="Hito",ISNUMBER($K20)),IF(AND($K20&gt;=BW$7,$K20&lt;BW$7+7),"◆",""),"")</f>
        <v/>
      </c>
      <c r="BX20" s="73" t="str">
        <f aca="false">IF(AND($D20="Hito",ISNUMBER($K20)),IF(AND($K20&gt;=BX$7,$K20&lt;BX$7+7),"◆",""),"")</f>
        <v/>
      </c>
    </row>
    <row r="21" customFormat="false" ht="18.75" hidden="false" customHeight="true" outlineLevel="1" collapsed="false">
      <c r="A21" s="6"/>
      <c r="B21" s="61" t="n">
        <v>9</v>
      </c>
      <c r="C21" s="62" t="s">
        <v>183</v>
      </c>
      <c r="D21" s="63" t="s">
        <v>183</v>
      </c>
      <c r="E21" s="64" t="s">
        <v>184</v>
      </c>
      <c r="F21" s="64"/>
      <c r="G21" s="61" t="n">
        <v>8</v>
      </c>
      <c r="H21" s="65"/>
      <c r="I21" s="61" t="n">
        <v>15</v>
      </c>
      <c r="J21" s="66" t="n">
        <f aca="true">IF(C21="","",IF(L21&lt;&gt;"",L21,IF(H21&lt;&gt;"",H21,IF(G21&lt;&gt;"",IFERROR(INDEX($T$8:$T$36,MATCH(G21,$B$8:$B$36,0))+IF(D21="Hito",0,1),IF(n_FInicio="",TODAY(),n_FInicio)),IF(n_FInicio="",TODAY(),n_FInicio)))))</f>
        <v>46328</v>
      </c>
      <c r="K21" s="66" t="n">
        <f aca="false">IF(C21="","",IF(M21&lt;&gt;"",M21,IF(D21="Hito",J21,J21+MAX(N(I21),1)-1)))</f>
        <v>46342</v>
      </c>
      <c r="L21" s="67"/>
      <c r="M21" s="67"/>
      <c r="N21" s="68"/>
      <c r="O21" s="69" t="n">
        <f aca="false">IF(C21="","",IF(N21&lt;&gt;"",N21,IF(M21&lt;&gt;"",1,IF(F21="",0,IF(D21="Instalación",MIN(1,IFERROR(SUMIFS('CORTES CLIENTE'!$O$20:$O$219,PRESUPUESTO!$V$7:$V$206,F21)/SUMIFS(PRESUPUESTO!$G$7:$G$206,PRESUPUESTO!$V$7:$V$206,F21),0)),IF(D21="Compra",MIN(1,IFERROR(SUMIFS('CONTROL DE MATERIALES'!$U$11:$U$210,PRESUPUESTO!$V$7:$V$206,F21)/SUMIFS('CONTROL DE MATERIALES'!$V$11:$V$210,PRESUPUESTO!$V$7:$V$206,F21),0)),0))))))</f>
        <v>0</v>
      </c>
      <c r="P21" s="70" t="str">
        <f aca="true">IF(C21="","",IF(D21="Hito",IF(O21&gt;=1,"Cumplido",IF(TODAY()&gt;K21,"Vencido","Pendiente")),IF(O21&gt;=1,"Terminada",IF(TODAY()&gt;K21,"Atrasada",IF(OR(O21&gt;0,L21&lt;&gt;""),"En curso",IF(TODAY()&gt;=J21,"Debe iniciar","Por iniciar"))))))</f>
        <v>Por iniciar</v>
      </c>
      <c r="Q21" s="71" t="n">
        <f aca="true">IF(OR(C21="",N(O21)&gt;=1),"",IF(TODAY()&gt;K21,TODAY()-K21,0))</f>
        <v>0</v>
      </c>
      <c r="R21" s="6" t="n">
        <f aca="false">COUNTIF($D$8:D21,"Fase")</f>
        <v>3</v>
      </c>
      <c r="S21" s="72" t="n">
        <f aca="false">IF(C21="","",J21)</f>
        <v>46328</v>
      </c>
      <c r="T21" s="72" t="n">
        <f aca="false">IF(C21="","",K21)</f>
        <v>46342</v>
      </c>
      <c r="U21" s="6" t="n">
        <f aca="false">IF(C21="","",MAX(N(I21),1))</f>
        <v>15</v>
      </c>
      <c r="V21" s="6" t="n">
        <f aca="false">IF(C21="","",U21*N(O21))</f>
        <v>0</v>
      </c>
      <c r="W21" s="6" t="str">
        <f aca="false">P21</f>
        <v>Por iniciar</v>
      </c>
      <c r="X21" s="6" t="n">
        <f aca="false">IF(Q21="","",N(Q21))</f>
        <v>0</v>
      </c>
      <c r="Y21" s="73" t="str">
        <f aca="false">IF(AND($D21="Hito",ISNUMBER($K21)),IF(AND($K21&gt;=Y$7,$K21&lt;Y$7+7),"◆",""),"")</f>
        <v/>
      </c>
      <c r="Z21" s="73" t="str">
        <f aca="false">IF(AND($D21="Hito",ISNUMBER($K21)),IF(AND($K21&gt;=Z$7,$K21&lt;Z$7+7),"◆",""),"")</f>
        <v/>
      </c>
      <c r="AA21" s="73" t="str">
        <f aca="false">IF(AND($D21="Hito",ISNUMBER($K21)),IF(AND($K21&gt;=AA$7,$K21&lt;AA$7+7),"◆",""),"")</f>
        <v/>
      </c>
      <c r="AB21" s="73" t="str">
        <f aca="false">IF(AND($D21="Hito",ISNUMBER($K21)),IF(AND($K21&gt;=AB$7,$K21&lt;AB$7+7),"◆",""),"")</f>
        <v/>
      </c>
      <c r="AC21" s="73" t="str">
        <f aca="false">IF(AND($D21="Hito",ISNUMBER($K21)),IF(AND($K21&gt;=AC$7,$K21&lt;AC$7+7),"◆",""),"")</f>
        <v/>
      </c>
      <c r="AD21" s="73" t="str">
        <f aca="false">IF(AND($D21="Hito",ISNUMBER($K21)),IF(AND($K21&gt;=AD$7,$K21&lt;AD$7+7),"◆",""),"")</f>
        <v/>
      </c>
      <c r="AE21" s="73" t="str">
        <f aca="false">IF(AND($D21="Hito",ISNUMBER($K21)),IF(AND($K21&gt;=AE$7,$K21&lt;AE$7+7),"◆",""),"")</f>
        <v/>
      </c>
      <c r="AF21" s="73" t="str">
        <f aca="false">IF(AND($D21="Hito",ISNUMBER($K21)),IF(AND($K21&gt;=AF$7,$K21&lt;AF$7+7),"◆",""),"")</f>
        <v/>
      </c>
      <c r="AG21" s="73" t="str">
        <f aca="false">IF(AND($D21="Hito",ISNUMBER($K21)),IF(AND($K21&gt;=AG$7,$K21&lt;AG$7+7),"◆",""),"")</f>
        <v/>
      </c>
      <c r="AH21" s="73" t="str">
        <f aca="false">IF(AND($D21="Hito",ISNUMBER($K21)),IF(AND($K21&gt;=AH$7,$K21&lt;AH$7+7),"◆",""),"")</f>
        <v/>
      </c>
      <c r="AI21" s="73" t="str">
        <f aca="false">IF(AND($D21="Hito",ISNUMBER($K21)),IF(AND($K21&gt;=AI$7,$K21&lt;AI$7+7),"◆",""),"")</f>
        <v/>
      </c>
      <c r="AJ21" s="73" t="str">
        <f aca="false">IF(AND($D21="Hito",ISNUMBER($K21)),IF(AND($K21&gt;=AJ$7,$K21&lt;AJ$7+7),"◆",""),"")</f>
        <v/>
      </c>
      <c r="AK21" s="73" t="str">
        <f aca="false">IF(AND($D21="Hito",ISNUMBER($K21)),IF(AND($K21&gt;=AK$7,$K21&lt;AK$7+7),"◆",""),"")</f>
        <v/>
      </c>
      <c r="AL21" s="73" t="str">
        <f aca="false">IF(AND($D21="Hito",ISNUMBER($K21)),IF(AND($K21&gt;=AL$7,$K21&lt;AL$7+7),"◆",""),"")</f>
        <v/>
      </c>
      <c r="AM21" s="73" t="str">
        <f aca="false">IF(AND($D21="Hito",ISNUMBER($K21)),IF(AND($K21&gt;=AM$7,$K21&lt;AM$7+7),"◆",""),"")</f>
        <v/>
      </c>
      <c r="AN21" s="73" t="str">
        <f aca="false">IF(AND($D21="Hito",ISNUMBER($K21)),IF(AND($K21&gt;=AN$7,$K21&lt;AN$7+7),"◆",""),"")</f>
        <v/>
      </c>
      <c r="AO21" s="73" t="str">
        <f aca="false">IF(AND($D21="Hito",ISNUMBER($K21)),IF(AND($K21&gt;=AO$7,$K21&lt;AO$7+7),"◆",""),"")</f>
        <v/>
      </c>
      <c r="AP21" s="73" t="str">
        <f aca="false">IF(AND($D21="Hito",ISNUMBER($K21)),IF(AND($K21&gt;=AP$7,$K21&lt;AP$7+7),"◆",""),"")</f>
        <v/>
      </c>
      <c r="AQ21" s="73" t="str">
        <f aca="false">IF(AND($D21="Hito",ISNUMBER($K21)),IF(AND($K21&gt;=AQ$7,$K21&lt;AQ$7+7),"◆",""),"")</f>
        <v/>
      </c>
      <c r="AR21" s="73" t="str">
        <f aca="false">IF(AND($D21="Hito",ISNUMBER($K21)),IF(AND($K21&gt;=AR$7,$K21&lt;AR$7+7),"◆",""),"")</f>
        <v/>
      </c>
      <c r="AS21" s="73" t="str">
        <f aca="false">IF(AND($D21="Hito",ISNUMBER($K21)),IF(AND($K21&gt;=AS$7,$K21&lt;AS$7+7),"◆",""),"")</f>
        <v/>
      </c>
      <c r="AT21" s="73" t="str">
        <f aca="false">IF(AND($D21="Hito",ISNUMBER($K21)),IF(AND($K21&gt;=AT$7,$K21&lt;AT$7+7),"◆",""),"")</f>
        <v/>
      </c>
      <c r="AU21" s="73" t="str">
        <f aca="false">IF(AND($D21="Hito",ISNUMBER($K21)),IF(AND($K21&gt;=AU$7,$K21&lt;AU$7+7),"◆",""),"")</f>
        <v/>
      </c>
      <c r="AV21" s="73" t="str">
        <f aca="false">IF(AND($D21="Hito",ISNUMBER($K21)),IF(AND($K21&gt;=AV$7,$K21&lt;AV$7+7),"◆",""),"")</f>
        <v/>
      </c>
      <c r="AW21" s="73" t="str">
        <f aca="false">IF(AND($D21="Hito",ISNUMBER($K21)),IF(AND($K21&gt;=AW$7,$K21&lt;AW$7+7),"◆",""),"")</f>
        <v/>
      </c>
      <c r="AX21" s="73" t="str">
        <f aca="false">IF(AND($D21="Hito",ISNUMBER($K21)),IF(AND($K21&gt;=AX$7,$K21&lt;AX$7+7),"◆",""),"")</f>
        <v/>
      </c>
      <c r="AY21" s="73" t="str">
        <f aca="false">IF(AND($D21="Hito",ISNUMBER($K21)),IF(AND($K21&gt;=AY$7,$K21&lt;AY$7+7),"◆",""),"")</f>
        <v/>
      </c>
      <c r="AZ21" s="73" t="str">
        <f aca="false">IF(AND($D21="Hito",ISNUMBER($K21)),IF(AND($K21&gt;=AZ$7,$K21&lt;AZ$7+7),"◆",""),"")</f>
        <v/>
      </c>
      <c r="BA21" s="73" t="str">
        <f aca="false">IF(AND($D21="Hito",ISNUMBER($K21)),IF(AND($K21&gt;=BA$7,$K21&lt;BA$7+7),"◆",""),"")</f>
        <v/>
      </c>
      <c r="BB21" s="73" t="str">
        <f aca="false">IF(AND($D21="Hito",ISNUMBER($K21)),IF(AND($K21&gt;=BB$7,$K21&lt;BB$7+7),"◆",""),"")</f>
        <v/>
      </c>
      <c r="BC21" s="73" t="str">
        <f aca="false">IF(AND($D21="Hito",ISNUMBER($K21)),IF(AND($K21&gt;=BC$7,$K21&lt;BC$7+7),"◆",""),"")</f>
        <v/>
      </c>
      <c r="BD21" s="73" t="str">
        <f aca="false">IF(AND($D21="Hito",ISNUMBER($K21)),IF(AND($K21&gt;=BD$7,$K21&lt;BD$7+7),"◆",""),"")</f>
        <v/>
      </c>
      <c r="BE21" s="73" t="str">
        <f aca="false">IF(AND($D21="Hito",ISNUMBER($K21)),IF(AND($K21&gt;=BE$7,$K21&lt;BE$7+7),"◆",""),"")</f>
        <v/>
      </c>
      <c r="BF21" s="73" t="str">
        <f aca="false">IF(AND($D21="Hito",ISNUMBER($K21)),IF(AND($K21&gt;=BF$7,$K21&lt;BF$7+7),"◆",""),"")</f>
        <v/>
      </c>
      <c r="BG21" s="73" t="str">
        <f aca="false">IF(AND($D21="Hito",ISNUMBER($K21)),IF(AND($K21&gt;=BG$7,$K21&lt;BG$7+7),"◆",""),"")</f>
        <v/>
      </c>
      <c r="BH21" s="73" t="str">
        <f aca="false">IF(AND($D21="Hito",ISNUMBER($K21)),IF(AND($K21&gt;=BH$7,$K21&lt;BH$7+7),"◆",""),"")</f>
        <v/>
      </c>
      <c r="BI21" s="73" t="str">
        <f aca="false">IF(AND($D21="Hito",ISNUMBER($K21)),IF(AND($K21&gt;=BI$7,$K21&lt;BI$7+7),"◆",""),"")</f>
        <v/>
      </c>
      <c r="BJ21" s="73" t="str">
        <f aca="false">IF(AND($D21="Hito",ISNUMBER($K21)),IF(AND($K21&gt;=BJ$7,$K21&lt;BJ$7+7),"◆",""),"")</f>
        <v/>
      </c>
      <c r="BK21" s="73" t="str">
        <f aca="false">IF(AND($D21="Hito",ISNUMBER($K21)),IF(AND($K21&gt;=BK$7,$K21&lt;BK$7+7),"◆",""),"")</f>
        <v/>
      </c>
      <c r="BL21" s="73" t="str">
        <f aca="false">IF(AND($D21="Hito",ISNUMBER($K21)),IF(AND($K21&gt;=BL$7,$K21&lt;BL$7+7),"◆",""),"")</f>
        <v/>
      </c>
      <c r="BM21" s="73" t="str">
        <f aca="false">IF(AND($D21="Hito",ISNUMBER($K21)),IF(AND($K21&gt;=BM$7,$K21&lt;BM$7+7),"◆",""),"")</f>
        <v/>
      </c>
      <c r="BN21" s="73" t="str">
        <f aca="false">IF(AND($D21="Hito",ISNUMBER($K21)),IF(AND($K21&gt;=BN$7,$K21&lt;BN$7+7),"◆",""),"")</f>
        <v/>
      </c>
      <c r="BO21" s="73" t="str">
        <f aca="false">IF(AND($D21="Hito",ISNUMBER($K21)),IF(AND($K21&gt;=BO$7,$K21&lt;BO$7+7),"◆",""),"")</f>
        <v/>
      </c>
      <c r="BP21" s="73" t="str">
        <f aca="false">IF(AND($D21="Hito",ISNUMBER($K21)),IF(AND($K21&gt;=BP$7,$K21&lt;BP$7+7),"◆",""),"")</f>
        <v/>
      </c>
      <c r="BQ21" s="73" t="str">
        <f aca="false">IF(AND($D21="Hito",ISNUMBER($K21)),IF(AND($K21&gt;=BQ$7,$K21&lt;BQ$7+7),"◆",""),"")</f>
        <v/>
      </c>
      <c r="BR21" s="73" t="str">
        <f aca="false">IF(AND($D21="Hito",ISNUMBER($K21)),IF(AND($K21&gt;=BR$7,$K21&lt;BR$7+7),"◆",""),"")</f>
        <v/>
      </c>
      <c r="BS21" s="73" t="str">
        <f aca="false">IF(AND($D21="Hito",ISNUMBER($K21)),IF(AND($K21&gt;=BS$7,$K21&lt;BS$7+7),"◆",""),"")</f>
        <v/>
      </c>
      <c r="BT21" s="73" t="str">
        <f aca="false">IF(AND($D21="Hito",ISNUMBER($K21)),IF(AND($K21&gt;=BT$7,$K21&lt;BT$7+7),"◆",""),"")</f>
        <v/>
      </c>
      <c r="BU21" s="73" t="str">
        <f aca="false">IF(AND($D21="Hito",ISNUMBER($K21)),IF(AND($K21&gt;=BU$7,$K21&lt;BU$7+7),"◆",""),"")</f>
        <v/>
      </c>
      <c r="BV21" s="73" t="str">
        <f aca="false">IF(AND($D21="Hito",ISNUMBER($K21)),IF(AND($K21&gt;=BV$7,$K21&lt;BV$7+7),"◆",""),"")</f>
        <v/>
      </c>
      <c r="BW21" s="73" t="str">
        <f aca="false">IF(AND($D21="Hito",ISNUMBER($K21)),IF(AND($K21&gt;=BW$7,$K21&lt;BW$7+7),"◆",""),"")</f>
        <v/>
      </c>
      <c r="BX21" s="73" t="str">
        <f aca="false">IF(AND($D21="Hito",ISNUMBER($K21)),IF(AND($K21&gt;=BX$7,$K21&lt;BX$7+7),"◆",""),"")</f>
        <v/>
      </c>
    </row>
    <row r="22" customFormat="false" ht="18.75" hidden="false" customHeight="true" outlineLevel="1" collapsed="false">
      <c r="A22" s="6"/>
      <c r="B22" s="61" t="n">
        <v>10</v>
      </c>
      <c r="C22" s="62" t="s">
        <v>185</v>
      </c>
      <c r="D22" s="63" t="s">
        <v>186</v>
      </c>
      <c r="E22" s="64" t="s">
        <v>187</v>
      </c>
      <c r="F22" s="64"/>
      <c r="G22" s="61" t="n">
        <v>9</v>
      </c>
      <c r="H22" s="65"/>
      <c r="I22" s="61" t="n">
        <v>3</v>
      </c>
      <c r="J22" s="66" t="n">
        <f aca="true">IF(C22="","",IF(L22&lt;&gt;"",L22,IF(H22&lt;&gt;"",H22,IF(G22&lt;&gt;"",IFERROR(INDEX($T$8:$T$36,MATCH(G22,$B$8:$B$36,0))+IF(D22="Hito",0,1),IF(n_FInicio="",TODAY(),n_FInicio)),IF(n_FInicio="",TODAY(),n_FInicio)))))</f>
        <v>46343</v>
      </c>
      <c r="K22" s="66" t="n">
        <f aca="false">IF(C22="","",IF(M22&lt;&gt;"",M22,IF(D22="Hito",J22,J22+MAX(N(I22),1)-1)))</f>
        <v>46345</v>
      </c>
      <c r="L22" s="67"/>
      <c r="M22" s="67"/>
      <c r="N22" s="68"/>
      <c r="O22" s="69" t="n">
        <f aca="false">IF(C22="","",IF(N22&lt;&gt;"",N22,IF(M22&lt;&gt;"",1,IF(F22="",0,IF(D22="Instalación",MIN(1,IFERROR(SUMIFS('CORTES CLIENTE'!$O$20:$O$219,PRESUPUESTO!$V$7:$V$206,F22)/SUMIFS(PRESUPUESTO!$G$7:$G$206,PRESUPUESTO!$V$7:$V$206,F22),0)),IF(D22="Compra",MIN(1,IFERROR(SUMIFS('CONTROL DE MATERIALES'!$U$11:$U$210,PRESUPUESTO!$V$7:$V$206,F22)/SUMIFS('CONTROL DE MATERIALES'!$V$11:$V$210,PRESUPUESTO!$V$7:$V$206,F22),0)),0))))))</f>
        <v>0</v>
      </c>
      <c r="P22" s="70" t="str">
        <f aca="true">IF(C22="","",IF(D22="Hito",IF(O22&gt;=1,"Cumplido",IF(TODAY()&gt;K22,"Vencido","Pendiente")),IF(O22&gt;=1,"Terminada",IF(TODAY()&gt;K22,"Atrasada",IF(OR(O22&gt;0,L22&lt;&gt;""),"En curso",IF(TODAY()&gt;=J22,"Debe iniciar","Por iniciar"))))))</f>
        <v>Por iniciar</v>
      </c>
      <c r="Q22" s="71" t="n">
        <f aca="true">IF(OR(C22="",N(O22)&gt;=1),"",IF(TODAY()&gt;K22,TODAY()-K22,0))</f>
        <v>0</v>
      </c>
      <c r="R22" s="6" t="n">
        <f aca="false">COUNTIF($D$8:D22,"Fase")</f>
        <v>3</v>
      </c>
      <c r="S22" s="72" t="n">
        <f aca="false">IF(C22="","",J22)</f>
        <v>46343</v>
      </c>
      <c r="T22" s="72" t="n">
        <f aca="false">IF(C22="","",K22)</f>
        <v>46345</v>
      </c>
      <c r="U22" s="6" t="n">
        <f aca="false">IF(C22="","",MAX(N(I22),1))</f>
        <v>3</v>
      </c>
      <c r="V22" s="6" t="n">
        <f aca="false">IF(C22="","",U22*N(O22))</f>
        <v>0</v>
      </c>
      <c r="W22" s="6" t="str">
        <f aca="false">P22</f>
        <v>Por iniciar</v>
      </c>
      <c r="X22" s="6" t="n">
        <f aca="false">IF(Q22="","",N(Q22))</f>
        <v>0</v>
      </c>
      <c r="Y22" s="73" t="str">
        <f aca="false">IF(AND($D22="Hito",ISNUMBER($K22)),IF(AND($K22&gt;=Y$7,$K22&lt;Y$7+7),"◆",""),"")</f>
        <v/>
      </c>
      <c r="Z22" s="73" t="str">
        <f aca="false">IF(AND($D22="Hito",ISNUMBER($K22)),IF(AND($K22&gt;=Z$7,$K22&lt;Z$7+7),"◆",""),"")</f>
        <v/>
      </c>
      <c r="AA22" s="73" t="str">
        <f aca="false">IF(AND($D22="Hito",ISNUMBER($K22)),IF(AND($K22&gt;=AA$7,$K22&lt;AA$7+7),"◆",""),"")</f>
        <v/>
      </c>
      <c r="AB22" s="73" t="str">
        <f aca="false">IF(AND($D22="Hito",ISNUMBER($K22)),IF(AND($K22&gt;=AB$7,$K22&lt;AB$7+7),"◆",""),"")</f>
        <v/>
      </c>
      <c r="AC22" s="73" t="str">
        <f aca="false">IF(AND($D22="Hito",ISNUMBER($K22)),IF(AND($K22&gt;=AC$7,$K22&lt;AC$7+7),"◆",""),"")</f>
        <v/>
      </c>
      <c r="AD22" s="73" t="str">
        <f aca="false">IF(AND($D22="Hito",ISNUMBER($K22)),IF(AND($K22&gt;=AD$7,$K22&lt;AD$7+7),"◆",""),"")</f>
        <v/>
      </c>
      <c r="AE22" s="73" t="str">
        <f aca="false">IF(AND($D22="Hito",ISNUMBER($K22)),IF(AND($K22&gt;=AE$7,$K22&lt;AE$7+7),"◆",""),"")</f>
        <v/>
      </c>
      <c r="AF22" s="73" t="str">
        <f aca="false">IF(AND($D22="Hito",ISNUMBER($K22)),IF(AND($K22&gt;=AF$7,$K22&lt;AF$7+7),"◆",""),"")</f>
        <v/>
      </c>
      <c r="AG22" s="73" t="str">
        <f aca="false">IF(AND($D22="Hito",ISNUMBER($K22)),IF(AND($K22&gt;=AG$7,$K22&lt;AG$7+7),"◆",""),"")</f>
        <v/>
      </c>
      <c r="AH22" s="73" t="str">
        <f aca="false">IF(AND($D22="Hito",ISNUMBER($K22)),IF(AND($K22&gt;=AH$7,$K22&lt;AH$7+7),"◆",""),"")</f>
        <v/>
      </c>
      <c r="AI22" s="73" t="str">
        <f aca="false">IF(AND($D22="Hito",ISNUMBER($K22)),IF(AND($K22&gt;=AI$7,$K22&lt;AI$7+7),"◆",""),"")</f>
        <v/>
      </c>
      <c r="AJ22" s="73" t="str">
        <f aca="false">IF(AND($D22="Hito",ISNUMBER($K22)),IF(AND($K22&gt;=AJ$7,$K22&lt;AJ$7+7),"◆",""),"")</f>
        <v/>
      </c>
      <c r="AK22" s="73" t="str">
        <f aca="false">IF(AND($D22="Hito",ISNUMBER($K22)),IF(AND($K22&gt;=AK$7,$K22&lt;AK$7+7),"◆",""),"")</f>
        <v/>
      </c>
      <c r="AL22" s="73" t="str">
        <f aca="false">IF(AND($D22="Hito",ISNUMBER($K22)),IF(AND($K22&gt;=AL$7,$K22&lt;AL$7+7),"◆",""),"")</f>
        <v/>
      </c>
      <c r="AM22" s="73" t="str">
        <f aca="false">IF(AND($D22="Hito",ISNUMBER($K22)),IF(AND($K22&gt;=AM$7,$K22&lt;AM$7+7),"◆",""),"")</f>
        <v/>
      </c>
      <c r="AN22" s="73" t="str">
        <f aca="false">IF(AND($D22="Hito",ISNUMBER($K22)),IF(AND($K22&gt;=AN$7,$K22&lt;AN$7+7),"◆",""),"")</f>
        <v/>
      </c>
      <c r="AO22" s="73" t="str">
        <f aca="false">IF(AND($D22="Hito",ISNUMBER($K22)),IF(AND($K22&gt;=AO$7,$K22&lt;AO$7+7),"◆",""),"")</f>
        <v/>
      </c>
      <c r="AP22" s="73" t="str">
        <f aca="false">IF(AND($D22="Hito",ISNUMBER($K22)),IF(AND($K22&gt;=AP$7,$K22&lt;AP$7+7),"◆",""),"")</f>
        <v/>
      </c>
      <c r="AQ22" s="73" t="str">
        <f aca="false">IF(AND($D22="Hito",ISNUMBER($K22)),IF(AND($K22&gt;=AQ$7,$K22&lt;AQ$7+7),"◆",""),"")</f>
        <v/>
      </c>
      <c r="AR22" s="73" t="str">
        <f aca="false">IF(AND($D22="Hito",ISNUMBER($K22)),IF(AND($K22&gt;=AR$7,$K22&lt;AR$7+7),"◆",""),"")</f>
        <v/>
      </c>
      <c r="AS22" s="73" t="str">
        <f aca="false">IF(AND($D22="Hito",ISNUMBER($K22)),IF(AND($K22&gt;=AS$7,$K22&lt;AS$7+7),"◆",""),"")</f>
        <v/>
      </c>
      <c r="AT22" s="73" t="str">
        <f aca="false">IF(AND($D22="Hito",ISNUMBER($K22)),IF(AND($K22&gt;=AT$7,$K22&lt;AT$7+7),"◆",""),"")</f>
        <v/>
      </c>
      <c r="AU22" s="73" t="str">
        <f aca="false">IF(AND($D22="Hito",ISNUMBER($K22)),IF(AND($K22&gt;=AU$7,$K22&lt;AU$7+7),"◆",""),"")</f>
        <v/>
      </c>
      <c r="AV22" s="73" t="str">
        <f aca="false">IF(AND($D22="Hito",ISNUMBER($K22)),IF(AND($K22&gt;=AV$7,$K22&lt;AV$7+7),"◆",""),"")</f>
        <v/>
      </c>
      <c r="AW22" s="73" t="str">
        <f aca="false">IF(AND($D22="Hito",ISNUMBER($K22)),IF(AND($K22&gt;=AW$7,$K22&lt;AW$7+7),"◆",""),"")</f>
        <v/>
      </c>
      <c r="AX22" s="73" t="str">
        <f aca="false">IF(AND($D22="Hito",ISNUMBER($K22)),IF(AND($K22&gt;=AX$7,$K22&lt;AX$7+7),"◆",""),"")</f>
        <v/>
      </c>
      <c r="AY22" s="73" t="str">
        <f aca="false">IF(AND($D22="Hito",ISNUMBER($K22)),IF(AND($K22&gt;=AY$7,$K22&lt;AY$7+7),"◆",""),"")</f>
        <v/>
      </c>
      <c r="AZ22" s="73" t="str">
        <f aca="false">IF(AND($D22="Hito",ISNUMBER($K22)),IF(AND($K22&gt;=AZ$7,$K22&lt;AZ$7+7),"◆",""),"")</f>
        <v/>
      </c>
      <c r="BA22" s="73" t="str">
        <f aca="false">IF(AND($D22="Hito",ISNUMBER($K22)),IF(AND($K22&gt;=BA$7,$K22&lt;BA$7+7),"◆",""),"")</f>
        <v/>
      </c>
      <c r="BB22" s="73" t="str">
        <f aca="false">IF(AND($D22="Hito",ISNUMBER($K22)),IF(AND($K22&gt;=BB$7,$K22&lt;BB$7+7),"◆",""),"")</f>
        <v/>
      </c>
      <c r="BC22" s="73" t="str">
        <f aca="false">IF(AND($D22="Hito",ISNUMBER($K22)),IF(AND($K22&gt;=BC$7,$K22&lt;BC$7+7),"◆",""),"")</f>
        <v/>
      </c>
      <c r="BD22" s="73" t="str">
        <f aca="false">IF(AND($D22="Hito",ISNUMBER($K22)),IF(AND($K22&gt;=BD$7,$K22&lt;BD$7+7),"◆",""),"")</f>
        <v/>
      </c>
      <c r="BE22" s="73" t="str">
        <f aca="false">IF(AND($D22="Hito",ISNUMBER($K22)),IF(AND($K22&gt;=BE$7,$K22&lt;BE$7+7),"◆",""),"")</f>
        <v/>
      </c>
      <c r="BF22" s="73" t="str">
        <f aca="false">IF(AND($D22="Hito",ISNUMBER($K22)),IF(AND($K22&gt;=BF$7,$K22&lt;BF$7+7),"◆",""),"")</f>
        <v/>
      </c>
      <c r="BG22" s="73" t="str">
        <f aca="false">IF(AND($D22="Hito",ISNUMBER($K22)),IF(AND($K22&gt;=BG$7,$K22&lt;BG$7+7),"◆",""),"")</f>
        <v/>
      </c>
      <c r="BH22" s="73" t="str">
        <f aca="false">IF(AND($D22="Hito",ISNUMBER($K22)),IF(AND($K22&gt;=BH$7,$K22&lt;BH$7+7),"◆",""),"")</f>
        <v/>
      </c>
      <c r="BI22" s="73" t="str">
        <f aca="false">IF(AND($D22="Hito",ISNUMBER($K22)),IF(AND($K22&gt;=BI$7,$K22&lt;BI$7+7),"◆",""),"")</f>
        <v/>
      </c>
      <c r="BJ22" s="73" t="str">
        <f aca="false">IF(AND($D22="Hito",ISNUMBER($K22)),IF(AND($K22&gt;=BJ$7,$K22&lt;BJ$7+7),"◆",""),"")</f>
        <v/>
      </c>
      <c r="BK22" s="73" t="str">
        <f aca="false">IF(AND($D22="Hito",ISNUMBER($K22)),IF(AND($K22&gt;=BK$7,$K22&lt;BK$7+7),"◆",""),"")</f>
        <v/>
      </c>
      <c r="BL22" s="73" t="str">
        <f aca="false">IF(AND($D22="Hito",ISNUMBER($K22)),IF(AND($K22&gt;=BL$7,$K22&lt;BL$7+7),"◆",""),"")</f>
        <v/>
      </c>
      <c r="BM22" s="73" t="str">
        <f aca="false">IF(AND($D22="Hito",ISNUMBER($K22)),IF(AND($K22&gt;=BM$7,$K22&lt;BM$7+7),"◆",""),"")</f>
        <v/>
      </c>
      <c r="BN22" s="73" t="str">
        <f aca="false">IF(AND($D22="Hito",ISNUMBER($K22)),IF(AND($K22&gt;=BN$7,$K22&lt;BN$7+7),"◆",""),"")</f>
        <v/>
      </c>
      <c r="BO22" s="73" t="str">
        <f aca="false">IF(AND($D22="Hito",ISNUMBER($K22)),IF(AND($K22&gt;=BO$7,$K22&lt;BO$7+7),"◆",""),"")</f>
        <v/>
      </c>
      <c r="BP22" s="73" t="str">
        <f aca="false">IF(AND($D22="Hito",ISNUMBER($K22)),IF(AND($K22&gt;=BP$7,$K22&lt;BP$7+7),"◆",""),"")</f>
        <v/>
      </c>
      <c r="BQ22" s="73" t="str">
        <f aca="false">IF(AND($D22="Hito",ISNUMBER($K22)),IF(AND($K22&gt;=BQ$7,$K22&lt;BQ$7+7),"◆",""),"")</f>
        <v/>
      </c>
      <c r="BR22" s="73" t="str">
        <f aca="false">IF(AND($D22="Hito",ISNUMBER($K22)),IF(AND($K22&gt;=BR$7,$K22&lt;BR$7+7),"◆",""),"")</f>
        <v/>
      </c>
      <c r="BS22" s="73" t="str">
        <f aca="false">IF(AND($D22="Hito",ISNUMBER($K22)),IF(AND($K22&gt;=BS$7,$K22&lt;BS$7+7),"◆",""),"")</f>
        <v/>
      </c>
      <c r="BT22" s="73" t="str">
        <f aca="false">IF(AND($D22="Hito",ISNUMBER($K22)),IF(AND($K22&gt;=BT$7,$K22&lt;BT$7+7),"◆",""),"")</f>
        <v/>
      </c>
      <c r="BU22" s="73" t="str">
        <f aca="false">IF(AND($D22="Hito",ISNUMBER($K22)),IF(AND($K22&gt;=BU$7,$K22&lt;BU$7+7),"◆",""),"")</f>
        <v/>
      </c>
      <c r="BV22" s="73" t="str">
        <f aca="false">IF(AND($D22="Hito",ISNUMBER($K22)),IF(AND($K22&gt;=BV$7,$K22&lt;BV$7+7),"◆",""),"")</f>
        <v/>
      </c>
      <c r="BW22" s="73" t="str">
        <f aca="false">IF(AND($D22="Hito",ISNUMBER($K22)),IF(AND($K22&gt;=BW$7,$K22&lt;BW$7+7),"◆",""),"")</f>
        <v/>
      </c>
      <c r="BX22" s="73" t="str">
        <f aca="false">IF(AND($D22="Hito",ISNUMBER($K22)),IF(AND($K22&gt;=BX$7,$K22&lt;BX$7+7),"◆",""),"")</f>
        <v/>
      </c>
    </row>
    <row r="23" customFormat="false" ht="18.75" hidden="false" customHeight="true" outlineLevel="1" collapsed="false">
      <c r="A23" s="6"/>
      <c r="B23" s="61"/>
      <c r="C23" s="62"/>
      <c r="D23" s="63"/>
      <c r="E23" s="64"/>
      <c r="F23" s="64"/>
      <c r="G23" s="61"/>
      <c r="H23" s="65"/>
      <c r="I23" s="61"/>
      <c r="J23" s="66" t="str">
        <f aca="true">IF(C23="","",IF(L23&lt;&gt;"",L23,IF(H23&lt;&gt;"",H23,IF(G23&lt;&gt;"",IFERROR(INDEX($T$8:$T$36,MATCH(G23,$B$8:$B$36,0))+IF(D23="Hito",0,1),IF(n_FInicio="",TODAY(),n_FInicio)),IF(n_FInicio="",TODAY(),n_FInicio)))))</f>
        <v/>
      </c>
      <c r="K23" s="66" t="str">
        <f aca="false">IF(C23="","",IF(M23&lt;&gt;"",M23,IF(D23="Hito",J23,J23+MAX(N(I23),1)-1)))</f>
        <v/>
      </c>
      <c r="L23" s="67"/>
      <c r="M23" s="67"/>
      <c r="N23" s="68"/>
      <c r="O23" s="69" t="str">
        <f aca="false">IF(C23="","",IF(N23&lt;&gt;"",N23,IF(M23&lt;&gt;"",1,IF(F23="",0,IF(D23="Instalación",MIN(1,IFERROR(SUMIFS('CORTES CLIENTE'!$O$20:$O$219,PRESUPUESTO!$V$7:$V$206,F23)/SUMIFS(PRESUPUESTO!$G$7:$G$206,PRESUPUESTO!$V$7:$V$206,F23),0)),IF(D23="Compra",MIN(1,IFERROR(SUMIFS('CONTROL DE MATERIALES'!$U$11:$U$210,PRESUPUESTO!$V$7:$V$206,F23)/SUMIFS('CONTROL DE MATERIALES'!$V$11:$V$210,PRESUPUESTO!$V$7:$V$206,F23),0)),0))))))</f>
        <v/>
      </c>
      <c r="P23" s="70" t="str">
        <f aca="true">IF(C23="","",IF(D23="Hito",IF(O23&gt;=1,"Cumplido",IF(TODAY()&gt;K23,"Vencido","Pendiente")),IF(O23&gt;=1,"Terminada",IF(TODAY()&gt;K23,"Atrasada",IF(OR(O23&gt;0,L23&lt;&gt;""),"En curso",IF(TODAY()&gt;=J23,"Debe iniciar","Por iniciar"))))))</f>
        <v/>
      </c>
      <c r="Q23" s="71" t="str">
        <f aca="true">IF(OR(C23="",N(O23)&gt;=1),"",IF(TODAY()&gt;K23,TODAY()-K23,0))</f>
        <v/>
      </c>
      <c r="R23" s="6" t="n">
        <f aca="false">COUNTIF($D$8:D23,"Fase")</f>
        <v>3</v>
      </c>
      <c r="S23" s="6" t="str">
        <f aca="false">IF(C23="","",J23)</f>
        <v/>
      </c>
      <c r="T23" s="6" t="str">
        <f aca="false">IF(C23="","",K23)</f>
        <v/>
      </c>
      <c r="U23" s="6" t="str">
        <f aca="false">IF(C23="","",MAX(N(I23),1))</f>
        <v/>
      </c>
      <c r="V23" s="6" t="str">
        <f aca="false">IF(C23="","",U23*N(O23))</f>
        <v/>
      </c>
      <c r="W23" s="6" t="str">
        <f aca="false">P23</f>
        <v/>
      </c>
      <c r="X23" s="6" t="str">
        <f aca="false">IF(Q23="","",N(Q23))</f>
        <v/>
      </c>
      <c r="Y23" s="73" t="str">
        <f aca="false">IF(AND($D23="Hito",ISNUMBER($K23)),IF(AND($K23&gt;=Y$7,$K23&lt;Y$7+7),"◆",""),"")</f>
        <v/>
      </c>
      <c r="Z23" s="73" t="str">
        <f aca="false">IF(AND($D23="Hito",ISNUMBER($K23)),IF(AND($K23&gt;=Z$7,$K23&lt;Z$7+7),"◆",""),"")</f>
        <v/>
      </c>
      <c r="AA23" s="73" t="str">
        <f aca="false">IF(AND($D23="Hito",ISNUMBER($K23)),IF(AND($K23&gt;=AA$7,$K23&lt;AA$7+7),"◆",""),"")</f>
        <v/>
      </c>
      <c r="AB23" s="73" t="str">
        <f aca="false">IF(AND($D23="Hito",ISNUMBER($K23)),IF(AND($K23&gt;=AB$7,$K23&lt;AB$7+7),"◆",""),"")</f>
        <v/>
      </c>
      <c r="AC23" s="73" t="str">
        <f aca="false">IF(AND($D23="Hito",ISNUMBER($K23)),IF(AND($K23&gt;=AC$7,$K23&lt;AC$7+7),"◆",""),"")</f>
        <v/>
      </c>
      <c r="AD23" s="73" t="str">
        <f aca="false">IF(AND($D23="Hito",ISNUMBER($K23)),IF(AND($K23&gt;=AD$7,$K23&lt;AD$7+7),"◆",""),"")</f>
        <v/>
      </c>
      <c r="AE23" s="73" t="str">
        <f aca="false">IF(AND($D23="Hito",ISNUMBER($K23)),IF(AND($K23&gt;=AE$7,$K23&lt;AE$7+7),"◆",""),"")</f>
        <v/>
      </c>
      <c r="AF23" s="73" t="str">
        <f aca="false">IF(AND($D23="Hito",ISNUMBER($K23)),IF(AND($K23&gt;=AF$7,$K23&lt;AF$7+7),"◆",""),"")</f>
        <v/>
      </c>
      <c r="AG23" s="73" t="str">
        <f aca="false">IF(AND($D23="Hito",ISNUMBER($K23)),IF(AND($K23&gt;=AG$7,$K23&lt;AG$7+7),"◆",""),"")</f>
        <v/>
      </c>
      <c r="AH23" s="73" t="str">
        <f aca="false">IF(AND($D23="Hito",ISNUMBER($K23)),IF(AND($K23&gt;=AH$7,$K23&lt;AH$7+7),"◆",""),"")</f>
        <v/>
      </c>
      <c r="AI23" s="73" t="str">
        <f aca="false">IF(AND($D23="Hito",ISNUMBER($K23)),IF(AND($K23&gt;=AI$7,$K23&lt;AI$7+7),"◆",""),"")</f>
        <v/>
      </c>
      <c r="AJ23" s="73" t="str">
        <f aca="false">IF(AND($D23="Hito",ISNUMBER($K23)),IF(AND($K23&gt;=AJ$7,$K23&lt;AJ$7+7),"◆",""),"")</f>
        <v/>
      </c>
      <c r="AK23" s="73" t="str">
        <f aca="false">IF(AND($D23="Hito",ISNUMBER($K23)),IF(AND($K23&gt;=AK$7,$K23&lt;AK$7+7),"◆",""),"")</f>
        <v/>
      </c>
      <c r="AL23" s="73" t="str">
        <f aca="false">IF(AND($D23="Hito",ISNUMBER($K23)),IF(AND($K23&gt;=AL$7,$K23&lt;AL$7+7),"◆",""),"")</f>
        <v/>
      </c>
      <c r="AM23" s="73" t="str">
        <f aca="false">IF(AND($D23="Hito",ISNUMBER($K23)),IF(AND($K23&gt;=AM$7,$K23&lt;AM$7+7),"◆",""),"")</f>
        <v/>
      </c>
      <c r="AN23" s="73" t="str">
        <f aca="false">IF(AND($D23="Hito",ISNUMBER($K23)),IF(AND($K23&gt;=AN$7,$K23&lt;AN$7+7),"◆",""),"")</f>
        <v/>
      </c>
      <c r="AO23" s="73" t="str">
        <f aca="false">IF(AND($D23="Hito",ISNUMBER($K23)),IF(AND($K23&gt;=AO$7,$K23&lt;AO$7+7),"◆",""),"")</f>
        <v/>
      </c>
      <c r="AP23" s="73" t="str">
        <f aca="false">IF(AND($D23="Hito",ISNUMBER($K23)),IF(AND($K23&gt;=AP$7,$K23&lt;AP$7+7),"◆",""),"")</f>
        <v/>
      </c>
      <c r="AQ23" s="73" t="str">
        <f aca="false">IF(AND($D23="Hito",ISNUMBER($K23)),IF(AND($K23&gt;=AQ$7,$K23&lt;AQ$7+7),"◆",""),"")</f>
        <v/>
      </c>
      <c r="AR23" s="73" t="str">
        <f aca="false">IF(AND($D23="Hito",ISNUMBER($K23)),IF(AND($K23&gt;=AR$7,$K23&lt;AR$7+7),"◆",""),"")</f>
        <v/>
      </c>
      <c r="AS23" s="73" t="str">
        <f aca="false">IF(AND($D23="Hito",ISNUMBER($K23)),IF(AND($K23&gt;=AS$7,$K23&lt;AS$7+7),"◆",""),"")</f>
        <v/>
      </c>
      <c r="AT23" s="73" t="str">
        <f aca="false">IF(AND($D23="Hito",ISNUMBER($K23)),IF(AND($K23&gt;=AT$7,$K23&lt;AT$7+7),"◆",""),"")</f>
        <v/>
      </c>
      <c r="AU23" s="73" t="str">
        <f aca="false">IF(AND($D23="Hito",ISNUMBER($K23)),IF(AND($K23&gt;=AU$7,$K23&lt;AU$7+7),"◆",""),"")</f>
        <v/>
      </c>
      <c r="AV23" s="73" t="str">
        <f aca="false">IF(AND($D23="Hito",ISNUMBER($K23)),IF(AND($K23&gt;=AV$7,$K23&lt;AV$7+7),"◆",""),"")</f>
        <v/>
      </c>
      <c r="AW23" s="73" t="str">
        <f aca="false">IF(AND($D23="Hito",ISNUMBER($K23)),IF(AND($K23&gt;=AW$7,$K23&lt;AW$7+7),"◆",""),"")</f>
        <v/>
      </c>
      <c r="AX23" s="73" t="str">
        <f aca="false">IF(AND($D23="Hito",ISNUMBER($K23)),IF(AND($K23&gt;=AX$7,$K23&lt;AX$7+7),"◆",""),"")</f>
        <v/>
      </c>
      <c r="AY23" s="73" t="str">
        <f aca="false">IF(AND($D23="Hito",ISNUMBER($K23)),IF(AND($K23&gt;=AY$7,$K23&lt;AY$7+7),"◆",""),"")</f>
        <v/>
      </c>
      <c r="AZ23" s="73" t="str">
        <f aca="false">IF(AND($D23="Hito",ISNUMBER($K23)),IF(AND($K23&gt;=AZ$7,$K23&lt;AZ$7+7),"◆",""),"")</f>
        <v/>
      </c>
      <c r="BA23" s="73" t="str">
        <f aca="false">IF(AND($D23="Hito",ISNUMBER($K23)),IF(AND($K23&gt;=BA$7,$K23&lt;BA$7+7),"◆",""),"")</f>
        <v/>
      </c>
      <c r="BB23" s="73" t="str">
        <f aca="false">IF(AND($D23="Hito",ISNUMBER($K23)),IF(AND($K23&gt;=BB$7,$K23&lt;BB$7+7),"◆",""),"")</f>
        <v/>
      </c>
      <c r="BC23" s="73" t="str">
        <f aca="false">IF(AND($D23="Hito",ISNUMBER($K23)),IF(AND($K23&gt;=BC$7,$K23&lt;BC$7+7),"◆",""),"")</f>
        <v/>
      </c>
      <c r="BD23" s="73" t="str">
        <f aca="false">IF(AND($D23="Hito",ISNUMBER($K23)),IF(AND($K23&gt;=BD$7,$K23&lt;BD$7+7),"◆",""),"")</f>
        <v/>
      </c>
      <c r="BE23" s="73" t="str">
        <f aca="false">IF(AND($D23="Hito",ISNUMBER($K23)),IF(AND($K23&gt;=BE$7,$K23&lt;BE$7+7),"◆",""),"")</f>
        <v/>
      </c>
      <c r="BF23" s="73" t="str">
        <f aca="false">IF(AND($D23="Hito",ISNUMBER($K23)),IF(AND($K23&gt;=BF$7,$K23&lt;BF$7+7),"◆",""),"")</f>
        <v/>
      </c>
      <c r="BG23" s="73" t="str">
        <f aca="false">IF(AND($D23="Hito",ISNUMBER($K23)),IF(AND($K23&gt;=BG$7,$K23&lt;BG$7+7),"◆",""),"")</f>
        <v/>
      </c>
      <c r="BH23" s="73" t="str">
        <f aca="false">IF(AND($D23="Hito",ISNUMBER($K23)),IF(AND($K23&gt;=BH$7,$K23&lt;BH$7+7),"◆",""),"")</f>
        <v/>
      </c>
      <c r="BI23" s="73" t="str">
        <f aca="false">IF(AND($D23="Hito",ISNUMBER($K23)),IF(AND($K23&gt;=BI$7,$K23&lt;BI$7+7),"◆",""),"")</f>
        <v/>
      </c>
      <c r="BJ23" s="73" t="str">
        <f aca="false">IF(AND($D23="Hito",ISNUMBER($K23)),IF(AND($K23&gt;=BJ$7,$K23&lt;BJ$7+7),"◆",""),"")</f>
        <v/>
      </c>
      <c r="BK23" s="73" t="str">
        <f aca="false">IF(AND($D23="Hito",ISNUMBER($K23)),IF(AND($K23&gt;=BK$7,$K23&lt;BK$7+7),"◆",""),"")</f>
        <v/>
      </c>
      <c r="BL23" s="73" t="str">
        <f aca="false">IF(AND($D23="Hito",ISNUMBER($K23)),IF(AND($K23&gt;=BL$7,$K23&lt;BL$7+7),"◆",""),"")</f>
        <v/>
      </c>
      <c r="BM23" s="73" t="str">
        <f aca="false">IF(AND($D23="Hito",ISNUMBER($K23)),IF(AND($K23&gt;=BM$7,$K23&lt;BM$7+7),"◆",""),"")</f>
        <v/>
      </c>
      <c r="BN23" s="73" t="str">
        <f aca="false">IF(AND($D23="Hito",ISNUMBER($K23)),IF(AND($K23&gt;=BN$7,$K23&lt;BN$7+7),"◆",""),"")</f>
        <v/>
      </c>
      <c r="BO23" s="73" t="str">
        <f aca="false">IF(AND($D23="Hito",ISNUMBER($K23)),IF(AND($K23&gt;=BO$7,$K23&lt;BO$7+7),"◆",""),"")</f>
        <v/>
      </c>
      <c r="BP23" s="73" t="str">
        <f aca="false">IF(AND($D23="Hito",ISNUMBER($K23)),IF(AND($K23&gt;=BP$7,$K23&lt;BP$7+7),"◆",""),"")</f>
        <v/>
      </c>
      <c r="BQ23" s="73" t="str">
        <f aca="false">IF(AND($D23="Hito",ISNUMBER($K23)),IF(AND($K23&gt;=BQ$7,$K23&lt;BQ$7+7),"◆",""),"")</f>
        <v/>
      </c>
      <c r="BR23" s="73" t="str">
        <f aca="false">IF(AND($D23="Hito",ISNUMBER($K23)),IF(AND($K23&gt;=BR$7,$K23&lt;BR$7+7),"◆",""),"")</f>
        <v/>
      </c>
      <c r="BS23" s="73" t="str">
        <f aca="false">IF(AND($D23="Hito",ISNUMBER($K23)),IF(AND($K23&gt;=BS$7,$K23&lt;BS$7+7),"◆",""),"")</f>
        <v/>
      </c>
      <c r="BT23" s="73" t="str">
        <f aca="false">IF(AND($D23="Hito",ISNUMBER($K23)),IF(AND($K23&gt;=BT$7,$K23&lt;BT$7+7),"◆",""),"")</f>
        <v/>
      </c>
      <c r="BU23" s="73" t="str">
        <f aca="false">IF(AND($D23="Hito",ISNUMBER($K23)),IF(AND($K23&gt;=BU$7,$K23&lt;BU$7+7),"◆",""),"")</f>
        <v/>
      </c>
      <c r="BV23" s="73" t="str">
        <f aca="false">IF(AND($D23="Hito",ISNUMBER($K23)),IF(AND($K23&gt;=BV$7,$K23&lt;BV$7+7),"◆",""),"")</f>
        <v/>
      </c>
      <c r="BW23" s="73" t="str">
        <f aca="false">IF(AND($D23="Hito",ISNUMBER($K23)),IF(AND($K23&gt;=BW$7,$K23&lt;BW$7+7),"◆",""),"")</f>
        <v/>
      </c>
      <c r="BX23" s="73" t="str">
        <f aca="false">IF(AND($D23="Hito",ISNUMBER($K23)),IF(AND($K23&gt;=BX$7,$K23&lt;BX$7+7),"◆",""),"")</f>
        <v/>
      </c>
    </row>
    <row r="24" customFormat="false" ht="18.75" hidden="false" customHeight="true" outlineLevel="1" collapsed="false">
      <c r="A24" s="6"/>
      <c r="B24" s="61"/>
      <c r="C24" s="62"/>
      <c r="D24" s="63"/>
      <c r="E24" s="64"/>
      <c r="F24" s="64"/>
      <c r="G24" s="61"/>
      <c r="H24" s="65"/>
      <c r="I24" s="61"/>
      <c r="J24" s="66" t="str">
        <f aca="true">IF(C24="","",IF(L24&lt;&gt;"",L24,IF(H24&lt;&gt;"",H24,IF(G24&lt;&gt;"",IFERROR(INDEX($T$8:$T$36,MATCH(G24,$B$8:$B$36,0))+IF(D24="Hito",0,1),IF(n_FInicio="",TODAY(),n_FInicio)),IF(n_FInicio="",TODAY(),n_FInicio)))))</f>
        <v/>
      </c>
      <c r="K24" s="66" t="str">
        <f aca="false">IF(C24="","",IF(M24&lt;&gt;"",M24,IF(D24="Hito",J24,J24+MAX(N(I24),1)-1)))</f>
        <v/>
      </c>
      <c r="L24" s="67"/>
      <c r="M24" s="67"/>
      <c r="N24" s="68"/>
      <c r="O24" s="69" t="str">
        <f aca="false">IF(C24="","",IF(N24&lt;&gt;"",N24,IF(M24&lt;&gt;"",1,IF(F24="",0,IF(D24="Instalación",MIN(1,IFERROR(SUMIFS('CORTES CLIENTE'!$O$20:$O$219,PRESUPUESTO!$V$7:$V$206,F24)/SUMIFS(PRESUPUESTO!$G$7:$G$206,PRESUPUESTO!$V$7:$V$206,F24),0)),IF(D24="Compra",MIN(1,IFERROR(SUMIFS('CONTROL DE MATERIALES'!$U$11:$U$210,PRESUPUESTO!$V$7:$V$206,F24)/SUMIFS('CONTROL DE MATERIALES'!$V$11:$V$210,PRESUPUESTO!$V$7:$V$206,F24),0)),0))))))</f>
        <v/>
      </c>
      <c r="P24" s="70" t="str">
        <f aca="true">IF(C24="","",IF(D24="Hito",IF(O24&gt;=1,"Cumplido",IF(TODAY()&gt;K24,"Vencido","Pendiente")),IF(O24&gt;=1,"Terminada",IF(TODAY()&gt;K24,"Atrasada",IF(OR(O24&gt;0,L24&lt;&gt;""),"En curso",IF(TODAY()&gt;=J24,"Debe iniciar","Por iniciar"))))))</f>
        <v/>
      </c>
      <c r="Q24" s="71" t="str">
        <f aca="true">IF(OR(C24="",N(O24)&gt;=1),"",IF(TODAY()&gt;K24,TODAY()-K24,0))</f>
        <v/>
      </c>
      <c r="R24" s="6" t="n">
        <f aca="false">COUNTIF($D$8:D24,"Fase")</f>
        <v>3</v>
      </c>
      <c r="S24" s="6" t="str">
        <f aca="false">IF(C24="","",J24)</f>
        <v/>
      </c>
      <c r="T24" s="6" t="str">
        <f aca="false">IF(C24="","",K24)</f>
        <v/>
      </c>
      <c r="U24" s="6" t="str">
        <f aca="false">IF(C24="","",MAX(N(I24),1))</f>
        <v/>
      </c>
      <c r="V24" s="6" t="str">
        <f aca="false">IF(C24="","",U24*N(O24))</f>
        <v/>
      </c>
      <c r="W24" s="6" t="str">
        <f aca="false">P24</f>
        <v/>
      </c>
      <c r="X24" s="6" t="str">
        <f aca="false">IF(Q24="","",N(Q24))</f>
        <v/>
      </c>
      <c r="Y24" s="73" t="str">
        <f aca="false">IF(AND($D24="Hito",ISNUMBER($K24)),IF(AND($K24&gt;=Y$7,$K24&lt;Y$7+7),"◆",""),"")</f>
        <v/>
      </c>
      <c r="Z24" s="73" t="str">
        <f aca="false">IF(AND($D24="Hito",ISNUMBER($K24)),IF(AND($K24&gt;=Z$7,$K24&lt;Z$7+7),"◆",""),"")</f>
        <v/>
      </c>
      <c r="AA24" s="73" t="str">
        <f aca="false">IF(AND($D24="Hito",ISNUMBER($K24)),IF(AND($K24&gt;=AA$7,$K24&lt;AA$7+7),"◆",""),"")</f>
        <v/>
      </c>
      <c r="AB24" s="73" t="str">
        <f aca="false">IF(AND($D24="Hito",ISNUMBER($K24)),IF(AND($K24&gt;=AB$7,$K24&lt;AB$7+7),"◆",""),"")</f>
        <v/>
      </c>
      <c r="AC24" s="73" t="str">
        <f aca="false">IF(AND($D24="Hito",ISNUMBER($K24)),IF(AND($K24&gt;=AC$7,$K24&lt;AC$7+7),"◆",""),"")</f>
        <v/>
      </c>
      <c r="AD24" s="73" t="str">
        <f aca="false">IF(AND($D24="Hito",ISNUMBER($K24)),IF(AND($K24&gt;=AD$7,$K24&lt;AD$7+7),"◆",""),"")</f>
        <v/>
      </c>
      <c r="AE24" s="73" t="str">
        <f aca="false">IF(AND($D24="Hito",ISNUMBER($K24)),IF(AND($K24&gt;=AE$7,$K24&lt;AE$7+7),"◆",""),"")</f>
        <v/>
      </c>
      <c r="AF24" s="73" t="str">
        <f aca="false">IF(AND($D24="Hito",ISNUMBER($K24)),IF(AND($K24&gt;=AF$7,$K24&lt;AF$7+7),"◆",""),"")</f>
        <v/>
      </c>
      <c r="AG24" s="73" t="str">
        <f aca="false">IF(AND($D24="Hito",ISNUMBER($K24)),IF(AND($K24&gt;=AG$7,$K24&lt;AG$7+7),"◆",""),"")</f>
        <v/>
      </c>
      <c r="AH24" s="73" t="str">
        <f aca="false">IF(AND($D24="Hito",ISNUMBER($K24)),IF(AND($K24&gt;=AH$7,$K24&lt;AH$7+7),"◆",""),"")</f>
        <v/>
      </c>
      <c r="AI24" s="73" t="str">
        <f aca="false">IF(AND($D24="Hito",ISNUMBER($K24)),IF(AND($K24&gt;=AI$7,$K24&lt;AI$7+7),"◆",""),"")</f>
        <v/>
      </c>
      <c r="AJ24" s="73" t="str">
        <f aca="false">IF(AND($D24="Hito",ISNUMBER($K24)),IF(AND($K24&gt;=AJ$7,$K24&lt;AJ$7+7),"◆",""),"")</f>
        <v/>
      </c>
      <c r="AK24" s="73" t="str">
        <f aca="false">IF(AND($D24="Hito",ISNUMBER($K24)),IF(AND($K24&gt;=AK$7,$K24&lt;AK$7+7),"◆",""),"")</f>
        <v/>
      </c>
      <c r="AL24" s="73" t="str">
        <f aca="false">IF(AND($D24="Hito",ISNUMBER($K24)),IF(AND($K24&gt;=AL$7,$K24&lt;AL$7+7),"◆",""),"")</f>
        <v/>
      </c>
      <c r="AM24" s="73" t="str">
        <f aca="false">IF(AND($D24="Hito",ISNUMBER($K24)),IF(AND($K24&gt;=AM$7,$K24&lt;AM$7+7),"◆",""),"")</f>
        <v/>
      </c>
      <c r="AN24" s="73" t="str">
        <f aca="false">IF(AND($D24="Hito",ISNUMBER($K24)),IF(AND($K24&gt;=AN$7,$K24&lt;AN$7+7),"◆",""),"")</f>
        <v/>
      </c>
      <c r="AO24" s="73" t="str">
        <f aca="false">IF(AND($D24="Hito",ISNUMBER($K24)),IF(AND($K24&gt;=AO$7,$K24&lt;AO$7+7),"◆",""),"")</f>
        <v/>
      </c>
      <c r="AP24" s="73" t="str">
        <f aca="false">IF(AND($D24="Hito",ISNUMBER($K24)),IF(AND($K24&gt;=AP$7,$K24&lt;AP$7+7),"◆",""),"")</f>
        <v/>
      </c>
      <c r="AQ24" s="73" t="str">
        <f aca="false">IF(AND($D24="Hito",ISNUMBER($K24)),IF(AND($K24&gt;=AQ$7,$K24&lt;AQ$7+7),"◆",""),"")</f>
        <v/>
      </c>
      <c r="AR24" s="73" t="str">
        <f aca="false">IF(AND($D24="Hito",ISNUMBER($K24)),IF(AND($K24&gt;=AR$7,$K24&lt;AR$7+7),"◆",""),"")</f>
        <v/>
      </c>
      <c r="AS24" s="73" t="str">
        <f aca="false">IF(AND($D24="Hito",ISNUMBER($K24)),IF(AND($K24&gt;=AS$7,$K24&lt;AS$7+7),"◆",""),"")</f>
        <v/>
      </c>
      <c r="AT24" s="73" t="str">
        <f aca="false">IF(AND($D24="Hito",ISNUMBER($K24)),IF(AND($K24&gt;=AT$7,$K24&lt;AT$7+7),"◆",""),"")</f>
        <v/>
      </c>
      <c r="AU24" s="73" t="str">
        <f aca="false">IF(AND($D24="Hito",ISNUMBER($K24)),IF(AND($K24&gt;=AU$7,$K24&lt;AU$7+7),"◆",""),"")</f>
        <v/>
      </c>
      <c r="AV24" s="73" t="str">
        <f aca="false">IF(AND($D24="Hito",ISNUMBER($K24)),IF(AND($K24&gt;=AV$7,$K24&lt;AV$7+7),"◆",""),"")</f>
        <v/>
      </c>
      <c r="AW24" s="73" t="str">
        <f aca="false">IF(AND($D24="Hito",ISNUMBER($K24)),IF(AND($K24&gt;=AW$7,$K24&lt;AW$7+7),"◆",""),"")</f>
        <v/>
      </c>
      <c r="AX24" s="73" t="str">
        <f aca="false">IF(AND($D24="Hito",ISNUMBER($K24)),IF(AND($K24&gt;=AX$7,$K24&lt;AX$7+7),"◆",""),"")</f>
        <v/>
      </c>
      <c r="AY24" s="73" t="str">
        <f aca="false">IF(AND($D24="Hito",ISNUMBER($K24)),IF(AND($K24&gt;=AY$7,$K24&lt;AY$7+7),"◆",""),"")</f>
        <v/>
      </c>
      <c r="AZ24" s="73" t="str">
        <f aca="false">IF(AND($D24="Hito",ISNUMBER($K24)),IF(AND($K24&gt;=AZ$7,$K24&lt;AZ$7+7),"◆",""),"")</f>
        <v/>
      </c>
      <c r="BA24" s="73" t="str">
        <f aca="false">IF(AND($D24="Hito",ISNUMBER($K24)),IF(AND($K24&gt;=BA$7,$K24&lt;BA$7+7),"◆",""),"")</f>
        <v/>
      </c>
      <c r="BB24" s="73" t="str">
        <f aca="false">IF(AND($D24="Hito",ISNUMBER($K24)),IF(AND($K24&gt;=BB$7,$K24&lt;BB$7+7),"◆",""),"")</f>
        <v/>
      </c>
      <c r="BC24" s="73" t="str">
        <f aca="false">IF(AND($D24="Hito",ISNUMBER($K24)),IF(AND($K24&gt;=BC$7,$K24&lt;BC$7+7),"◆",""),"")</f>
        <v/>
      </c>
      <c r="BD24" s="73" t="str">
        <f aca="false">IF(AND($D24="Hito",ISNUMBER($K24)),IF(AND($K24&gt;=BD$7,$K24&lt;BD$7+7),"◆",""),"")</f>
        <v/>
      </c>
      <c r="BE24" s="73" t="str">
        <f aca="false">IF(AND($D24="Hito",ISNUMBER($K24)),IF(AND($K24&gt;=BE$7,$K24&lt;BE$7+7),"◆",""),"")</f>
        <v/>
      </c>
      <c r="BF24" s="73" t="str">
        <f aca="false">IF(AND($D24="Hito",ISNUMBER($K24)),IF(AND($K24&gt;=BF$7,$K24&lt;BF$7+7),"◆",""),"")</f>
        <v/>
      </c>
      <c r="BG24" s="73" t="str">
        <f aca="false">IF(AND($D24="Hito",ISNUMBER($K24)),IF(AND($K24&gt;=BG$7,$K24&lt;BG$7+7),"◆",""),"")</f>
        <v/>
      </c>
      <c r="BH24" s="73" t="str">
        <f aca="false">IF(AND($D24="Hito",ISNUMBER($K24)),IF(AND($K24&gt;=BH$7,$K24&lt;BH$7+7),"◆",""),"")</f>
        <v/>
      </c>
      <c r="BI24" s="73" t="str">
        <f aca="false">IF(AND($D24="Hito",ISNUMBER($K24)),IF(AND($K24&gt;=BI$7,$K24&lt;BI$7+7),"◆",""),"")</f>
        <v/>
      </c>
      <c r="BJ24" s="73" t="str">
        <f aca="false">IF(AND($D24="Hito",ISNUMBER($K24)),IF(AND($K24&gt;=BJ$7,$K24&lt;BJ$7+7),"◆",""),"")</f>
        <v/>
      </c>
      <c r="BK24" s="73" t="str">
        <f aca="false">IF(AND($D24="Hito",ISNUMBER($K24)),IF(AND($K24&gt;=BK$7,$K24&lt;BK$7+7),"◆",""),"")</f>
        <v/>
      </c>
      <c r="BL24" s="73" t="str">
        <f aca="false">IF(AND($D24="Hito",ISNUMBER($K24)),IF(AND($K24&gt;=BL$7,$K24&lt;BL$7+7),"◆",""),"")</f>
        <v/>
      </c>
      <c r="BM24" s="73" t="str">
        <f aca="false">IF(AND($D24="Hito",ISNUMBER($K24)),IF(AND($K24&gt;=BM$7,$K24&lt;BM$7+7),"◆",""),"")</f>
        <v/>
      </c>
      <c r="BN24" s="73" t="str">
        <f aca="false">IF(AND($D24="Hito",ISNUMBER($K24)),IF(AND($K24&gt;=BN$7,$K24&lt;BN$7+7),"◆",""),"")</f>
        <v/>
      </c>
      <c r="BO24" s="73" t="str">
        <f aca="false">IF(AND($D24="Hito",ISNUMBER($K24)),IF(AND($K24&gt;=BO$7,$K24&lt;BO$7+7),"◆",""),"")</f>
        <v/>
      </c>
      <c r="BP24" s="73" t="str">
        <f aca="false">IF(AND($D24="Hito",ISNUMBER($K24)),IF(AND($K24&gt;=BP$7,$K24&lt;BP$7+7),"◆",""),"")</f>
        <v/>
      </c>
      <c r="BQ24" s="73" t="str">
        <f aca="false">IF(AND($D24="Hito",ISNUMBER($K24)),IF(AND($K24&gt;=BQ$7,$K24&lt;BQ$7+7),"◆",""),"")</f>
        <v/>
      </c>
      <c r="BR24" s="73" t="str">
        <f aca="false">IF(AND($D24="Hito",ISNUMBER($K24)),IF(AND($K24&gt;=BR$7,$K24&lt;BR$7+7),"◆",""),"")</f>
        <v/>
      </c>
      <c r="BS24" s="73" t="str">
        <f aca="false">IF(AND($D24="Hito",ISNUMBER($K24)),IF(AND($K24&gt;=BS$7,$K24&lt;BS$7+7),"◆",""),"")</f>
        <v/>
      </c>
      <c r="BT24" s="73" t="str">
        <f aca="false">IF(AND($D24="Hito",ISNUMBER($K24)),IF(AND($K24&gt;=BT$7,$K24&lt;BT$7+7),"◆",""),"")</f>
        <v/>
      </c>
      <c r="BU24" s="73" t="str">
        <f aca="false">IF(AND($D24="Hito",ISNUMBER($K24)),IF(AND($K24&gt;=BU$7,$K24&lt;BU$7+7),"◆",""),"")</f>
        <v/>
      </c>
      <c r="BV24" s="73" t="str">
        <f aca="false">IF(AND($D24="Hito",ISNUMBER($K24)),IF(AND($K24&gt;=BV$7,$K24&lt;BV$7+7),"◆",""),"")</f>
        <v/>
      </c>
      <c r="BW24" s="73" t="str">
        <f aca="false">IF(AND($D24="Hito",ISNUMBER($K24)),IF(AND($K24&gt;=BW$7,$K24&lt;BW$7+7),"◆",""),"")</f>
        <v/>
      </c>
      <c r="BX24" s="73" t="str">
        <f aca="false">IF(AND($D24="Hito",ISNUMBER($K24)),IF(AND($K24&gt;=BX$7,$K24&lt;BX$7+7),"◆",""),"")</f>
        <v/>
      </c>
    </row>
    <row r="25" customFormat="false" ht="24" hidden="false" customHeight="true" outlineLevel="0" collapsed="false">
      <c r="A25" s="56"/>
      <c r="B25" s="56" t="str">
        <f aca="false">"F"&amp;R25</f>
        <v>F4</v>
      </c>
      <c r="C25" s="57" t="s">
        <v>189</v>
      </c>
      <c r="D25" s="56" t="s">
        <v>170</v>
      </c>
      <c r="E25" s="56"/>
      <c r="F25" s="56"/>
      <c r="G25" s="56"/>
      <c r="H25" s="56"/>
      <c r="I25" s="58" t="n">
        <f aca="false">IF(OR(J25="",K25=""),"",K25-J25+1)</f>
        <v>1</v>
      </c>
      <c r="J25" s="59" t="n">
        <f aca="false">IFERROR(1/(1/_xlfn.MINIFS($S$8:$S$36,$R$8:$R$36,R25)),"")</f>
        <v>46312</v>
      </c>
      <c r="K25" s="59" t="n">
        <f aca="false">IFERROR(1/(1/_xlfn.MAXIFS($T$8:$T$36,$R$8:$R$36,R25)),"")</f>
        <v>46312</v>
      </c>
      <c r="L25" s="56"/>
      <c r="M25" s="56"/>
      <c r="N25" s="56"/>
      <c r="O25" s="60" t="n">
        <f aca="false">IFERROR(SUMIFS($V$8:$V$36,$R$8:$R$36,R25)/SUMIFS($U$8:$U$36,$R$8:$R$36,R25),"")</f>
        <v>0</v>
      </c>
      <c r="P25" s="56" t="str">
        <f aca="false">IF(COUNTIFS($R$8:$R$36,R25,$U$8:$U$36,"&gt;0")=0,"",IF(COUNTIFS($R$8:$R$36,R25,$W$8:$W$36,"Atrasada")+COUNTIFS($R$8:$R$36,R25,$W$8:$W$36,"Vencido")&gt;0,"Con atraso",IF(N(O25)&gt;=1,"Terminada",IF(N(O25)&gt;0,"En curso","Por iniciar"))))</f>
        <v>Por iniciar</v>
      </c>
      <c r="Q25" s="58" t="str">
        <f aca="false">IF(N(_xlfn.MAXIFS($X$8:$X$36,$R$8:$R$36,R25))&gt;0,_xlfn.MAXIFS($X$8:$X$36,$R$8:$R$36,R25),"")</f>
        <v/>
      </c>
      <c r="R25" s="6" t="n">
        <f aca="false">COUNTIF($D$8:D25,"Fase")</f>
        <v>4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customFormat="false" ht="18.75" hidden="false" customHeight="true" outlineLevel="1" collapsed="false">
      <c r="A26" s="6"/>
      <c r="B26" s="61" t="n">
        <v>11</v>
      </c>
      <c r="C26" s="62" t="s">
        <v>190</v>
      </c>
      <c r="D26" s="63" t="s">
        <v>172</v>
      </c>
      <c r="E26" s="64" t="s">
        <v>175</v>
      </c>
      <c r="F26" s="64"/>
      <c r="G26" s="61"/>
      <c r="H26" s="65"/>
      <c r="I26" s="61" t="n">
        <v>0</v>
      </c>
      <c r="J26" s="66" t="n">
        <f aca="true">IF(C26="","",IF(L26&lt;&gt;"",L26,IF(H26&lt;&gt;"",H26,IF(G26&lt;&gt;"",IFERROR(INDEX($T$8:$T$36,MATCH(G26,$B$8:$B$36,0))+IF(D26="Hito",0,1),IF(n_FInicio="",TODAY(),n_FInicio)),IF(n_FInicio="",TODAY(),n_FInicio)))))</f>
        <v>46312</v>
      </c>
      <c r="K26" s="66" t="n">
        <f aca="false">IF(C26="","",IF(M26&lt;&gt;"",M26,IF(D26="Hito",J26,J26+MAX(N(I26),1)-1)))</f>
        <v>46312</v>
      </c>
      <c r="L26" s="67"/>
      <c r="M26" s="67"/>
      <c r="N26" s="68"/>
      <c r="O26" s="69" t="n">
        <f aca="false">IF(C26="","",IF(N26&lt;&gt;"",N26,IF(M26&lt;&gt;"",1,IF(F26="",0,IF(D26="Instalación",MIN(1,IFERROR(SUMIFS('CORTES CLIENTE'!$O$20:$O$219,PRESUPUESTO!$V$7:$V$206,F26)/SUMIFS(PRESUPUESTO!$G$7:$G$206,PRESUPUESTO!$V$7:$V$206,F26),0)),IF(D26="Compra",MIN(1,IFERROR(SUMIFS('CONTROL DE MATERIALES'!$U$11:$U$210,PRESUPUESTO!$V$7:$V$206,F26)/SUMIFS('CONTROL DE MATERIALES'!$V$11:$V$210,PRESUPUESTO!$V$7:$V$206,F26),0)),0))))))</f>
        <v>0</v>
      </c>
      <c r="P26" s="70" t="str">
        <f aca="true">IF(C26="","",IF(D26="Hito",IF(O26&gt;=1,"Cumplido",IF(TODAY()&gt;K26,"Vencido","Pendiente")),IF(O26&gt;=1,"Terminada",IF(TODAY()&gt;K26,"Atrasada",IF(OR(O26&gt;0,L26&lt;&gt;""),"En curso",IF(TODAY()&gt;=J26,"Debe iniciar","Por iniciar"))))))</f>
        <v>Pendiente</v>
      </c>
      <c r="Q26" s="71" t="n">
        <f aca="true">IF(OR(C26="",N(O26)&gt;=1),"",IF(TODAY()&gt;K26,TODAY()-K26,0))</f>
        <v>0</v>
      </c>
      <c r="R26" s="6" t="n">
        <f aca="false">COUNTIF($D$8:D26,"Fase")</f>
        <v>4</v>
      </c>
      <c r="S26" s="72" t="n">
        <f aca="false">IF(C26="","",J26)</f>
        <v>46312</v>
      </c>
      <c r="T26" s="72" t="n">
        <f aca="false">IF(C26="","",K26)</f>
        <v>46312</v>
      </c>
      <c r="U26" s="6" t="n">
        <f aca="false">IF(C26="","",MAX(N(I26),1))</f>
        <v>1</v>
      </c>
      <c r="V26" s="6" t="n">
        <f aca="false">IF(C26="","",U26*N(O26))</f>
        <v>0</v>
      </c>
      <c r="W26" s="6" t="str">
        <f aca="false">P26</f>
        <v>Pendiente</v>
      </c>
      <c r="X26" s="6" t="n">
        <f aca="false">IF(Q26="","",N(Q26))</f>
        <v>0</v>
      </c>
      <c r="Y26" s="73" t="str">
        <f aca="false">IF(AND($D26="Hito",ISNUMBER($K26)),IF(AND($K26&gt;=Y$7,$K26&lt;Y$7+7),"◆",""),"")</f>
        <v>◆</v>
      </c>
      <c r="Z26" s="73" t="str">
        <f aca="false">IF(AND($D26="Hito",ISNUMBER($K26)),IF(AND($K26&gt;=Z$7,$K26&lt;Z$7+7),"◆",""),"")</f>
        <v/>
      </c>
      <c r="AA26" s="73" t="str">
        <f aca="false">IF(AND($D26="Hito",ISNUMBER($K26)),IF(AND($K26&gt;=AA$7,$K26&lt;AA$7+7),"◆",""),"")</f>
        <v/>
      </c>
      <c r="AB26" s="73" t="str">
        <f aca="false">IF(AND($D26="Hito",ISNUMBER($K26)),IF(AND($K26&gt;=AB$7,$K26&lt;AB$7+7),"◆",""),"")</f>
        <v/>
      </c>
      <c r="AC26" s="73" t="str">
        <f aca="false">IF(AND($D26="Hito",ISNUMBER($K26)),IF(AND($K26&gt;=AC$7,$K26&lt;AC$7+7),"◆",""),"")</f>
        <v/>
      </c>
      <c r="AD26" s="73" t="str">
        <f aca="false">IF(AND($D26="Hito",ISNUMBER($K26)),IF(AND($K26&gt;=AD$7,$K26&lt;AD$7+7),"◆",""),"")</f>
        <v/>
      </c>
      <c r="AE26" s="73" t="str">
        <f aca="false">IF(AND($D26="Hito",ISNUMBER($K26)),IF(AND($K26&gt;=AE$7,$K26&lt;AE$7+7),"◆",""),"")</f>
        <v/>
      </c>
      <c r="AF26" s="73" t="str">
        <f aca="false">IF(AND($D26="Hito",ISNUMBER($K26)),IF(AND($K26&gt;=AF$7,$K26&lt;AF$7+7),"◆",""),"")</f>
        <v/>
      </c>
      <c r="AG26" s="73" t="str">
        <f aca="false">IF(AND($D26="Hito",ISNUMBER($K26)),IF(AND($K26&gt;=AG$7,$K26&lt;AG$7+7),"◆",""),"")</f>
        <v/>
      </c>
      <c r="AH26" s="73" t="str">
        <f aca="false">IF(AND($D26="Hito",ISNUMBER($K26)),IF(AND($K26&gt;=AH$7,$K26&lt;AH$7+7),"◆",""),"")</f>
        <v/>
      </c>
      <c r="AI26" s="73" t="str">
        <f aca="false">IF(AND($D26="Hito",ISNUMBER($K26)),IF(AND($K26&gt;=AI$7,$K26&lt;AI$7+7),"◆",""),"")</f>
        <v/>
      </c>
      <c r="AJ26" s="73" t="str">
        <f aca="false">IF(AND($D26="Hito",ISNUMBER($K26)),IF(AND($K26&gt;=AJ$7,$K26&lt;AJ$7+7),"◆",""),"")</f>
        <v/>
      </c>
      <c r="AK26" s="73" t="str">
        <f aca="false">IF(AND($D26="Hito",ISNUMBER($K26)),IF(AND($K26&gt;=AK$7,$K26&lt;AK$7+7),"◆",""),"")</f>
        <v/>
      </c>
      <c r="AL26" s="73" t="str">
        <f aca="false">IF(AND($D26="Hito",ISNUMBER($K26)),IF(AND($K26&gt;=AL$7,$K26&lt;AL$7+7),"◆",""),"")</f>
        <v/>
      </c>
      <c r="AM26" s="73" t="str">
        <f aca="false">IF(AND($D26="Hito",ISNUMBER($K26)),IF(AND($K26&gt;=AM$7,$K26&lt;AM$7+7),"◆",""),"")</f>
        <v/>
      </c>
      <c r="AN26" s="73" t="str">
        <f aca="false">IF(AND($D26="Hito",ISNUMBER($K26)),IF(AND($K26&gt;=AN$7,$K26&lt;AN$7+7),"◆",""),"")</f>
        <v/>
      </c>
      <c r="AO26" s="73" t="str">
        <f aca="false">IF(AND($D26="Hito",ISNUMBER($K26)),IF(AND($K26&gt;=AO$7,$K26&lt;AO$7+7),"◆",""),"")</f>
        <v/>
      </c>
      <c r="AP26" s="73" t="str">
        <f aca="false">IF(AND($D26="Hito",ISNUMBER($K26)),IF(AND($K26&gt;=AP$7,$K26&lt;AP$7+7),"◆",""),"")</f>
        <v/>
      </c>
      <c r="AQ26" s="73" t="str">
        <f aca="false">IF(AND($D26="Hito",ISNUMBER($K26)),IF(AND($K26&gt;=AQ$7,$K26&lt;AQ$7+7),"◆",""),"")</f>
        <v/>
      </c>
      <c r="AR26" s="73" t="str">
        <f aca="false">IF(AND($D26="Hito",ISNUMBER($K26)),IF(AND($K26&gt;=AR$7,$K26&lt;AR$7+7),"◆",""),"")</f>
        <v/>
      </c>
      <c r="AS26" s="73" t="str">
        <f aca="false">IF(AND($D26="Hito",ISNUMBER($K26)),IF(AND($K26&gt;=AS$7,$K26&lt;AS$7+7),"◆",""),"")</f>
        <v/>
      </c>
      <c r="AT26" s="73" t="str">
        <f aca="false">IF(AND($D26="Hito",ISNUMBER($K26)),IF(AND($K26&gt;=AT$7,$K26&lt;AT$7+7),"◆",""),"")</f>
        <v/>
      </c>
      <c r="AU26" s="73" t="str">
        <f aca="false">IF(AND($D26="Hito",ISNUMBER($K26)),IF(AND($K26&gt;=AU$7,$K26&lt;AU$7+7),"◆",""),"")</f>
        <v/>
      </c>
      <c r="AV26" s="73" t="str">
        <f aca="false">IF(AND($D26="Hito",ISNUMBER($K26)),IF(AND($K26&gt;=AV$7,$K26&lt;AV$7+7),"◆",""),"")</f>
        <v/>
      </c>
      <c r="AW26" s="73" t="str">
        <f aca="false">IF(AND($D26="Hito",ISNUMBER($K26)),IF(AND($K26&gt;=AW$7,$K26&lt;AW$7+7),"◆",""),"")</f>
        <v/>
      </c>
      <c r="AX26" s="73" t="str">
        <f aca="false">IF(AND($D26="Hito",ISNUMBER($K26)),IF(AND($K26&gt;=AX$7,$K26&lt;AX$7+7),"◆",""),"")</f>
        <v/>
      </c>
      <c r="AY26" s="73" t="str">
        <f aca="false">IF(AND($D26="Hito",ISNUMBER($K26)),IF(AND($K26&gt;=AY$7,$K26&lt;AY$7+7),"◆",""),"")</f>
        <v/>
      </c>
      <c r="AZ26" s="73" t="str">
        <f aca="false">IF(AND($D26="Hito",ISNUMBER($K26)),IF(AND($K26&gt;=AZ$7,$K26&lt;AZ$7+7),"◆",""),"")</f>
        <v/>
      </c>
      <c r="BA26" s="73" t="str">
        <f aca="false">IF(AND($D26="Hito",ISNUMBER($K26)),IF(AND($K26&gt;=BA$7,$K26&lt;BA$7+7),"◆",""),"")</f>
        <v/>
      </c>
      <c r="BB26" s="73" t="str">
        <f aca="false">IF(AND($D26="Hito",ISNUMBER($K26)),IF(AND($K26&gt;=BB$7,$K26&lt;BB$7+7),"◆",""),"")</f>
        <v/>
      </c>
      <c r="BC26" s="73" t="str">
        <f aca="false">IF(AND($D26="Hito",ISNUMBER($K26)),IF(AND($K26&gt;=BC$7,$K26&lt;BC$7+7),"◆",""),"")</f>
        <v/>
      </c>
      <c r="BD26" s="73" t="str">
        <f aca="false">IF(AND($D26="Hito",ISNUMBER($K26)),IF(AND($K26&gt;=BD$7,$K26&lt;BD$7+7),"◆",""),"")</f>
        <v/>
      </c>
      <c r="BE26" s="73" t="str">
        <f aca="false">IF(AND($D26="Hito",ISNUMBER($K26)),IF(AND($K26&gt;=BE$7,$K26&lt;BE$7+7),"◆",""),"")</f>
        <v/>
      </c>
      <c r="BF26" s="73" t="str">
        <f aca="false">IF(AND($D26="Hito",ISNUMBER($K26)),IF(AND($K26&gt;=BF$7,$K26&lt;BF$7+7),"◆",""),"")</f>
        <v/>
      </c>
      <c r="BG26" s="73" t="str">
        <f aca="false">IF(AND($D26="Hito",ISNUMBER($K26)),IF(AND($K26&gt;=BG$7,$K26&lt;BG$7+7),"◆",""),"")</f>
        <v/>
      </c>
      <c r="BH26" s="73" t="str">
        <f aca="false">IF(AND($D26="Hito",ISNUMBER($K26)),IF(AND($K26&gt;=BH$7,$K26&lt;BH$7+7),"◆",""),"")</f>
        <v/>
      </c>
      <c r="BI26" s="73" t="str">
        <f aca="false">IF(AND($D26="Hito",ISNUMBER($K26)),IF(AND($K26&gt;=BI$7,$K26&lt;BI$7+7),"◆",""),"")</f>
        <v/>
      </c>
      <c r="BJ26" s="73" t="str">
        <f aca="false">IF(AND($D26="Hito",ISNUMBER($K26)),IF(AND($K26&gt;=BJ$7,$K26&lt;BJ$7+7),"◆",""),"")</f>
        <v/>
      </c>
      <c r="BK26" s="73" t="str">
        <f aca="false">IF(AND($D26="Hito",ISNUMBER($K26)),IF(AND($K26&gt;=BK$7,$K26&lt;BK$7+7),"◆",""),"")</f>
        <v/>
      </c>
      <c r="BL26" s="73" t="str">
        <f aca="false">IF(AND($D26="Hito",ISNUMBER($K26)),IF(AND($K26&gt;=BL$7,$K26&lt;BL$7+7),"◆",""),"")</f>
        <v/>
      </c>
      <c r="BM26" s="73" t="str">
        <f aca="false">IF(AND($D26="Hito",ISNUMBER($K26)),IF(AND($K26&gt;=BM$7,$K26&lt;BM$7+7),"◆",""),"")</f>
        <v/>
      </c>
      <c r="BN26" s="73" t="str">
        <f aca="false">IF(AND($D26="Hito",ISNUMBER($K26)),IF(AND($K26&gt;=BN$7,$K26&lt;BN$7+7),"◆",""),"")</f>
        <v/>
      </c>
      <c r="BO26" s="73" t="str">
        <f aca="false">IF(AND($D26="Hito",ISNUMBER($K26)),IF(AND($K26&gt;=BO$7,$K26&lt;BO$7+7),"◆",""),"")</f>
        <v/>
      </c>
      <c r="BP26" s="73" t="str">
        <f aca="false">IF(AND($D26="Hito",ISNUMBER($K26)),IF(AND($K26&gt;=BP$7,$K26&lt;BP$7+7),"◆",""),"")</f>
        <v/>
      </c>
      <c r="BQ26" s="73" t="str">
        <f aca="false">IF(AND($D26="Hito",ISNUMBER($K26)),IF(AND($K26&gt;=BQ$7,$K26&lt;BQ$7+7),"◆",""),"")</f>
        <v/>
      </c>
      <c r="BR26" s="73" t="str">
        <f aca="false">IF(AND($D26="Hito",ISNUMBER($K26)),IF(AND($K26&gt;=BR$7,$K26&lt;BR$7+7),"◆",""),"")</f>
        <v/>
      </c>
      <c r="BS26" s="73" t="str">
        <f aca="false">IF(AND($D26="Hito",ISNUMBER($K26)),IF(AND($K26&gt;=BS$7,$K26&lt;BS$7+7),"◆",""),"")</f>
        <v/>
      </c>
      <c r="BT26" s="73" t="str">
        <f aca="false">IF(AND($D26="Hito",ISNUMBER($K26)),IF(AND($K26&gt;=BT$7,$K26&lt;BT$7+7),"◆",""),"")</f>
        <v/>
      </c>
      <c r="BU26" s="73" t="str">
        <f aca="false">IF(AND($D26="Hito",ISNUMBER($K26)),IF(AND($K26&gt;=BU$7,$K26&lt;BU$7+7),"◆",""),"")</f>
        <v/>
      </c>
      <c r="BV26" s="73" t="str">
        <f aca="false">IF(AND($D26="Hito",ISNUMBER($K26)),IF(AND($K26&gt;=BV$7,$K26&lt;BV$7+7),"◆",""),"")</f>
        <v/>
      </c>
      <c r="BW26" s="73" t="str">
        <f aca="false">IF(AND($D26="Hito",ISNUMBER($K26)),IF(AND($K26&gt;=BW$7,$K26&lt;BW$7+7),"◆",""),"")</f>
        <v/>
      </c>
      <c r="BX26" s="73" t="str">
        <f aca="false">IF(AND($D26="Hito",ISNUMBER($K26)),IF(AND($K26&gt;=BX$7,$K26&lt;BX$7+7),"◆",""),"")</f>
        <v/>
      </c>
    </row>
    <row r="27" customFormat="false" ht="18.75" hidden="false" customHeight="true" outlineLevel="1" collapsed="false">
      <c r="A27" s="6"/>
      <c r="B27" s="61"/>
      <c r="C27" s="62"/>
      <c r="D27" s="63"/>
      <c r="E27" s="64"/>
      <c r="F27" s="64"/>
      <c r="G27" s="61"/>
      <c r="H27" s="65"/>
      <c r="I27" s="61"/>
      <c r="J27" s="66" t="str">
        <f aca="true">IF(C27="","",IF(L27&lt;&gt;"",L27,IF(H27&lt;&gt;"",H27,IF(G27&lt;&gt;"",IFERROR(INDEX($T$8:$T$36,MATCH(G27,$B$8:$B$36,0))+IF(D27="Hito",0,1),IF(n_FInicio="",TODAY(),n_FInicio)),IF(n_FInicio="",TODAY(),n_FInicio)))))</f>
        <v/>
      </c>
      <c r="K27" s="66" t="str">
        <f aca="false">IF(C27="","",IF(M27&lt;&gt;"",M27,IF(D27="Hito",J27,J27+MAX(N(I27),1)-1)))</f>
        <v/>
      </c>
      <c r="L27" s="67"/>
      <c r="M27" s="67"/>
      <c r="N27" s="68"/>
      <c r="O27" s="69" t="str">
        <f aca="false">IF(C27="","",IF(N27&lt;&gt;"",N27,IF(M27&lt;&gt;"",1,IF(F27="",0,IF(D27="Instalación",MIN(1,IFERROR(SUMIFS('CORTES CLIENTE'!$O$20:$O$219,PRESUPUESTO!$V$7:$V$206,F27)/SUMIFS(PRESUPUESTO!$G$7:$G$206,PRESUPUESTO!$V$7:$V$206,F27),0)),IF(D27="Compra",MIN(1,IFERROR(SUMIFS('CONTROL DE MATERIALES'!$U$11:$U$210,PRESUPUESTO!$V$7:$V$206,F27)/SUMIFS('CONTROL DE MATERIALES'!$V$11:$V$210,PRESUPUESTO!$V$7:$V$206,F27),0)),0))))))</f>
        <v/>
      </c>
      <c r="P27" s="70" t="str">
        <f aca="true">IF(C27="","",IF(D27="Hito",IF(O27&gt;=1,"Cumplido",IF(TODAY()&gt;K27,"Vencido","Pendiente")),IF(O27&gt;=1,"Terminada",IF(TODAY()&gt;K27,"Atrasada",IF(OR(O27&gt;0,L27&lt;&gt;""),"En curso",IF(TODAY()&gt;=J27,"Debe iniciar","Por iniciar"))))))</f>
        <v/>
      </c>
      <c r="Q27" s="71" t="str">
        <f aca="true">IF(OR(C27="",N(O27)&gt;=1),"",IF(TODAY()&gt;K27,TODAY()-K27,0))</f>
        <v/>
      </c>
      <c r="R27" s="6" t="n">
        <f aca="false">COUNTIF($D$8:D27,"Fase")</f>
        <v>4</v>
      </c>
      <c r="S27" s="6" t="str">
        <f aca="false">IF(C27="","",J27)</f>
        <v/>
      </c>
      <c r="T27" s="6" t="str">
        <f aca="false">IF(C27="","",K27)</f>
        <v/>
      </c>
      <c r="U27" s="6" t="str">
        <f aca="false">IF(C27="","",MAX(N(I27),1))</f>
        <v/>
      </c>
      <c r="V27" s="6" t="str">
        <f aca="false">IF(C27="","",U27*N(O27))</f>
        <v/>
      </c>
      <c r="W27" s="6" t="str">
        <f aca="false">P27</f>
        <v/>
      </c>
      <c r="X27" s="6" t="str">
        <f aca="false">IF(Q27="","",N(Q27))</f>
        <v/>
      </c>
      <c r="Y27" s="73" t="str">
        <f aca="false">IF(AND($D27="Hito",ISNUMBER($K27)),IF(AND($K27&gt;=Y$7,$K27&lt;Y$7+7),"◆",""),"")</f>
        <v/>
      </c>
      <c r="Z27" s="73" t="str">
        <f aca="false">IF(AND($D27="Hito",ISNUMBER($K27)),IF(AND($K27&gt;=Z$7,$K27&lt;Z$7+7),"◆",""),"")</f>
        <v/>
      </c>
      <c r="AA27" s="73" t="str">
        <f aca="false">IF(AND($D27="Hito",ISNUMBER($K27)),IF(AND($K27&gt;=AA$7,$K27&lt;AA$7+7),"◆",""),"")</f>
        <v/>
      </c>
      <c r="AB27" s="73" t="str">
        <f aca="false">IF(AND($D27="Hito",ISNUMBER($K27)),IF(AND($K27&gt;=AB$7,$K27&lt;AB$7+7),"◆",""),"")</f>
        <v/>
      </c>
      <c r="AC27" s="73" t="str">
        <f aca="false">IF(AND($D27="Hito",ISNUMBER($K27)),IF(AND($K27&gt;=AC$7,$K27&lt;AC$7+7),"◆",""),"")</f>
        <v/>
      </c>
      <c r="AD27" s="73" t="str">
        <f aca="false">IF(AND($D27="Hito",ISNUMBER($K27)),IF(AND($K27&gt;=AD$7,$K27&lt;AD$7+7),"◆",""),"")</f>
        <v/>
      </c>
      <c r="AE27" s="73" t="str">
        <f aca="false">IF(AND($D27="Hito",ISNUMBER($K27)),IF(AND($K27&gt;=AE$7,$K27&lt;AE$7+7),"◆",""),"")</f>
        <v/>
      </c>
      <c r="AF27" s="73" t="str">
        <f aca="false">IF(AND($D27="Hito",ISNUMBER($K27)),IF(AND($K27&gt;=AF$7,$K27&lt;AF$7+7),"◆",""),"")</f>
        <v/>
      </c>
      <c r="AG27" s="73" t="str">
        <f aca="false">IF(AND($D27="Hito",ISNUMBER($K27)),IF(AND($K27&gt;=AG$7,$K27&lt;AG$7+7),"◆",""),"")</f>
        <v/>
      </c>
      <c r="AH27" s="73" t="str">
        <f aca="false">IF(AND($D27="Hito",ISNUMBER($K27)),IF(AND($K27&gt;=AH$7,$K27&lt;AH$7+7),"◆",""),"")</f>
        <v/>
      </c>
      <c r="AI27" s="73" t="str">
        <f aca="false">IF(AND($D27="Hito",ISNUMBER($K27)),IF(AND($K27&gt;=AI$7,$K27&lt;AI$7+7),"◆",""),"")</f>
        <v/>
      </c>
      <c r="AJ27" s="73" t="str">
        <f aca="false">IF(AND($D27="Hito",ISNUMBER($K27)),IF(AND($K27&gt;=AJ$7,$K27&lt;AJ$7+7),"◆",""),"")</f>
        <v/>
      </c>
      <c r="AK27" s="73" t="str">
        <f aca="false">IF(AND($D27="Hito",ISNUMBER($K27)),IF(AND($K27&gt;=AK$7,$K27&lt;AK$7+7),"◆",""),"")</f>
        <v/>
      </c>
      <c r="AL27" s="73" t="str">
        <f aca="false">IF(AND($D27="Hito",ISNUMBER($K27)),IF(AND($K27&gt;=AL$7,$K27&lt;AL$7+7),"◆",""),"")</f>
        <v/>
      </c>
      <c r="AM27" s="73" t="str">
        <f aca="false">IF(AND($D27="Hito",ISNUMBER($K27)),IF(AND($K27&gt;=AM$7,$K27&lt;AM$7+7),"◆",""),"")</f>
        <v/>
      </c>
      <c r="AN27" s="73" t="str">
        <f aca="false">IF(AND($D27="Hito",ISNUMBER($K27)),IF(AND($K27&gt;=AN$7,$K27&lt;AN$7+7),"◆",""),"")</f>
        <v/>
      </c>
      <c r="AO27" s="73" t="str">
        <f aca="false">IF(AND($D27="Hito",ISNUMBER($K27)),IF(AND($K27&gt;=AO$7,$K27&lt;AO$7+7),"◆",""),"")</f>
        <v/>
      </c>
      <c r="AP27" s="73" t="str">
        <f aca="false">IF(AND($D27="Hito",ISNUMBER($K27)),IF(AND($K27&gt;=AP$7,$K27&lt;AP$7+7),"◆",""),"")</f>
        <v/>
      </c>
      <c r="AQ27" s="73" t="str">
        <f aca="false">IF(AND($D27="Hito",ISNUMBER($K27)),IF(AND($K27&gt;=AQ$7,$K27&lt;AQ$7+7),"◆",""),"")</f>
        <v/>
      </c>
      <c r="AR27" s="73" t="str">
        <f aca="false">IF(AND($D27="Hito",ISNUMBER($K27)),IF(AND($K27&gt;=AR$7,$K27&lt;AR$7+7),"◆",""),"")</f>
        <v/>
      </c>
      <c r="AS27" s="73" t="str">
        <f aca="false">IF(AND($D27="Hito",ISNUMBER($K27)),IF(AND($K27&gt;=AS$7,$K27&lt;AS$7+7),"◆",""),"")</f>
        <v/>
      </c>
      <c r="AT27" s="73" t="str">
        <f aca="false">IF(AND($D27="Hito",ISNUMBER($K27)),IF(AND($K27&gt;=AT$7,$K27&lt;AT$7+7),"◆",""),"")</f>
        <v/>
      </c>
      <c r="AU27" s="73" t="str">
        <f aca="false">IF(AND($D27="Hito",ISNUMBER($K27)),IF(AND($K27&gt;=AU$7,$K27&lt;AU$7+7),"◆",""),"")</f>
        <v/>
      </c>
      <c r="AV27" s="73" t="str">
        <f aca="false">IF(AND($D27="Hito",ISNUMBER($K27)),IF(AND($K27&gt;=AV$7,$K27&lt;AV$7+7),"◆",""),"")</f>
        <v/>
      </c>
      <c r="AW27" s="73" t="str">
        <f aca="false">IF(AND($D27="Hito",ISNUMBER($K27)),IF(AND($K27&gt;=AW$7,$K27&lt;AW$7+7),"◆",""),"")</f>
        <v/>
      </c>
      <c r="AX27" s="73" t="str">
        <f aca="false">IF(AND($D27="Hito",ISNUMBER($K27)),IF(AND($K27&gt;=AX$7,$K27&lt;AX$7+7),"◆",""),"")</f>
        <v/>
      </c>
      <c r="AY27" s="73" t="str">
        <f aca="false">IF(AND($D27="Hito",ISNUMBER($K27)),IF(AND($K27&gt;=AY$7,$K27&lt;AY$7+7),"◆",""),"")</f>
        <v/>
      </c>
      <c r="AZ27" s="73" t="str">
        <f aca="false">IF(AND($D27="Hito",ISNUMBER($K27)),IF(AND($K27&gt;=AZ$7,$K27&lt;AZ$7+7),"◆",""),"")</f>
        <v/>
      </c>
      <c r="BA27" s="73" t="str">
        <f aca="false">IF(AND($D27="Hito",ISNUMBER($K27)),IF(AND($K27&gt;=BA$7,$K27&lt;BA$7+7),"◆",""),"")</f>
        <v/>
      </c>
      <c r="BB27" s="73" t="str">
        <f aca="false">IF(AND($D27="Hito",ISNUMBER($K27)),IF(AND($K27&gt;=BB$7,$K27&lt;BB$7+7),"◆",""),"")</f>
        <v/>
      </c>
      <c r="BC27" s="73" t="str">
        <f aca="false">IF(AND($D27="Hito",ISNUMBER($K27)),IF(AND($K27&gt;=BC$7,$K27&lt;BC$7+7),"◆",""),"")</f>
        <v/>
      </c>
      <c r="BD27" s="73" t="str">
        <f aca="false">IF(AND($D27="Hito",ISNUMBER($K27)),IF(AND($K27&gt;=BD$7,$K27&lt;BD$7+7),"◆",""),"")</f>
        <v/>
      </c>
      <c r="BE27" s="73" t="str">
        <f aca="false">IF(AND($D27="Hito",ISNUMBER($K27)),IF(AND($K27&gt;=BE$7,$K27&lt;BE$7+7),"◆",""),"")</f>
        <v/>
      </c>
      <c r="BF27" s="73" t="str">
        <f aca="false">IF(AND($D27="Hito",ISNUMBER($K27)),IF(AND($K27&gt;=BF$7,$K27&lt;BF$7+7),"◆",""),"")</f>
        <v/>
      </c>
      <c r="BG27" s="73" t="str">
        <f aca="false">IF(AND($D27="Hito",ISNUMBER($K27)),IF(AND($K27&gt;=BG$7,$K27&lt;BG$7+7),"◆",""),"")</f>
        <v/>
      </c>
      <c r="BH27" s="73" t="str">
        <f aca="false">IF(AND($D27="Hito",ISNUMBER($K27)),IF(AND($K27&gt;=BH$7,$K27&lt;BH$7+7),"◆",""),"")</f>
        <v/>
      </c>
      <c r="BI27" s="73" t="str">
        <f aca="false">IF(AND($D27="Hito",ISNUMBER($K27)),IF(AND($K27&gt;=BI$7,$K27&lt;BI$7+7),"◆",""),"")</f>
        <v/>
      </c>
      <c r="BJ27" s="73" t="str">
        <f aca="false">IF(AND($D27="Hito",ISNUMBER($K27)),IF(AND($K27&gt;=BJ$7,$K27&lt;BJ$7+7),"◆",""),"")</f>
        <v/>
      </c>
      <c r="BK27" s="73" t="str">
        <f aca="false">IF(AND($D27="Hito",ISNUMBER($K27)),IF(AND($K27&gt;=BK$7,$K27&lt;BK$7+7),"◆",""),"")</f>
        <v/>
      </c>
      <c r="BL27" s="73" t="str">
        <f aca="false">IF(AND($D27="Hito",ISNUMBER($K27)),IF(AND($K27&gt;=BL$7,$K27&lt;BL$7+7),"◆",""),"")</f>
        <v/>
      </c>
      <c r="BM27" s="73" t="str">
        <f aca="false">IF(AND($D27="Hito",ISNUMBER($K27)),IF(AND($K27&gt;=BM$7,$K27&lt;BM$7+7),"◆",""),"")</f>
        <v/>
      </c>
      <c r="BN27" s="73" t="str">
        <f aca="false">IF(AND($D27="Hito",ISNUMBER($K27)),IF(AND($K27&gt;=BN$7,$K27&lt;BN$7+7),"◆",""),"")</f>
        <v/>
      </c>
      <c r="BO27" s="73" t="str">
        <f aca="false">IF(AND($D27="Hito",ISNUMBER($K27)),IF(AND($K27&gt;=BO$7,$K27&lt;BO$7+7),"◆",""),"")</f>
        <v/>
      </c>
      <c r="BP27" s="73" t="str">
        <f aca="false">IF(AND($D27="Hito",ISNUMBER($K27)),IF(AND($K27&gt;=BP$7,$K27&lt;BP$7+7),"◆",""),"")</f>
        <v/>
      </c>
      <c r="BQ27" s="73" t="str">
        <f aca="false">IF(AND($D27="Hito",ISNUMBER($K27)),IF(AND($K27&gt;=BQ$7,$K27&lt;BQ$7+7),"◆",""),"")</f>
        <v/>
      </c>
      <c r="BR27" s="73" t="str">
        <f aca="false">IF(AND($D27="Hito",ISNUMBER($K27)),IF(AND($K27&gt;=BR$7,$K27&lt;BR$7+7),"◆",""),"")</f>
        <v/>
      </c>
      <c r="BS27" s="73" t="str">
        <f aca="false">IF(AND($D27="Hito",ISNUMBER($K27)),IF(AND($K27&gt;=BS$7,$K27&lt;BS$7+7),"◆",""),"")</f>
        <v/>
      </c>
      <c r="BT27" s="73" t="str">
        <f aca="false">IF(AND($D27="Hito",ISNUMBER($K27)),IF(AND($K27&gt;=BT$7,$K27&lt;BT$7+7),"◆",""),"")</f>
        <v/>
      </c>
      <c r="BU27" s="73" t="str">
        <f aca="false">IF(AND($D27="Hito",ISNUMBER($K27)),IF(AND($K27&gt;=BU$7,$K27&lt;BU$7+7),"◆",""),"")</f>
        <v/>
      </c>
      <c r="BV27" s="73" t="str">
        <f aca="false">IF(AND($D27="Hito",ISNUMBER($K27)),IF(AND($K27&gt;=BV$7,$K27&lt;BV$7+7),"◆",""),"")</f>
        <v/>
      </c>
      <c r="BW27" s="73" t="str">
        <f aca="false">IF(AND($D27="Hito",ISNUMBER($K27)),IF(AND($K27&gt;=BW$7,$K27&lt;BW$7+7),"◆",""),"")</f>
        <v/>
      </c>
      <c r="BX27" s="73" t="str">
        <f aca="false">IF(AND($D27="Hito",ISNUMBER($K27)),IF(AND($K27&gt;=BX$7,$K27&lt;BX$7+7),"◆",""),"")</f>
        <v/>
      </c>
    </row>
    <row r="28" customFormat="false" ht="24" hidden="false" customHeight="true" outlineLevel="0" collapsed="false">
      <c r="A28" s="56"/>
      <c r="B28" s="56" t="str">
        <f aca="false">"F"&amp;R28</f>
        <v>F5</v>
      </c>
      <c r="C28" s="57" t="s">
        <v>191</v>
      </c>
      <c r="D28" s="56" t="s">
        <v>170</v>
      </c>
      <c r="E28" s="56"/>
      <c r="F28" s="56"/>
      <c r="G28" s="56"/>
      <c r="H28" s="56"/>
      <c r="I28" s="58" t="n">
        <f aca="false">IF(OR(J28="",K28=""),"",K28-J28+1)</f>
        <v>3</v>
      </c>
      <c r="J28" s="59" t="n">
        <f aca="false">IFERROR(1/(1/_xlfn.MINIFS($S$8:$S$36,$R$8:$R$36,R28)),"")</f>
        <v>46346</v>
      </c>
      <c r="K28" s="59" t="n">
        <f aca="false">IFERROR(1/(1/_xlfn.MAXIFS($T$8:$T$36,$R$8:$R$36,R28)),"")</f>
        <v>46348</v>
      </c>
      <c r="L28" s="56"/>
      <c r="M28" s="56"/>
      <c r="N28" s="56"/>
      <c r="O28" s="60" t="n">
        <f aca="false">IFERROR(SUMIFS($V$8:$V$36,$R$8:$R$36,R28)/SUMIFS($U$8:$U$36,$R$8:$R$36,R28),"")</f>
        <v>0</v>
      </c>
      <c r="P28" s="56" t="str">
        <f aca="false">IF(COUNTIFS($R$8:$R$36,R28,$U$8:$U$36,"&gt;0")=0,"",IF(COUNTIFS($R$8:$R$36,R28,$W$8:$W$36,"Atrasada")+COUNTIFS($R$8:$R$36,R28,$W$8:$W$36,"Vencido")&gt;0,"Con atraso",IF(N(O28)&gt;=1,"Terminada",IF(N(O28)&gt;0,"En curso","Por iniciar"))))</f>
        <v>Por iniciar</v>
      </c>
      <c r="Q28" s="58" t="str">
        <f aca="false">IF(N(_xlfn.MAXIFS($X$8:$X$36,$R$8:$R$36,R28))&gt;0,_xlfn.MAXIFS($X$8:$X$36,$R$8:$R$36,R28),"")</f>
        <v/>
      </c>
      <c r="R28" s="6" t="n">
        <f aca="false">COUNTIF($D$8:D28,"Fase")</f>
        <v>5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customFormat="false" ht="18.75" hidden="false" customHeight="true" outlineLevel="1" collapsed="false">
      <c r="A29" s="6"/>
      <c r="B29" s="61" t="n">
        <v>12</v>
      </c>
      <c r="C29" s="62" t="s">
        <v>192</v>
      </c>
      <c r="D29" s="63" t="s">
        <v>186</v>
      </c>
      <c r="E29" s="64" t="s">
        <v>175</v>
      </c>
      <c r="F29" s="64"/>
      <c r="G29" s="61" t="n">
        <v>10</v>
      </c>
      <c r="H29" s="65"/>
      <c r="I29" s="61" t="n">
        <v>3</v>
      </c>
      <c r="J29" s="66" t="n">
        <f aca="true">IF(C29="","",IF(L29&lt;&gt;"",L29,IF(H29&lt;&gt;"",H29,IF(G29&lt;&gt;"",IFERROR(INDEX($T$8:$T$36,MATCH(G29,$B$8:$B$36,0))+IF(D29="Hito",0,1),IF(n_FInicio="",TODAY(),n_FInicio)),IF(n_FInicio="",TODAY(),n_FInicio)))))</f>
        <v>46346</v>
      </c>
      <c r="K29" s="66" t="n">
        <f aca="false">IF(C29="","",IF(M29&lt;&gt;"",M29,IF(D29="Hito",J29,J29+MAX(N(I29),1)-1)))</f>
        <v>46348</v>
      </c>
      <c r="L29" s="67"/>
      <c r="M29" s="67"/>
      <c r="N29" s="68"/>
      <c r="O29" s="69" t="n">
        <f aca="false">IF(C29="","",IF(N29&lt;&gt;"",N29,IF(M29&lt;&gt;"",1,IF(F29="",0,IF(D29="Instalación",MIN(1,IFERROR(SUMIFS('CORTES CLIENTE'!$O$20:$O$219,PRESUPUESTO!$V$7:$V$206,F29)/SUMIFS(PRESUPUESTO!$G$7:$G$206,PRESUPUESTO!$V$7:$V$206,F29),0)),IF(D29="Compra",MIN(1,IFERROR(SUMIFS('CONTROL DE MATERIALES'!$U$11:$U$210,PRESUPUESTO!$V$7:$V$206,F29)/SUMIFS('CONTROL DE MATERIALES'!$V$11:$V$210,PRESUPUESTO!$V$7:$V$206,F29),0)),0))))))</f>
        <v>0</v>
      </c>
      <c r="P29" s="70" t="str">
        <f aca="true">IF(C29="","",IF(D29="Hito",IF(O29&gt;=1,"Cumplido",IF(TODAY()&gt;K29,"Vencido","Pendiente")),IF(O29&gt;=1,"Terminada",IF(TODAY()&gt;K29,"Atrasada",IF(OR(O29&gt;0,L29&lt;&gt;""),"En curso",IF(TODAY()&gt;=J29,"Debe iniciar","Por iniciar"))))))</f>
        <v>Por iniciar</v>
      </c>
      <c r="Q29" s="71" t="n">
        <f aca="true">IF(OR(C29="",N(O29)&gt;=1),"",IF(TODAY()&gt;K29,TODAY()-K29,0))</f>
        <v>0</v>
      </c>
      <c r="R29" s="6" t="n">
        <f aca="false">COUNTIF($D$8:D29,"Fase")</f>
        <v>5</v>
      </c>
      <c r="S29" s="72" t="n">
        <f aca="false">IF(C29="","",J29)</f>
        <v>46346</v>
      </c>
      <c r="T29" s="72" t="n">
        <f aca="false">IF(C29="","",K29)</f>
        <v>46348</v>
      </c>
      <c r="U29" s="6" t="n">
        <f aca="false">IF(C29="","",MAX(N(I29),1))</f>
        <v>3</v>
      </c>
      <c r="V29" s="6" t="n">
        <f aca="false">IF(C29="","",U29*N(O29))</f>
        <v>0</v>
      </c>
      <c r="W29" s="6" t="str">
        <f aca="false">P29</f>
        <v>Por iniciar</v>
      </c>
      <c r="X29" s="6" t="n">
        <f aca="false">IF(Q29="","",N(Q29))</f>
        <v>0</v>
      </c>
      <c r="Y29" s="73" t="str">
        <f aca="false">IF(AND($D29="Hito",ISNUMBER($K29)),IF(AND($K29&gt;=Y$7,$K29&lt;Y$7+7),"◆",""),"")</f>
        <v/>
      </c>
      <c r="Z29" s="73" t="str">
        <f aca="false">IF(AND($D29="Hito",ISNUMBER($K29)),IF(AND($K29&gt;=Z$7,$K29&lt;Z$7+7),"◆",""),"")</f>
        <v/>
      </c>
      <c r="AA29" s="73" t="str">
        <f aca="false">IF(AND($D29="Hito",ISNUMBER($K29)),IF(AND($K29&gt;=AA$7,$K29&lt;AA$7+7),"◆",""),"")</f>
        <v/>
      </c>
      <c r="AB29" s="73" t="str">
        <f aca="false">IF(AND($D29="Hito",ISNUMBER($K29)),IF(AND($K29&gt;=AB$7,$K29&lt;AB$7+7),"◆",""),"")</f>
        <v/>
      </c>
      <c r="AC29" s="73" t="str">
        <f aca="false">IF(AND($D29="Hito",ISNUMBER($K29)),IF(AND($K29&gt;=AC$7,$K29&lt;AC$7+7),"◆",""),"")</f>
        <v/>
      </c>
      <c r="AD29" s="73" t="str">
        <f aca="false">IF(AND($D29="Hito",ISNUMBER($K29)),IF(AND($K29&gt;=AD$7,$K29&lt;AD$7+7),"◆",""),"")</f>
        <v/>
      </c>
      <c r="AE29" s="73" t="str">
        <f aca="false">IF(AND($D29="Hito",ISNUMBER($K29)),IF(AND($K29&gt;=AE$7,$K29&lt;AE$7+7),"◆",""),"")</f>
        <v/>
      </c>
      <c r="AF29" s="73" t="str">
        <f aca="false">IF(AND($D29="Hito",ISNUMBER($K29)),IF(AND($K29&gt;=AF$7,$K29&lt;AF$7+7),"◆",""),"")</f>
        <v/>
      </c>
      <c r="AG29" s="73" t="str">
        <f aca="false">IF(AND($D29="Hito",ISNUMBER($K29)),IF(AND($K29&gt;=AG$7,$K29&lt;AG$7+7),"◆",""),"")</f>
        <v/>
      </c>
      <c r="AH29" s="73" t="str">
        <f aca="false">IF(AND($D29="Hito",ISNUMBER($K29)),IF(AND($K29&gt;=AH$7,$K29&lt;AH$7+7),"◆",""),"")</f>
        <v/>
      </c>
      <c r="AI29" s="73" t="str">
        <f aca="false">IF(AND($D29="Hito",ISNUMBER($K29)),IF(AND($K29&gt;=AI$7,$K29&lt;AI$7+7),"◆",""),"")</f>
        <v/>
      </c>
      <c r="AJ29" s="73" t="str">
        <f aca="false">IF(AND($D29="Hito",ISNUMBER($K29)),IF(AND($K29&gt;=AJ$7,$K29&lt;AJ$7+7),"◆",""),"")</f>
        <v/>
      </c>
      <c r="AK29" s="73" t="str">
        <f aca="false">IF(AND($D29="Hito",ISNUMBER($K29)),IF(AND($K29&gt;=AK$7,$K29&lt;AK$7+7),"◆",""),"")</f>
        <v/>
      </c>
      <c r="AL29" s="73" t="str">
        <f aca="false">IF(AND($D29="Hito",ISNUMBER($K29)),IF(AND($K29&gt;=AL$7,$K29&lt;AL$7+7),"◆",""),"")</f>
        <v/>
      </c>
      <c r="AM29" s="73" t="str">
        <f aca="false">IF(AND($D29="Hito",ISNUMBER($K29)),IF(AND($K29&gt;=AM$7,$K29&lt;AM$7+7),"◆",""),"")</f>
        <v/>
      </c>
      <c r="AN29" s="73" t="str">
        <f aca="false">IF(AND($D29="Hito",ISNUMBER($K29)),IF(AND($K29&gt;=AN$7,$K29&lt;AN$7+7),"◆",""),"")</f>
        <v/>
      </c>
      <c r="AO29" s="73" t="str">
        <f aca="false">IF(AND($D29="Hito",ISNUMBER($K29)),IF(AND($K29&gt;=AO$7,$K29&lt;AO$7+7),"◆",""),"")</f>
        <v/>
      </c>
      <c r="AP29" s="73" t="str">
        <f aca="false">IF(AND($D29="Hito",ISNUMBER($K29)),IF(AND($K29&gt;=AP$7,$K29&lt;AP$7+7),"◆",""),"")</f>
        <v/>
      </c>
      <c r="AQ29" s="73" t="str">
        <f aca="false">IF(AND($D29="Hito",ISNUMBER($K29)),IF(AND($K29&gt;=AQ$7,$K29&lt;AQ$7+7),"◆",""),"")</f>
        <v/>
      </c>
      <c r="AR29" s="73" t="str">
        <f aca="false">IF(AND($D29="Hito",ISNUMBER($K29)),IF(AND($K29&gt;=AR$7,$K29&lt;AR$7+7),"◆",""),"")</f>
        <v/>
      </c>
      <c r="AS29" s="73" t="str">
        <f aca="false">IF(AND($D29="Hito",ISNUMBER($K29)),IF(AND($K29&gt;=AS$7,$K29&lt;AS$7+7),"◆",""),"")</f>
        <v/>
      </c>
      <c r="AT29" s="73" t="str">
        <f aca="false">IF(AND($D29="Hito",ISNUMBER($K29)),IF(AND($K29&gt;=AT$7,$K29&lt;AT$7+7),"◆",""),"")</f>
        <v/>
      </c>
      <c r="AU29" s="73" t="str">
        <f aca="false">IF(AND($D29="Hito",ISNUMBER($K29)),IF(AND($K29&gt;=AU$7,$K29&lt;AU$7+7),"◆",""),"")</f>
        <v/>
      </c>
      <c r="AV29" s="73" t="str">
        <f aca="false">IF(AND($D29="Hito",ISNUMBER($K29)),IF(AND($K29&gt;=AV$7,$K29&lt;AV$7+7),"◆",""),"")</f>
        <v/>
      </c>
      <c r="AW29" s="73" t="str">
        <f aca="false">IF(AND($D29="Hito",ISNUMBER($K29)),IF(AND($K29&gt;=AW$7,$K29&lt;AW$7+7),"◆",""),"")</f>
        <v/>
      </c>
      <c r="AX29" s="73" t="str">
        <f aca="false">IF(AND($D29="Hito",ISNUMBER($K29)),IF(AND($K29&gt;=AX$7,$K29&lt;AX$7+7),"◆",""),"")</f>
        <v/>
      </c>
      <c r="AY29" s="73" t="str">
        <f aca="false">IF(AND($D29="Hito",ISNUMBER($K29)),IF(AND($K29&gt;=AY$7,$K29&lt;AY$7+7),"◆",""),"")</f>
        <v/>
      </c>
      <c r="AZ29" s="73" t="str">
        <f aca="false">IF(AND($D29="Hito",ISNUMBER($K29)),IF(AND($K29&gt;=AZ$7,$K29&lt;AZ$7+7),"◆",""),"")</f>
        <v/>
      </c>
      <c r="BA29" s="73" t="str">
        <f aca="false">IF(AND($D29="Hito",ISNUMBER($K29)),IF(AND($K29&gt;=BA$7,$K29&lt;BA$7+7),"◆",""),"")</f>
        <v/>
      </c>
      <c r="BB29" s="73" t="str">
        <f aca="false">IF(AND($D29="Hito",ISNUMBER($K29)),IF(AND($K29&gt;=BB$7,$K29&lt;BB$7+7),"◆",""),"")</f>
        <v/>
      </c>
      <c r="BC29" s="73" t="str">
        <f aca="false">IF(AND($D29="Hito",ISNUMBER($K29)),IF(AND($K29&gt;=BC$7,$K29&lt;BC$7+7),"◆",""),"")</f>
        <v/>
      </c>
      <c r="BD29" s="73" t="str">
        <f aca="false">IF(AND($D29="Hito",ISNUMBER($K29)),IF(AND($K29&gt;=BD$7,$K29&lt;BD$7+7),"◆",""),"")</f>
        <v/>
      </c>
      <c r="BE29" s="73" t="str">
        <f aca="false">IF(AND($D29="Hito",ISNUMBER($K29)),IF(AND($K29&gt;=BE$7,$K29&lt;BE$7+7),"◆",""),"")</f>
        <v/>
      </c>
      <c r="BF29" s="73" t="str">
        <f aca="false">IF(AND($D29="Hito",ISNUMBER($K29)),IF(AND($K29&gt;=BF$7,$K29&lt;BF$7+7),"◆",""),"")</f>
        <v/>
      </c>
      <c r="BG29" s="73" t="str">
        <f aca="false">IF(AND($D29="Hito",ISNUMBER($K29)),IF(AND($K29&gt;=BG$7,$K29&lt;BG$7+7),"◆",""),"")</f>
        <v/>
      </c>
      <c r="BH29" s="73" t="str">
        <f aca="false">IF(AND($D29="Hito",ISNUMBER($K29)),IF(AND($K29&gt;=BH$7,$K29&lt;BH$7+7),"◆",""),"")</f>
        <v/>
      </c>
      <c r="BI29" s="73" t="str">
        <f aca="false">IF(AND($D29="Hito",ISNUMBER($K29)),IF(AND($K29&gt;=BI$7,$K29&lt;BI$7+7),"◆",""),"")</f>
        <v/>
      </c>
      <c r="BJ29" s="73" t="str">
        <f aca="false">IF(AND($D29="Hito",ISNUMBER($K29)),IF(AND($K29&gt;=BJ$7,$K29&lt;BJ$7+7),"◆",""),"")</f>
        <v/>
      </c>
      <c r="BK29" s="73" t="str">
        <f aca="false">IF(AND($D29="Hito",ISNUMBER($K29)),IF(AND($K29&gt;=BK$7,$K29&lt;BK$7+7),"◆",""),"")</f>
        <v/>
      </c>
      <c r="BL29" s="73" t="str">
        <f aca="false">IF(AND($D29="Hito",ISNUMBER($K29)),IF(AND($K29&gt;=BL$7,$K29&lt;BL$7+7),"◆",""),"")</f>
        <v/>
      </c>
      <c r="BM29" s="73" t="str">
        <f aca="false">IF(AND($D29="Hito",ISNUMBER($K29)),IF(AND($K29&gt;=BM$7,$K29&lt;BM$7+7),"◆",""),"")</f>
        <v/>
      </c>
      <c r="BN29" s="73" t="str">
        <f aca="false">IF(AND($D29="Hito",ISNUMBER($K29)),IF(AND($K29&gt;=BN$7,$K29&lt;BN$7+7),"◆",""),"")</f>
        <v/>
      </c>
      <c r="BO29" s="73" t="str">
        <f aca="false">IF(AND($D29="Hito",ISNUMBER($K29)),IF(AND($K29&gt;=BO$7,$K29&lt;BO$7+7),"◆",""),"")</f>
        <v/>
      </c>
      <c r="BP29" s="73" t="str">
        <f aca="false">IF(AND($D29="Hito",ISNUMBER($K29)),IF(AND($K29&gt;=BP$7,$K29&lt;BP$7+7),"◆",""),"")</f>
        <v/>
      </c>
      <c r="BQ29" s="73" t="str">
        <f aca="false">IF(AND($D29="Hito",ISNUMBER($K29)),IF(AND($K29&gt;=BQ$7,$K29&lt;BQ$7+7),"◆",""),"")</f>
        <v/>
      </c>
      <c r="BR29" s="73" t="str">
        <f aca="false">IF(AND($D29="Hito",ISNUMBER($K29)),IF(AND($K29&gt;=BR$7,$K29&lt;BR$7+7),"◆",""),"")</f>
        <v/>
      </c>
      <c r="BS29" s="73" t="str">
        <f aca="false">IF(AND($D29="Hito",ISNUMBER($K29)),IF(AND($K29&gt;=BS$7,$K29&lt;BS$7+7),"◆",""),"")</f>
        <v/>
      </c>
      <c r="BT29" s="73" t="str">
        <f aca="false">IF(AND($D29="Hito",ISNUMBER($K29)),IF(AND($K29&gt;=BT$7,$K29&lt;BT$7+7),"◆",""),"")</f>
        <v/>
      </c>
      <c r="BU29" s="73" t="str">
        <f aca="false">IF(AND($D29="Hito",ISNUMBER($K29)),IF(AND($K29&gt;=BU$7,$K29&lt;BU$7+7),"◆",""),"")</f>
        <v/>
      </c>
      <c r="BV29" s="73" t="str">
        <f aca="false">IF(AND($D29="Hito",ISNUMBER($K29)),IF(AND($K29&gt;=BV$7,$K29&lt;BV$7+7),"◆",""),"")</f>
        <v/>
      </c>
      <c r="BW29" s="73" t="str">
        <f aca="false">IF(AND($D29="Hito",ISNUMBER($K29)),IF(AND($K29&gt;=BW$7,$K29&lt;BW$7+7),"◆",""),"")</f>
        <v/>
      </c>
      <c r="BX29" s="73" t="str">
        <f aca="false">IF(AND($D29="Hito",ISNUMBER($K29)),IF(AND($K29&gt;=BX$7,$K29&lt;BX$7+7),"◆",""),"")</f>
        <v/>
      </c>
    </row>
    <row r="30" customFormat="false" ht="18.75" hidden="false" customHeight="true" outlineLevel="1" collapsed="false">
      <c r="A30" s="6"/>
      <c r="B30" s="61" t="n">
        <v>13</v>
      </c>
      <c r="C30" s="62" t="s">
        <v>193</v>
      </c>
      <c r="D30" s="63" t="s">
        <v>172</v>
      </c>
      <c r="E30" s="64" t="s">
        <v>175</v>
      </c>
      <c r="F30" s="64"/>
      <c r="G30" s="61" t="n">
        <v>12</v>
      </c>
      <c r="H30" s="65"/>
      <c r="I30" s="61" t="n">
        <v>0</v>
      </c>
      <c r="J30" s="66" t="n">
        <f aca="true">IF(C30="","",IF(L30&lt;&gt;"",L30,IF(H30&lt;&gt;"",H30,IF(G30&lt;&gt;"",IFERROR(INDEX($T$8:$T$36,MATCH(G30,$B$8:$B$36,0))+IF(D30="Hito",0,1),IF(n_FInicio="",TODAY(),n_FInicio)),IF(n_FInicio="",TODAY(),n_FInicio)))))</f>
        <v>46348</v>
      </c>
      <c r="K30" s="66" t="n">
        <f aca="false">IF(C30="","",IF(M30&lt;&gt;"",M30,IF(D30="Hito",J30,J30+MAX(N(I30),1)-1)))</f>
        <v>46348</v>
      </c>
      <c r="L30" s="67"/>
      <c r="M30" s="67"/>
      <c r="N30" s="68"/>
      <c r="O30" s="69" t="n">
        <f aca="false">IF(C30="","",IF(N30&lt;&gt;"",N30,IF(M30&lt;&gt;"",1,IF(F30="",0,IF(D30="Instalación",MIN(1,IFERROR(SUMIFS('CORTES CLIENTE'!$O$20:$O$219,PRESUPUESTO!$V$7:$V$206,F30)/SUMIFS(PRESUPUESTO!$G$7:$G$206,PRESUPUESTO!$V$7:$V$206,F30),0)),IF(D30="Compra",MIN(1,IFERROR(SUMIFS('CONTROL DE MATERIALES'!$U$11:$U$210,PRESUPUESTO!$V$7:$V$206,F30)/SUMIFS('CONTROL DE MATERIALES'!$V$11:$V$210,PRESUPUESTO!$V$7:$V$206,F30),0)),0))))))</f>
        <v>0</v>
      </c>
      <c r="P30" s="70" t="str">
        <f aca="true">IF(C30="","",IF(D30="Hito",IF(O30&gt;=1,"Cumplido",IF(TODAY()&gt;K30,"Vencido","Pendiente")),IF(O30&gt;=1,"Terminada",IF(TODAY()&gt;K30,"Atrasada",IF(OR(O30&gt;0,L30&lt;&gt;""),"En curso",IF(TODAY()&gt;=J30,"Debe iniciar","Por iniciar"))))))</f>
        <v>Pendiente</v>
      </c>
      <c r="Q30" s="71" t="n">
        <f aca="true">IF(OR(C30="",N(O30)&gt;=1),"",IF(TODAY()&gt;K30,TODAY()-K30,0))</f>
        <v>0</v>
      </c>
      <c r="R30" s="6" t="n">
        <f aca="false">COUNTIF($D$8:D30,"Fase")</f>
        <v>5</v>
      </c>
      <c r="S30" s="72" t="n">
        <f aca="false">IF(C30="","",J30)</f>
        <v>46348</v>
      </c>
      <c r="T30" s="72" t="n">
        <f aca="false">IF(C30="","",K30)</f>
        <v>46348</v>
      </c>
      <c r="U30" s="6" t="n">
        <f aca="false">IF(C30="","",MAX(N(I30),1))</f>
        <v>1</v>
      </c>
      <c r="V30" s="6" t="n">
        <f aca="false">IF(C30="","",U30*N(O30))</f>
        <v>0</v>
      </c>
      <c r="W30" s="6" t="str">
        <f aca="false">P30</f>
        <v>Pendiente</v>
      </c>
      <c r="X30" s="6" t="n">
        <f aca="false">IF(Q30="","",N(Q30))</f>
        <v>0</v>
      </c>
      <c r="Y30" s="73" t="str">
        <f aca="false">IF(AND($D30="Hito",ISNUMBER($K30)),IF(AND($K30&gt;=Y$7,$K30&lt;Y$7+7),"◆",""),"")</f>
        <v/>
      </c>
      <c r="Z30" s="73" t="str">
        <f aca="false">IF(AND($D30="Hito",ISNUMBER($K30)),IF(AND($K30&gt;=Z$7,$K30&lt;Z$7+7),"◆",""),"")</f>
        <v/>
      </c>
      <c r="AA30" s="73" t="str">
        <f aca="false">IF(AND($D30="Hito",ISNUMBER($K30)),IF(AND($K30&gt;=AA$7,$K30&lt;AA$7+7),"◆",""),"")</f>
        <v/>
      </c>
      <c r="AB30" s="73" t="str">
        <f aca="false">IF(AND($D30="Hito",ISNUMBER($K30)),IF(AND($K30&gt;=AB$7,$K30&lt;AB$7+7),"◆",""),"")</f>
        <v/>
      </c>
      <c r="AC30" s="73" t="str">
        <f aca="false">IF(AND($D30="Hito",ISNUMBER($K30)),IF(AND($K30&gt;=AC$7,$K30&lt;AC$7+7),"◆",""),"")</f>
        <v/>
      </c>
      <c r="AD30" s="73" t="str">
        <f aca="false">IF(AND($D30="Hito",ISNUMBER($K30)),IF(AND($K30&gt;=AD$7,$K30&lt;AD$7+7),"◆",""),"")</f>
        <v>◆</v>
      </c>
      <c r="AE30" s="73" t="str">
        <f aca="false">IF(AND($D30="Hito",ISNUMBER($K30)),IF(AND($K30&gt;=AE$7,$K30&lt;AE$7+7),"◆",""),"")</f>
        <v/>
      </c>
      <c r="AF30" s="73" t="str">
        <f aca="false">IF(AND($D30="Hito",ISNUMBER($K30)),IF(AND($K30&gt;=AF$7,$K30&lt;AF$7+7),"◆",""),"")</f>
        <v/>
      </c>
      <c r="AG30" s="73" t="str">
        <f aca="false">IF(AND($D30="Hito",ISNUMBER($K30)),IF(AND($K30&gt;=AG$7,$K30&lt;AG$7+7),"◆",""),"")</f>
        <v/>
      </c>
      <c r="AH30" s="73" t="str">
        <f aca="false">IF(AND($D30="Hito",ISNUMBER($K30)),IF(AND($K30&gt;=AH$7,$K30&lt;AH$7+7),"◆",""),"")</f>
        <v/>
      </c>
      <c r="AI30" s="73" t="str">
        <f aca="false">IF(AND($D30="Hito",ISNUMBER($K30)),IF(AND($K30&gt;=AI$7,$K30&lt;AI$7+7),"◆",""),"")</f>
        <v/>
      </c>
      <c r="AJ30" s="73" t="str">
        <f aca="false">IF(AND($D30="Hito",ISNUMBER($K30)),IF(AND($K30&gt;=AJ$7,$K30&lt;AJ$7+7),"◆",""),"")</f>
        <v/>
      </c>
      <c r="AK30" s="73" t="str">
        <f aca="false">IF(AND($D30="Hito",ISNUMBER($K30)),IF(AND($K30&gt;=AK$7,$K30&lt;AK$7+7),"◆",""),"")</f>
        <v/>
      </c>
      <c r="AL30" s="73" t="str">
        <f aca="false">IF(AND($D30="Hito",ISNUMBER($K30)),IF(AND($K30&gt;=AL$7,$K30&lt;AL$7+7),"◆",""),"")</f>
        <v/>
      </c>
      <c r="AM30" s="73" t="str">
        <f aca="false">IF(AND($D30="Hito",ISNUMBER($K30)),IF(AND($K30&gt;=AM$7,$K30&lt;AM$7+7),"◆",""),"")</f>
        <v/>
      </c>
      <c r="AN30" s="73" t="str">
        <f aca="false">IF(AND($D30="Hito",ISNUMBER($K30)),IF(AND($K30&gt;=AN$7,$K30&lt;AN$7+7),"◆",""),"")</f>
        <v/>
      </c>
      <c r="AO30" s="73" t="str">
        <f aca="false">IF(AND($D30="Hito",ISNUMBER($K30)),IF(AND($K30&gt;=AO$7,$K30&lt;AO$7+7),"◆",""),"")</f>
        <v/>
      </c>
      <c r="AP30" s="73" t="str">
        <f aca="false">IF(AND($D30="Hito",ISNUMBER($K30)),IF(AND($K30&gt;=AP$7,$K30&lt;AP$7+7),"◆",""),"")</f>
        <v/>
      </c>
      <c r="AQ30" s="73" t="str">
        <f aca="false">IF(AND($D30="Hito",ISNUMBER($K30)),IF(AND($K30&gt;=AQ$7,$K30&lt;AQ$7+7),"◆",""),"")</f>
        <v/>
      </c>
      <c r="AR30" s="73" t="str">
        <f aca="false">IF(AND($D30="Hito",ISNUMBER($K30)),IF(AND($K30&gt;=AR$7,$K30&lt;AR$7+7),"◆",""),"")</f>
        <v/>
      </c>
      <c r="AS30" s="73" t="str">
        <f aca="false">IF(AND($D30="Hito",ISNUMBER($K30)),IF(AND($K30&gt;=AS$7,$K30&lt;AS$7+7),"◆",""),"")</f>
        <v/>
      </c>
      <c r="AT30" s="73" t="str">
        <f aca="false">IF(AND($D30="Hito",ISNUMBER($K30)),IF(AND($K30&gt;=AT$7,$K30&lt;AT$7+7),"◆",""),"")</f>
        <v/>
      </c>
      <c r="AU30" s="73" t="str">
        <f aca="false">IF(AND($D30="Hito",ISNUMBER($K30)),IF(AND($K30&gt;=AU$7,$K30&lt;AU$7+7),"◆",""),"")</f>
        <v/>
      </c>
      <c r="AV30" s="73" t="str">
        <f aca="false">IF(AND($D30="Hito",ISNUMBER($K30)),IF(AND($K30&gt;=AV$7,$K30&lt;AV$7+7),"◆",""),"")</f>
        <v/>
      </c>
      <c r="AW30" s="73" t="str">
        <f aca="false">IF(AND($D30="Hito",ISNUMBER($K30)),IF(AND($K30&gt;=AW$7,$K30&lt;AW$7+7),"◆",""),"")</f>
        <v/>
      </c>
      <c r="AX30" s="73" t="str">
        <f aca="false">IF(AND($D30="Hito",ISNUMBER($K30)),IF(AND($K30&gt;=AX$7,$K30&lt;AX$7+7),"◆",""),"")</f>
        <v/>
      </c>
      <c r="AY30" s="73" t="str">
        <f aca="false">IF(AND($D30="Hito",ISNUMBER($K30)),IF(AND($K30&gt;=AY$7,$K30&lt;AY$7+7),"◆",""),"")</f>
        <v/>
      </c>
      <c r="AZ30" s="73" t="str">
        <f aca="false">IF(AND($D30="Hito",ISNUMBER($K30)),IF(AND($K30&gt;=AZ$7,$K30&lt;AZ$7+7),"◆",""),"")</f>
        <v/>
      </c>
      <c r="BA30" s="73" t="str">
        <f aca="false">IF(AND($D30="Hito",ISNUMBER($K30)),IF(AND($K30&gt;=BA$7,$K30&lt;BA$7+7),"◆",""),"")</f>
        <v/>
      </c>
      <c r="BB30" s="73" t="str">
        <f aca="false">IF(AND($D30="Hito",ISNUMBER($K30)),IF(AND($K30&gt;=BB$7,$K30&lt;BB$7+7),"◆",""),"")</f>
        <v/>
      </c>
      <c r="BC30" s="73" t="str">
        <f aca="false">IF(AND($D30="Hito",ISNUMBER($K30)),IF(AND($K30&gt;=BC$7,$K30&lt;BC$7+7),"◆",""),"")</f>
        <v/>
      </c>
      <c r="BD30" s="73" t="str">
        <f aca="false">IF(AND($D30="Hito",ISNUMBER($K30)),IF(AND($K30&gt;=BD$7,$K30&lt;BD$7+7),"◆",""),"")</f>
        <v/>
      </c>
      <c r="BE30" s="73" t="str">
        <f aca="false">IF(AND($D30="Hito",ISNUMBER($K30)),IF(AND($K30&gt;=BE$7,$K30&lt;BE$7+7),"◆",""),"")</f>
        <v/>
      </c>
      <c r="BF30" s="73" t="str">
        <f aca="false">IF(AND($D30="Hito",ISNUMBER($K30)),IF(AND($K30&gt;=BF$7,$K30&lt;BF$7+7),"◆",""),"")</f>
        <v/>
      </c>
      <c r="BG30" s="73" t="str">
        <f aca="false">IF(AND($D30="Hito",ISNUMBER($K30)),IF(AND($K30&gt;=BG$7,$K30&lt;BG$7+7),"◆",""),"")</f>
        <v/>
      </c>
      <c r="BH30" s="73" t="str">
        <f aca="false">IF(AND($D30="Hito",ISNUMBER($K30)),IF(AND($K30&gt;=BH$7,$K30&lt;BH$7+7),"◆",""),"")</f>
        <v/>
      </c>
      <c r="BI30" s="73" t="str">
        <f aca="false">IF(AND($D30="Hito",ISNUMBER($K30)),IF(AND($K30&gt;=BI$7,$K30&lt;BI$7+7),"◆",""),"")</f>
        <v/>
      </c>
      <c r="BJ30" s="73" t="str">
        <f aca="false">IF(AND($D30="Hito",ISNUMBER($K30)),IF(AND($K30&gt;=BJ$7,$K30&lt;BJ$7+7),"◆",""),"")</f>
        <v/>
      </c>
      <c r="BK30" s="73" t="str">
        <f aca="false">IF(AND($D30="Hito",ISNUMBER($K30)),IF(AND($K30&gt;=BK$7,$K30&lt;BK$7+7),"◆",""),"")</f>
        <v/>
      </c>
      <c r="BL30" s="73" t="str">
        <f aca="false">IF(AND($D30="Hito",ISNUMBER($K30)),IF(AND($K30&gt;=BL$7,$K30&lt;BL$7+7),"◆",""),"")</f>
        <v/>
      </c>
      <c r="BM30" s="73" t="str">
        <f aca="false">IF(AND($D30="Hito",ISNUMBER($K30)),IF(AND($K30&gt;=BM$7,$K30&lt;BM$7+7),"◆",""),"")</f>
        <v/>
      </c>
      <c r="BN30" s="73" t="str">
        <f aca="false">IF(AND($D30="Hito",ISNUMBER($K30)),IF(AND($K30&gt;=BN$7,$K30&lt;BN$7+7),"◆",""),"")</f>
        <v/>
      </c>
      <c r="BO30" s="73" t="str">
        <f aca="false">IF(AND($D30="Hito",ISNUMBER($K30)),IF(AND($K30&gt;=BO$7,$K30&lt;BO$7+7),"◆",""),"")</f>
        <v/>
      </c>
      <c r="BP30" s="73" t="str">
        <f aca="false">IF(AND($D30="Hito",ISNUMBER($K30)),IF(AND($K30&gt;=BP$7,$K30&lt;BP$7+7),"◆",""),"")</f>
        <v/>
      </c>
      <c r="BQ30" s="73" t="str">
        <f aca="false">IF(AND($D30="Hito",ISNUMBER($K30)),IF(AND($K30&gt;=BQ$7,$K30&lt;BQ$7+7),"◆",""),"")</f>
        <v/>
      </c>
      <c r="BR30" s="73" t="str">
        <f aca="false">IF(AND($D30="Hito",ISNUMBER($K30)),IF(AND($K30&gt;=BR$7,$K30&lt;BR$7+7),"◆",""),"")</f>
        <v/>
      </c>
      <c r="BS30" s="73" t="str">
        <f aca="false">IF(AND($D30="Hito",ISNUMBER($K30)),IF(AND($K30&gt;=BS$7,$K30&lt;BS$7+7),"◆",""),"")</f>
        <v/>
      </c>
      <c r="BT30" s="73" t="str">
        <f aca="false">IF(AND($D30="Hito",ISNUMBER($K30)),IF(AND($K30&gt;=BT$7,$K30&lt;BT$7+7),"◆",""),"")</f>
        <v/>
      </c>
      <c r="BU30" s="73" t="str">
        <f aca="false">IF(AND($D30="Hito",ISNUMBER($K30)),IF(AND($K30&gt;=BU$7,$K30&lt;BU$7+7),"◆",""),"")</f>
        <v/>
      </c>
      <c r="BV30" s="73" t="str">
        <f aca="false">IF(AND($D30="Hito",ISNUMBER($K30)),IF(AND($K30&gt;=BV$7,$K30&lt;BV$7+7),"◆",""),"")</f>
        <v/>
      </c>
      <c r="BW30" s="73" t="str">
        <f aca="false">IF(AND($D30="Hito",ISNUMBER($K30)),IF(AND($K30&gt;=BW$7,$K30&lt;BW$7+7),"◆",""),"")</f>
        <v/>
      </c>
      <c r="BX30" s="73" t="str">
        <f aca="false">IF(AND($D30="Hito",ISNUMBER($K30)),IF(AND($K30&gt;=BX$7,$K30&lt;BX$7+7),"◆",""),"")</f>
        <v/>
      </c>
    </row>
    <row r="31" customFormat="false" ht="18.75" hidden="false" customHeight="true" outlineLevel="1" collapsed="false">
      <c r="A31" s="6"/>
      <c r="B31" s="61" t="n">
        <v>14</v>
      </c>
      <c r="C31" s="62" t="s">
        <v>194</v>
      </c>
      <c r="D31" s="63" t="s">
        <v>172</v>
      </c>
      <c r="E31" s="64" t="s">
        <v>173</v>
      </c>
      <c r="F31" s="64"/>
      <c r="G31" s="61" t="n">
        <v>13</v>
      </c>
      <c r="H31" s="65"/>
      <c r="I31" s="61" t="n">
        <v>0</v>
      </c>
      <c r="J31" s="66" t="n">
        <f aca="true">IF(C31="","",IF(L31&lt;&gt;"",L31,IF(H31&lt;&gt;"",H31,IF(G31&lt;&gt;"",IFERROR(INDEX($T$8:$T$36,MATCH(G31,$B$8:$B$36,0))+IF(D31="Hito",0,1),IF(n_FInicio="",TODAY(),n_FInicio)),IF(n_FInicio="",TODAY(),n_FInicio)))))</f>
        <v>46348</v>
      </c>
      <c r="K31" s="66" t="n">
        <f aca="false">IF(C31="","",IF(M31&lt;&gt;"",M31,IF(D31="Hito",J31,J31+MAX(N(I31),1)-1)))</f>
        <v>46348</v>
      </c>
      <c r="L31" s="67"/>
      <c r="M31" s="67"/>
      <c r="N31" s="68"/>
      <c r="O31" s="69" t="n">
        <f aca="false">IF(C31="","",IF(N31&lt;&gt;"",N31,IF(M31&lt;&gt;"",1,IF(F31="",0,IF(D31="Instalación",MIN(1,IFERROR(SUMIFS('CORTES CLIENTE'!$O$20:$O$219,PRESUPUESTO!$V$7:$V$206,F31)/SUMIFS(PRESUPUESTO!$G$7:$G$206,PRESUPUESTO!$V$7:$V$206,F31),0)),IF(D31="Compra",MIN(1,IFERROR(SUMIFS('CONTROL DE MATERIALES'!$U$11:$U$210,PRESUPUESTO!$V$7:$V$206,F31)/SUMIFS('CONTROL DE MATERIALES'!$V$11:$V$210,PRESUPUESTO!$V$7:$V$206,F31),0)),0))))))</f>
        <v>0</v>
      </c>
      <c r="P31" s="70" t="str">
        <f aca="true">IF(C31="","",IF(D31="Hito",IF(O31&gt;=1,"Cumplido",IF(TODAY()&gt;K31,"Vencido","Pendiente")),IF(O31&gt;=1,"Terminada",IF(TODAY()&gt;K31,"Atrasada",IF(OR(O31&gt;0,L31&lt;&gt;""),"En curso",IF(TODAY()&gt;=J31,"Debe iniciar","Por iniciar"))))))</f>
        <v>Pendiente</v>
      </c>
      <c r="Q31" s="71" t="n">
        <f aca="true">IF(OR(C31="",N(O31)&gt;=1),"",IF(TODAY()&gt;K31,TODAY()-K31,0))</f>
        <v>0</v>
      </c>
      <c r="R31" s="6" t="n">
        <f aca="false">COUNTIF($D$8:D31,"Fase")</f>
        <v>5</v>
      </c>
      <c r="S31" s="72" t="n">
        <f aca="false">IF(C31="","",J31)</f>
        <v>46348</v>
      </c>
      <c r="T31" s="72" t="n">
        <f aca="false">IF(C31="","",K31)</f>
        <v>46348</v>
      </c>
      <c r="U31" s="6" t="n">
        <f aca="false">IF(C31="","",MAX(N(I31),1))</f>
        <v>1</v>
      </c>
      <c r="V31" s="6" t="n">
        <f aca="false">IF(C31="","",U31*N(O31))</f>
        <v>0</v>
      </c>
      <c r="W31" s="6" t="str">
        <f aca="false">P31</f>
        <v>Pendiente</v>
      </c>
      <c r="X31" s="6" t="n">
        <f aca="false">IF(Q31="","",N(Q31))</f>
        <v>0</v>
      </c>
      <c r="Y31" s="73" t="str">
        <f aca="false">IF(AND($D31="Hito",ISNUMBER($K31)),IF(AND($K31&gt;=Y$7,$K31&lt;Y$7+7),"◆",""),"")</f>
        <v/>
      </c>
      <c r="Z31" s="73" t="str">
        <f aca="false">IF(AND($D31="Hito",ISNUMBER($K31)),IF(AND($K31&gt;=Z$7,$K31&lt;Z$7+7),"◆",""),"")</f>
        <v/>
      </c>
      <c r="AA31" s="73" t="str">
        <f aca="false">IF(AND($D31="Hito",ISNUMBER($K31)),IF(AND($K31&gt;=AA$7,$K31&lt;AA$7+7),"◆",""),"")</f>
        <v/>
      </c>
      <c r="AB31" s="73" t="str">
        <f aca="false">IF(AND($D31="Hito",ISNUMBER($K31)),IF(AND($K31&gt;=AB$7,$K31&lt;AB$7+7),"◆",""),"")</f>
        <v/>
      </c>
      <c r="AC31" s="73" t="str">
        <f aca="false">IF(AND($D31="Hito",ISNUMBER($K31)),IF(AND($K31&gt;=AC$7,$K31&lt;AC$7+7),"◆",""),"")</f>
        <v/>
      </c>
      <c r="AD31" s="73" t="str">
        <f aca="false">IF(AND($D31="Hito",ISNUMBER($K31)),IF(AND($K31&gt;=AD$7,$K31&lt;AD$7+7),"◆",""),"")</f>
        <v>◆</v>
      </c>
      <c r="AE31" s="73" t="str">
        <f aca="false">IF(AND($D31="Hito",ISNUMBER($K31)),IF(AND($K31&gt;=AE$7,$K31&lt;AE$7+7),"◆",""),"")</f>
        <v/>
      </c>
      <c r="AF31" s="73" t="str">
        <f aca="false">IF(AND($D31="Hito",ISNUMBER($K31)),IF(AND($K31&gt;=AF$7,$K31&lt;AF$7+7),"◆",""),"")</f>
        <v/>
      </c>
      <c r="AG31" s="73" t="str">
        <f aca="false">IF(AND($D31="Hito",ISNUMBER($K31)),IF(AND($K31&gt;=AG$7,$K31&lt;AG$7+7),"◆",""),"")</f>
        <v/>
      </c>
      <c r="AH31" s="73" t="str">
        <f aca="false">IF(AND($D31="Hito",ISNUMBER($K31)),IF(AND($K31&gt;=AH$7,$K31&lt;AH$7+7),"◆",""),"")</f>
        <v/>
      </c>
      <c r="AI31" s="73" t="str">
        <f aca="false">IF(AND($D31="Hito",ISNUMBER($K31)),IF(AND($K31&gt;=AI$7,$K31&lt;AI$7+7),"◆",""),"")</f>
        <v/>
      </c>
      <c r="AJ31" s="73" t="str">
        <f aca="false">IF(AND($D31="Hito",ISNUMBER($K31)),IF(AND($K31&gt;=AJ$7,$K31&lt;AJ$7+7),"◆",""),"")</f>
        <v/>
      </c>
      <c r="AK31" s="73" t="str">
        <f aca="false">IF(AND($D31="Hito",ISNUMBER($K31)),IF(AND($K31&gt;=AK$7,$K31&lt;AK$7+7),"◆",""),"")</f>
        <v/>
      </c>
      <c r="AL31" s="73" t="str">
        <f aca="false">IF(AND($D31="Hito",ISNUMBER($K31)),IF(AND($K31&gt;=AL$7,$K31&lt;AL$7+7),"◆",""),"")</f>
        <v/>
      </c>
      <c r="AM31" s="73" t="str">
        <f aca="false">IF(AND($D31="Hito",ISNUMBER($K31)),IF(AND($K31&gt;=AM$7,$K31&lt;AM$7+7),"◆",""),"")</f>
        <v/>
      </c>
      <c r="AN31" s="73" t="str">
        <f aca="false">IF(AND($D31="Hito",ISNUMBER($K31)),IF(AND($K31&gt;=AN$7,$K31&lt;AN$7+7),"◆",""),"")</f>
        <v/>
      </c>
      <c r="AO31" s="73" t="str">
        <f aca="false">IF(AND($D31="Hito",ISNUMBER($K31)),IF(AND($K31&gt;=AO$7,$K31&lt;AO$7+7),"◆",""),"")</f>
        <v/>
      </c>
      <c r="AP31" s="73" t="str">
        <f aca="false">IF(AND($D31="Hito",ISNUMBER($K31)),IF(AND($K31&gt;=AP$7,$K31&lt;AP$7+7),"◆",""),"")</f>
        <v/>
      </c>
      <c r="AQ31" s="73" t="str">
        <f aca="false">IF(AND($D31="Hito",ISNUMBER($K31)),IF(AND($K31&gt;=AQ$7,$K31&lt;AQ$7+7),"◆",""),"")</f>
        <v/>
      </c>
      <c r="AR31" s="73" t="str">
        <f aca="false">IF(AND($D31="Hito",ISNUMBER($K31)),IF(AND($K31&gt;=AR$7,$K31&lt;AR$7+7),"◆",""),"")</f>
        <v/>
      </c>
      <c r="AS31" s="73" t="str">
        <f aca="false">IF(AND($D31="Hito",ISNUMBER($K31)),IF(AND($K31&gt;=AS$7,$K31&lt;AS$7+7),"◆",""),"")</f>
        <v/>
      </c>
      <c r="AT31" s="73" t="str">
        <f aca="false">IF(AND($D31="Hito",ISNUMBER($K31)),IF(AND($K31&gt;=AT$7,$K31&lt;AT$7+7),"◆",""),"")</f>
        <v/>
      </c>
      <c r="AU31" s="73" t="str">
        <f aca="false">IF(AND($D31="Hito",ISNUMBER($K31)),IF(AND($K31&gt;=AU$7,$K31&lt;AU$7+7),"◆",""),"")</f>
        <v/>
      </c>
      <c r="AV31" s="73" t="str">
        <f aca="false">IF(AND($D31="Hito",ISNUMBER($K31)),IF(AND($K31&gt;=AV$7,$K31&lt;AV$7+7),"◆",""),"")</f>
        <v/>
      </c>
      <c r="AW31" s="73" t="str">
        <f aca="false">IF(AND($D31="Hito",ISNUMBER($K31)),IF(AND($K31&gt;=AW$7,$K31&lt;AW$7+7),"◆",""),"")</f>
        <v/>
      </c>
      <c r="AX31" s="73" t="str">
        <f aca="false">IF(AND($D31="Hito",ISNUMBER($K31)),IF(AND($K31&gt;=AX$7,$K31&lt;AX$7+7),"◆",""),"")</f>
        <v/>
      </c>
      <c r="AY31" s="73" t="str">
        <f aca="false">IF(AND($D31="Hito",ISNUMBER($K31)),IF(AND($K31&gt;=AY$7,$K31&lt;AY$7+7),"◆",""),"")</f>
        <v/>
      </c>
      <c r="AZ31" s="73" t="str">
        <f aca="false">IF(AND($D31="Hito",ISNUMBER($K31)),IF(AND($K31&gt;=AZ$7,$K31&lt;AZ$7+7),"◆",""),"")</f>
        <v/>
      </c>
      <c r="BA31" s="73" t="str">
        <f aca="false">IF(AND($D31="Hito",ISNUMBER($K31)),IF(AND($K31&gt;=BA$7,$K31&lt;BA$7+7),"◆",""),"")</f>
        <v/>
      </c>
      <c r="BB31" s="73" t="str">
        <f aca="false">IF(AND($D31="Hito",ISNUMBER($K31)),IF(AND($K31&gt;=BB$7,$K31&lt;BB$7+7),"◆",""),"")</f>
        <v/>
      </c>
      <c r="BC31" s="73" t="str">
        <f aca="false">IF(AND($D31="Hito",ISNUMBER($K31)),IF(AND($K31&gt;=BC$7,$K31&lt;BC$7+7),"◆",""),"")</f>
        <v/>
      </c>
      <c r="BD31" s="73" t="str">
        <f aca="false">IF(AND($D31="Hito",ISNUMBER($K31)),IF(AND($K31&gt;=BD$7,$K31&lt;BD$7+7),"◆",""),"")</f>
        <v/>
      </c>
      <c r="BE31" s="73" t="str">
        <f aca="false">IF(AND($D31="Hito",ISNUMBER($K31)),IF(AND($K31&gt;=BE$7,$K31&lt;BE$7+7),"◆",""),"")</f>
        <v/>
      </c>
      <c r="BF31" s="73" t="str">
        <f aca="false">IF(AND($D31="Hito",ISNUMBER($K31)),IF(AND($K31&gt;=BF$7,$K31&lt;BF$7+7),"◆",""),"")</f>
        <v/>
      </c>
      <c r="BG31" s="73" t="str">
        <f aca="false">IF(AND($D31="Hito",ISNUMBER($K31)),IF(AND($K31&gt;=BG$7,$K31&lt;BG$7+7),"◆",""),"")</f>
        <v/>
      </c>
      <c r="BH31" s="73" t="str">
        <f aca="false">IF(AND($D31="Hito",ISNUMBER($K31)),IF(AND($K31&gt;=BH$7,$K31&lt;BH$7+7),"◆",""),"")</f>
        <v/>
      </c>
      <c r="BI31" s="73" t="str">
        <f aca="false">IF(AND($D31="Hito",ISNUMBER($K31)),IF(AND($K31&gt;=BI$7,$K31&lt;BI$7+7),"◆",""),"")</f>
        <v/>
      </c>
      <c r="BJ31" s="73" t="str">
        <f aca="false">IF(AND($D31="Hito",ISNUMBER($K31)),IF(AND($K31&gt;=BJ$7,$K31&lt;BJ$7+7),"◆",""),"")</f>
        <v/>
      </c>
      <c r="BK31" s="73" t="str">
        <f aca="false">IF(AND($D31="Hito",ISNUMBER($K31)),IF(AND($K31&gt;=BK$7,$K31&lt;BK$7+7),"◆",""),"")</f>
        <v/>
      </c>
      <c r="BL31" s="73" t="str">
        <f aca="false">IF(AND($D31="Hito",ISNUMBER($K31)),IF(AND($K31&gt;=BL$7,$K31&lt;BL$7+7),"◆",""),"")</f>
        <v/>
      </c>
      <c r="BM31" s="73" t="str">
        <f aca="false">IF(AND($D31="Hito",ISNUMBER($K31)),IF(AND($K31&gt;=BM$7,$K31&lt;BM$7+7),"◆",""),"")</f>
        <v/>
      </c>
      <c r="BN31" s="73" t="str">
        <f aca="false">IF(AND($D31="Hito",ISNUMBER($K31)),IF(AND($K31&gt;=BN$7,$K31&lt;BN$7+7),"◆",""),"")</f>
        <v/>
      </c>
      <c r="BO31" s="73" t="str">
        <f aca="false">IF(AND($D31="Hito",ISNUMBER($K31)),IF(AND($K31&gt;=BO$7,$K31&lt;BO$7+7),"◆",""),"")</f>
        <v/>
      </c>
      <c r="BP31" s="73" t="str">
        <f aca="false">IF(AND($D31="Hito",ISNUMBER($K31)),IF(AND($K31&gt;=BP$7,$K31&lt;BP$7+7),"◆",""),"")</f>
        <v/>
      </c>
      <c r="BQ31" s="73" t="str">
        <f aca="false">IF(AND($D31="Hito",ISNUMBER($K31)),IF(AND($K31&gt;=BQ$7,$K31&lt;BQ$7+7),"◆",""),"")</f>
        <v/>
      </c>
      <c r="BR31" s="73" t="str">
        <f aca="false">IF(AND($D31="Hito",ISNUMBER($K31)),IF(AND($K31&gt;=BR$7,$K31&lt;BR$7+7),"◆",""),"")</f>
        <v/>
      </c>
      <c r="BS31" s="73" t="str">
        <f aca="false">IF(AND($D31="Hito",ISNUMBER($K31)),IF(AND($K31&gt;=BS$7,$K31&lt;BS$7+7),"◆",""),"")</f>
        <v/>
      </c>
      <c r="BT31" s="73" t="str">
        <f aca="false">IF(AND($D31="Hito",ISNUMBER($K31)),IF(AND($K31&gt;=BT$7,$K31&lt;BT$7+7),"◆",""),"")</f>
        <v/>
      </c>
      <c r="BU31" s="73" t="str">
        <f aca="false">IF(AND($D31="Hito",ISNUMBER($K31)),IF(AND($K31&gt;=BU$7,$K31&lt;BU$7+7),"◆",""),"")</f>
        <v/>
      </c>
      <c r="BV31" s="73" t="str">
        <f aca="false">IF(AND($D31="Hito",ISNUMBER($K31)),IF(AND($K31&gt;=BV$7,$K31&lt;BV$7+7),"◆",""),"")</f>
        <v/>
      </c>
      <c r="BW31" s="73" t="str">
        <f aca="false">IF(AND($D31="Hito",ISNUMBER($K31)),IF(AND($K31&gt;=BW$7,$K31&lt;BW$7+7),"◆",""),"")</f>
        <v/>
      </c>
      <c r="BX31" s="73" t="str">
        <f aca="false">IF(AND($D31="Hito",ISNUMBER($K31)),IF(AND($K31&gt;=BX$7,$K31&lt;BX$7+7),"◆",""),"")</f>
        <v/>
      </c>
    </row>
    <row r="32" customFormat="false" ht="24" hidden="false" customHeight="true" outlineLevel="0" collapsed="false">
      <c r="A32" s="56"/>
      <c r="B32" s="56" t="str">
        <f aca="false">"F"&amp;R32</f>
        <v>F6</v>
      </c>
      <c r="C32" s="57" t="s">
        <v>195</v>
      </c>
      <c r="D32" s="56" t="s">
        <v>170</v>
      </c>
      <c r="E32" s="56"/>
      <c r="F32" s="56"/>
      <c r="G32" s="56"/>
      <c r="H32" s="56"/>
      <c r="I32" s="58" t="str">
        <f aca="false">IF(OR(J32="",K32=""),"",K32-J32+1)</f>
        <v/>
      </c>
      <c r="J32" s="59" t="str">
        <f aca="false">IFERROR(1/(1/_xlfn.MINIFS($S$8:$S$36,$R$8:$R$36,R32)),"")</f>
        <v/>
      </c>
      <c r="K32" s="59" t="str">
        <f aca="false">IFERROR(1/(1/_xlfn.MAXIFS($T$8:$T$36,$R$8:$R$36,R32)),"")</f>
        <v/>
      </c>
      <c r="L32" s="56"/>
      <c r="M32" s="56"/>
      <c r="N32" s="56"/>
      <c r="O32" s="60" t="str">
        <f aca="false">IFERROR(SUMIFS($V$8:$V$36,$R$8:$R$36,R32)/SUMIFS($U$8:$U$36,$R$8:$R$36,R32),"")</f>
        <v/>
      </c>
      <c r="P32" s="56" t="str">
        <f aca="false">IF(COUNTIFS($R$8:$R$36,R32,$U$8:$U$36,"&gt;0")=0,"",IF(COUNTIFS($R$8:$R$36,R32,$W$8:$W$36,"Atrasada")+COUNTIFS($R$8:$R$36,R32,$W$8:$W$36,"Vencido")&gt;0,"Con atraso",IF(N(O32)&gt;=1,"Terminada",IF(N(O32)&gt;0,"En curso","Por iniciar"))))</f>
        <v/>
      </c>
      <c r="Q32" s="58" t="str">
        <f aca="false">IF(N(_xlfn.MAXIFS($X$8:$X$36,$R$8:$R$36,R32))&gt;0,_xlfn.MAXIFS($X$8:$X$36,$R$8:$R$36,R32),"")</f>
        <v/>
      </c>
      <c r="R32" s="6" t="n">
        <f aca="false">COUNTIF($D$8:D32,"Fase")</f>
        <v>6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</row>
    <row r="33" customFormat="false" ht="18.75" hidden="false" customHeight="true" outlineLevel="1" collapsed="false">
      <c r="A33" s="6"/>
      <c r="B33" s="61"/>
      <c r="C33" s="62"/>
      <c r="D33" s="63"/>
      <c r="E33" s="64"/>
      <c r="F33" s="64"/>
      <c r="G33" s="61"/>
      <c r="H33" s="65"/>
      <c r="I33" s="61"/>
      <c r="J33" s="66" t="str">
        <f aca="true">IF(C33="","",IF(L33&lt;&gt;"",L33,IF(H33&lt;&gt;"",H33,IF(G33&lt;&gt;"",IFERROR(INDEX($T$8:$T$36,MATCH(G33,$B$8:$B$36,0))+IF(D33="Hito",0,1),IF(n_FInicio="",TODAY(),n_FInicio)),IF(n_FInicio="",TODAY(),n_FInicio)))))</f>
        <v/>
      </c>
      <c r="K33" s="66" t="str">
        <f aca="false">IF(C33="","",IF(M33&lt;&gt;"",M33,IF(D33="Hito",J33,J33+MAX(N(I33),1)-1)))</f>
        <v/>
      </c>
      <c r="L33" s="67"/>
      <c r="M33" s="67"/>
      <c r="N33" s="68"/>
      <c r="O33" s="69" t="str">
        <f aca="false">IF(C33="","",IF(N33&lt;&gt;"",N33,IF(M33&lt;&gt;"",1,IF(F33="",0,IF(D33="Instalación",MIN(1,IFERROR(SUMIFS('CORTES CLIENTE'!$O$20:$O$219,PRESUPUESTO!$V$7:$V$206,F33)/SUMIFS(PRESUPUESTO!$G$7:$G$206,PRESUPUESTO!$V$7:$V$206,F33),0)),IF(D33="Compra",MIN(1,IFERROR(SUMIFS('CONTROL DE MATERIALES'!$U$11:$U$210,PRESUPUESTO!$V$7:$V$206,F33)/SUMIFS('CONTROL DE MATERIALES'!$V$11:$V$210,PRESUPUESTO!$V$7:$V$206,F33),0)),0))))))</f>
        <v/>
      </c>
      <c r="P33" s="70" t="str">
        <f aca="true">IF(C33="","",IF(D33="Hito",IF(O33&gt;=1,"Cumplido",IF(TODAY()&gt;K33,"Vencido","Pendiente")),IF(O33&gt;=1,"Terminada",IF(TODAY()&gt;K33,"Atrasada",IF(OR(O33&gt;0,L33&lt;&gt;""),"En curso",IF(TODAY()&gt;=J33,"Debe iniciar","Por iniciar"))))))</f>
        <v/>
      </c>
      <c r="Q33" s="71" t="str">
        <f aca="true">IF(OR(C33="",N(O33)&gt;=1),"",IF(TODAY()&gt;K33,TODAY()-K33,0))</f>
        <v/>
      </c>
      <c r="R33" s="6" t="n">
        <f aca="false">COUNTIF($D$8:D33,"Fase")</f>
        <v>6</v>
      </c>
      <c r="S33" s="6" t="str">
        <f aca="false">IF(C33="","",J33)</f>
        <v/>
      </c>
      <c r="T33" s="6" t="str">
        <f aca="false">IF(C33="","",K33)</f>
        <v/>
      </c>
      <c r="U33" s="6" t="str">
        <f aca="false">IF(C33="","",MAX(N(I33),1))</f>
        <v/>
      </c>
      <c r="V33" s="6" t="str">
        <f aca="false">IF(C33="","",U33*N(O33))</f>
        <v/>
      </c>
      <c r="W33" s="6" t="str">
        <f aca="false">P33</f>
        <v/>
      </c>
      <c r="X33" s="6" t="str">
        <f aca="false">IF(Q33="","",N(Q33))</f>
        <v/>
      </c>
      <c r="Y33" s="73" t="str">
        <f aca="false">IF(AND($D33="Hito",ISNUMBER($K33)),IF(AND($K33&gt;=Y$7,$K33&lt;Y$7+7),"◆",""),"")</f>
        <v/>
      </c>
      <c r="Z33" s="73" t="str">
        <f aca="false">IF(AND($D33="Hito",ISNUMBER($K33)),IF(AND($K33&gt;=Z$7,$K33&lt;Z$7+7),"◆",""),"")</f>
        <v/>
      </c>
      <c r="AA33" s="73" t="str">
        <f aca="false">IF(AND($D33="Hito",ISNUMBER($K33)),IF(AND($K33&gt;=AA$7,$K33&lt;AA$7+7),"◆",""),"")</f>
        <v/>
      </c>
      <c r="AB33" s="73" t="str">
        <f aca="false">IF(AND($D33="Hito",ISNUMBER($K33)),IF(AND($K33&gt;=AB$7,$K33&lt;AB$7+7),"◆",""),"")</f>
        <v/>
      </c>
      <c r="AC33" s="73" t="str">
        <f aca="false">IF(AND($D33="Hito",ISNUMBER($K33)),IF(AND($K33&gt;=AC$7,$K33&lt;AC$7+7),"◆",""),"")</f>
        <v/>
      </c>
      <c r="AD33" s="73" t="str">
        <f aca="false">IF(AND($D33="Hito",ISNUMBER($K33)),IF(AND($K33&gt;=AD$7,$K33&lt;AD$7+7),"◆",""),"")</f>
        <v/>
      </c>
      <c r="AE33" s="73" t="str">
        <f aca="false">IF(AND($D33="Hito",ISNUMBER($K33)),IF(AND($K33&gt;=AE$7,$K33&lt;AE$7+7),"◆",""),"")</f>
        <v/>
      </c>
      <c r="AF33" s="73" t="str">
        <f aca="false">IF(AND($D33="Hito",ISNUMBER($K33)),IF(AND($K33&gt;=AF$7,$K33&lt;AF$7+7),"◆",""),"")</f>
        <v/>
      </c>
      <c r="AG33" s="73" t="str">
        <f aca="false">IF(AND($D33="Hito",ISNUMBER($K33)),IF(AND($K33&gt;=AG$7,$K33&lt;AG$7+7),"◆",""),"")</f>
        <v/>
      </c>
      <c r="AH33" s="73" t="str">
        <f aca="false">IF(AND($D33="Hito",ISNUMBER($K33)),IF(AND($K33&gt;=AH$7,$K33&lt;AH$7+7),"◆",""),"")</f>
        <v/>
      </c>
      <c r="AI33" s="73" t="str">
        <f aca="false">IF(AND($D33="Hito",ISNUMBER($K33)),IF(AND($K33&gt;=AI$7,$K33&lt;AI$7+7),"◆",""),"")</f>
        <v/>
      </c>
      <c r="AJ33" s="73" t="str">
        <f aca="false">IF(AND($D33="Hito",ISNUMBER($K33)),IF(AND($K33&gt;=AJ$7,$K33&lt;AJ$7+7),"◆",""),"")</f>
        <v/>
      </c>
      <c r="AK33" s="73" t="str">
        <f aca="false">IF(AND($D33="Hito",ISNUMBER($K33)),IF(AND($K33&gt;=AK$7,$K33&lt;AK$7+7),"◆",""),"")</f>
        <v/>
      </c>
      <c r="AL33" s="73" t="str">
        <f aca="false">IF(AND($D33="Hito",ISNUMBER($K33)),IF(AND($K33&gt;=AL$7,$K33&lt;AL$7+7),"◆",""),"")</f>
        <v/>
      </c>
      <c r="AM33" s="73" t="str">
        <f aca="false">IF(AND($D33="Hito",ISNUMBER($K33)),IF(AND($K33&gt;=AM$7,$K33&lt;AM$7+7),"◆",""),"")</f>
        <v/>
      </c>
      <c r="AN33" s="73" t="str">
        <f aca="false">IF(AND($D33="Hito",ISNUMBER($K33)),IF(AND($K33&gt;=AN$7,$K33&lt;AN$7+7),"◆",""),"")</f>
        <v/>
      </c>
      <c r="AO33" s="73" t="str">
        <f aca="false">IF(AND($D33="Hito",ISNUMBER($K33)),IF(AND($K33&gt;=AO$7,$K33&lt;AO$7+7),"◆",""),"")</f>
        <v/>
      </c>
      <c r="AP33" s="73" t="str">
        <f aca="false">IF(AND($D33="Hito",ISNUMBER($K33)),IF(AND($K33&gt;=AP$7,$K33&lt;AP$7+7),"◆",""),"")</f>
        <v/>
      </c>
      <c r="AQ33" s="73" t="str">
        <f aca="false">IF(AND($D33="Hito",ISNUMBER($K33)),IF(AND($K33&gt;=AQ$7,$K33&lt;AQ$7+7),"◆",""),"")</f>
        <v/>
      </c>
      <c r="AR33" s="73" t="str">
        <f aca="false">IF(AND($D33="Hito",ISNUMBER($K33)),IF(AND($K33&gt;=AR$7,$K33&lt;AR$7+7),"◆",""),"")</f>
        <v/>
      </c>
      <c r="AS33" s="73" t="str">
        <f aca="false">IF(AND($D33="Hito",ISNUMBER($K33)),IF(AND($K33&gt;=AS$7,$K33&lt;AS$7+7),"◆",""),"")</f>
        <v/>
      </c>
      <c r="AT33" s="73" t="str">
        <f aca="false">IF(AND($D33="Hito",ISNUMBER($K33)),IF(AND($K33&gt;=AT$7,$K33&lt;AT$7+7),"◆",""),"")</f>
        <v/>
      </c>
      <c r="AU33" s="73" t="str">
        <f aca="false">IF(AND($D33="Hito",ISNUMBER($K33)),IF(AND($K33&gt;=AU$7,$K33&lt;AU$7+7),"◆",""),"")</f>
        <v/>
      </c>
      <c r="AV33" s="73" t="str">
        <f aca="false">IF(AND($D33="Hito",ISNUMBER($K33)),IF(AND($K33&gt;=AV$7,$K33&lt;AV$7+7),"◆",""),"")</f>
        <v/>
      </c>
      <c r="AW33" s="73" t="str">
        <f aca="false">IF(AND($D33="Hito",ISNUMBER($K33)),IF(AND($K33&gt;=AW$7,$K33&lt;AW$7+7),"◆",""),"")</f>
        <v/>
      </c>
      <c r="AX33" s="73" t="str">
        <f aca="false">IF(AND($D33="Hito",ISNUMBER($K33)),IF(AND($K33&gt;=AX$7,$K33&lt;AX$7+7),"◆",""),"")</f>
        <v/>
      </c>
      <c r="AY33" s="73" t="str">
        <f aca="false">IF(AND($D33="Hito",ISNUMBER($K33)),IF(AND($K33&gt;=AY$7,$K33&lt;AY$7+7),"◆",""),"")</f>
        <v/>
      </c>
      <c r="AZ33" s="73" t="str">
        <f aca="false">IF(AND($D33="Hito",ISNUMBER($K33)),IF(AND($K33&gt;=AZ$7,$K33&lt;AZ$7+7),"◆",""),"")</f>
        <v/>
      </c>
      <c r="BA33" s="73" t="str">
        <f aca="false">IF(AND($D33="Hito",ISNUMBER($K33)),IF(AND($K33&gt;=BA$7,$K33&lt;BA$7+7),"◆",""),"")</f>
        <v/>
      </c>
      <c r="BB33" s="73" t="str">
        <f aca="false">IF(AND($D33="Hito",ISNUMBER($K33)),IF(AND($K33&gt;=BB$7,$K33&lt;BB$7+7),"◆",""),"")</f>
        <v/>
      </c>
      <c r="BC33" s="73" t="str">
        <f aca="false">IF(AND($D33="Hito",ISNUMBER($K33)),IF(AND($K33&gt;=BC$7,$K33&lt;BC$7+7),"◆",""),"")</f>
        <v/>
      </c>
      <c r="BD33" s="73" t="str">
        <f aca="false">IF(AND($D33="Hito",ISNUMBER($K33)),IF(AND($K33&gt;=BD$7,$K33&lt;BD$7+7),"◆",""),"")</f>
        <v/>
      </c>
      <c r="BE33" s="73" t="str">
        <f aca="false">IF(AND($D33="Hito",ISNUMBER($K33)),IF(AND($K33&gt;=BE$7,$K33&lt;BE$7+7),"◆",""),"")</f>
        <v/>
      </c>
      <c r="BF33" s="73" t="str">
        <f aca="false">IF(AND($D33="Hito",ISNUMBER($K33)),IF(AND($K33&gt;=BF$7,$K33&lt;BF$7+7),"◆",""),"")</f>
        <v/>
      </c>
      <c r="BG33" s="73" t="str">
        <f aca="false">IF(AND($D33="Hito",ISNUMBER($K33)),IF(AND($K33&gt;=BG$7,$K33&lt;BG$7+7),"◆",""),"")</f>
        <v/>
      </c>
      <c r="BH33" s="73" t="str">
        <f aca="false">IF(AND($D33="Hito",ISNUMBER($K33)),IF(AND($K33&gt;=BH$7,$K33&lt;BH$7+7),"◆",""),"")</f>
        <v/>
      </c>
      <c r="BI33" s="73" t="str">
        <f aca="false">IF(AND($D33="Hito",ISNUMBER($K33)),IF(AND($K33&gt;=BI$7,$K33&lt;BI$7+7),"◆",""),"")</f>
        <v/>
      </c>
      <c r="BJ33" s="73" t="str">
        <f aca="false">IF(AND($D33="Hito",ISNUMBER($K33)),IF(AND($K33&gt;=BJ$7,$K33&lt;BJ$7+7),"◆",""),"")</f>
        <v/>
      </c>
      <c r="BK33" s="73" t="str">
        <f aca="false">IF(AND($D33="Hito",ISNUMBER($K33)),IF(AND($K33&gt;=BK$7,$K33&lt;BK$7+7),"◆",""),"")</f>
        <v/>
      </c>
      <c r="BL33" s="73" t="str">
        <f aca="false">IF(AND($D33="Hito",ISNUMBER($K33)),IF(AND($K33&gt;=BL$7,$K33&lt;BL$7+7),"◆",""),"")</f>
        <v/>
      </c>
      <c r="BM33" s="73" t="str">
        <f aca="false">IF(AND($D33="Hito",ISNUMBER($K33)),IF(AND($K33&gt;=BM$7,$K33&lt;BM$7+7),"◆",""),"")</f>
        <v/>
      </c>
      <c r="BN33" s="73" t="str">
        <f aca="false">IF(AND($D33="Hito",ISNUMBER($K33)),IF(AND($K33&gt;=BN$7,$K33&lt;BN$7+7),"◆",""),"")</f>
        <v/>
      </c>
      <c r="BO33" s="73" t="str">
        <f aca="false">IF(AND($D33="Hito",ISNUMBER($K33)),IF(AND($K33&gt;=BO$7,$K33&lt;BO$7+7),"◆",""),"")</f>
        <v/>
      </c>
      <c r="BP33" s="73" t="str">
        <f aca="false">IF(AND($D33="Hito",ISNUMBER($K33)),IF(AND($K33&gt;=BP$7,$K33&lt;BP$7+7),"◆",""),"")</f>
        <v/>
      </c>
      <c r="BQ33" s="73" t="str">
        <f aca="false">IF(AND($D33="Hito",ISNUMBER($K33)),IF(AND($K33&gt;=BQ$7,$K33&lt;BQ$7+7),"◆",""),"")</f>
        <v/>
      </c>
      <c r="BR33" s="73" t="str">
        <f aca="false">IF(AND($D33="Hito",ISNUMBER($K33)),IF(AND($K33&gt;=BR$7,$K33&lt;BR$7+7),"◆",""),"")</f>
        <v/>
      </c>
      <c r="BS33" s="73" t="str">
        <f aca="false">IF(AND($D33="Hito",ISNUMBER($K33)),IF(AND($K33&gt;=BS$7,$K33&lt;BS$7+7),"◆",""),"")</f>
        <v/>
      </c>
      <c r="BT33" s="73" t="str">
        <f aca="false">IF(AND($D33="Hito",ISNUMBER($K33)),IF(AND($K33&gt;=BT$7,$K33&lt;BT$7+7),"◆",""),"")</f>
        <v/>
      </c>
      <c r="BU33" s="73" t="str">
        <f aca="false">IF(AND($D33="Hito",ISNUMBER($K33)),IF(AND($K33&gt;=BU$7,$K33&lt;BU$7+7),"◆",""),"")</f>
        <v/>
      </c>
      <c r="BV33" s="73" t="str">
        <f aca="false">IF(AND($D33="Hito",ISNUMBER($K33)),IF(AND($K33&gt;=BV$7,$K33&lt;BV$7+7),"◆",""),"")</f>
        <v/>
      </c>
      <c r="BW33" s="73" t="str">
        <f aca="false">IF(AND($D33="Hito",ISNUMBER($K33)),IF(AND($K33&gt;=BW$7,$K33&lt;BW$7+7),"◆",""),"")</f>
        <v/>
      </c>
      <c r="BX33" s="73" t="str">
        <f aca="false">IF(AND($D33="Hito",ISNUMBER($K33)),IF(AND($K33&gt;=BX$7,$K33&lt;BX$7+7),"◆",""),"")</f>
        <v/>
      </c>
    </row>
    <row r="34" customFormat="false" ht="18.75" hidden="false" customHeight="true" outlineLevel="1" collapsed="false">
      <c r="A34" s="6"/>
      <c r="B34" s="61"/>
      <c r="C34" s="62"/>
      <c r="D34" s="63"/>
      <c r="E34" s="64"/>
      <c r="F34" s="64"/>
      <c r="G34" s="61"/>
      <c r="H34" s="65"/>
      <c r="I34" s="61"/>
      <c r="J34" s="66" t="str">
        <f aca="true">IF(C34="","",IF(L34&lt;&gt;"",L34,IF(H34&lt;&gt;"",H34,IF(G34&lt;&gt;"",IFERROR(INDEX($T$8:$T$36,MATCH(G34,$B$8:$B$36,0))+IF(D34="Hito",0,1),IF(n_FInicio="",TODAY(),n_FInicio)),IF(n_FInicio="",TODAY(),n_FInicio)))))</f>
        <v/>
      </c>
      <c r="K34" s="66" t="str">
        <f aca="false">IF(C34="","",IF(M34&lt;&gt;"",M34,IF(D34="Hito",J34,J34+MAX(N(I34),1)-1)))</f>
        <v/>
      </c>
      <c r="L34" s="67"/>
      <c r="M34" s="67"/>
      <c r="N34" s="68"/>
      <c r="O34" s="69" t="str">
        <f aca="false">IF(C34="","",IF(N34&lt;&gt;"",N34,IF(M34&lt;&gt;"",1,IF(F34="",0,IF(D34="Instalación",MIN(1,IFERROR(SUMIFS('CORTES CLIENTE'!$O$20:$O$219,PRESUPUESTO!$V$7:$V$206,F34)/SUMIFS(PRESUPUESTO!$G$7:$G$206,PRESUPUESTO!$V$7:$V$206,F34),0)),IF(D34="Compra",MIN(1,IFERROR(SUMIFS('CONTROL DE MATERIALES'!$U$11:$U$210,PRESUPUESTO!$V$7:$V$206,F34)/SUMIFS('CONTROL DE MATERIALES'!$V$11:$V$210,PRESUPUESTO!$V$7:$V$206,F34),0)),0))))))</f>
        <v/>
      </c>
      <c r="P34" s="70" t="str">
        <f aca="true">IF(C34="","",IF(D34="Hito",IF(O34&gt;=1,"Cumplido",IF(TODAY()&gt;K34,"Vencido","Pendiente")),IF(O34&gt;=1,"Terminada",IF(TODAY()&gt;K34,"Atrasada",IF(OR(O34&gt;0,L34&lt;&gt;""),"En curso",IF(TODAY()&gt;=J34,"Debe iniciar","Por iniciar"))))))</f>
        <v/>
      </c>
      <c r="Q34" s="71" t="str">
        <f aca="true">IF(OR(C34="",N(O34)&gt;=1),"",IF(TODAY()&gt;K34,TODAY()-K34,0))</f>
        <v/>
      </c>
      <c r="R34" s="6" t="n">
        <f aca="false">COUNTIF($D$8:D34,"Fase")</f>
        <v>6</v>
      </c>
      <c r="S34" s="6" t="str">
        <f aca="false">IF(C34="","",J34)</f>
        <v/>
      </c>
      <c r="T34" s="6" t="str">
        <f aca="false">IF(C34="","",K34)</f>
        <v/>
      </c>
      <c r="U34" s="6" t="str">
        <f aca="false">IF(C34="","",MAX(N(I34),1))</f>
        <v/>
      </c>
      <c r="V34" s="6" t="str">
        <f aca="false">IF(C34="","",U34*N(O34))</f>
        <v/>
      </c>
      <c r="W34" s="6" t="str">
        <f aca="false">P34</f>
        <v/>
      </c>
      <c r="X34" s="6" t="str">
        <f aca="false">IF(Q34="","",N(Q34))</f>
        <v/>
      </c>
      <c r="Y34" s="73" t="str">
        <f aca="false">IF(AND($D34="Hito",ISNUMBER($K34)),IF(AND($K34&gt;=Y$7,$K34&lt;Y$7+7),"◆",""),"")</f>
        <v/>
      </c>
      <c r="Z34" s="73" t="str">
        <f aca="false">IF(AND($D34="Hito",ISNUMBER($K34)),IF(AND($K34&gt;=Z$7,$K34&lt;Z$7+7),"◆",""),"")</f>
        <v/>
      </c>
      <c r="AA34" s="73" t="str">
        <f aca="false">IF(AND($D34="Hito",ISNUMBER($K34)),IF(AND($K34&gt;=AA$7,$K34&lt;AA$7+7),"◆",""),"")</f>
        <v/>
      </c>
      <c r="AB34" s="73" t="str">
        <f aca="false">IF(AND($D34="Hito",ISNUMBER($K34)),IF(AND($K34&gt;=AB$7,$K34&lt;AB$7+7),"◆",""),"")</f>
        <v/>
      </c>
      <c r="AC34" s="73" t="str">
        <f aca="false">IF(AND($D34="Hito",ISNUMBER($K34)),IF(AND($K34&gt;=AC$7,$K34&lt;AC$7+7),"◆",""),"")</f>
        <v/>
      </c>
      <c r="AD34" s="73" t="str">
        <f aca="false">IF(AND($D34="Hito",ISNUMBER($K34)),IF(AND($K34&gt;=AD$7,$K34&lt;AD$7+7),"◆",""),"")</f>
        <v/>
      </c>
      <c r="AE34" s="73" t="str">
        <f aca="false">IF(AND($D34="Hito",ISNUMBER($K34)),IF(AND($K34&gt;=AE$7,$K34&lt;AE$7+7),"◆",""),"")</f>
        <v/>
      </c>
      <c r="AF34" s="73" t="str">
        <f aca="false">IF(AND($D34="Hito",ISNUMBER($K34)),IF(AND($K34&gt;=AF$7,$K34&lt;AF$7+7),"◆",""),"")</f>
        <v/>
      </c>
      <c r="AG34" s="73" t="str">
        <f aca="false">IF(AND($D34="Hito",ISNUMBER($K34)),IF(AND($K34&gt;=AG$7,$K34&lt;AG$7+7),"◆",""),"")</f>
        <v/>
      </c>
      <c r="AH34" s="73" t="str">
        <f aca="false">IF(AND($D34="Hito",ISNUMBER($K34)),IF(AND($K34&gt;=AH$7,$K34&lt;AH$7+7),"◆",""),"")</f>
        <v/>
      </c>
      <c r="AI34" s="73" t="str">
        <f aca="false">IF(AND($D34="Hito",ISNUMBER($K34)),IF(AND($K34&gt;=AI$7,$K34&lt;AI$7+7),"◆",""),"")</f>
        <v/>
      </c>
      <c r="AJ34" s="73" t="str">
        <f aca="false">IF(AND($D34="Hito",ISNUMBER($K34)),IF(AND($K34&gt;=AJ$7,$K34&lt;AJ$7+7),"◆",""),"")</f>
        <v/>
      </c>
      <c r="AK34" s="73" t="str">
        <f aca="false">IF(AND($D34="Hito",ISNUMBER($K34)),IF(AND($K34&gt;=AK$7,$K34&lt;AK$7+7),"◆",""),"")</f>
        <v/>
      </c>
      <c r="AL34" s="73" t="str">
        <f aca="false">IF(AND($D34="Hito",ISNUMBER($K34)),IF(AND($K34&gt;=AL$7,$K34&lt;AL$7+7),"◆",""),"")</f>
        <v/>
      </c>
      <c r="AM34" s="73" t="str">
        <f aca="false">IF(AND($D34="Hito",ISNUMBER($K34)),IF(AND($K34&gt;=AM$7,$K34&lt;AM$7+7),"◆",""),"")</f>
        <v/>
      </c>
      <c r="AN34" s="73" t="str">
        <f aca="false">IF(AND($D34="Hito",ISNUMBER($K34)),IF(AND($K34&gt;=AN$7,$K34&lt;AN$7+7),"◆",""),"")</f>
        <v/>
      </c>
      <c r="AO34" s="73" t="str">
        <f aca="false">IF(AND($D34="Hito",ISNUMBER($K34)),IF(AND($K34&gt;=AO$7,$K34&lt;AO$7+7),"◆",""),"")</f>
        <v/>
      </c>
      <c r="AP34" s="73" t="str">
        <f aca="false">IF(AND($D34="Hito",ISNUMBER($K34)),IF(AND($K34&gt;=AP$7,$K34&lt;AP$7+7),"◆",""),"")</f>
        <v/>
      </c>
      <c r="AQ34" s="73" t="str">
        <f aca="false">IF(AND($D34="Hito",ISNUMBER($K34)),IF(AND($K34&gt;=AQ$7,$K34&lt;AQ$7+7),"◆",""),"")</f>
        <v/>
      </c>
      <c r="AR34" s="73" t="str">
        <f aca="false">IF(AND($D34="Hito",ISNUMBER($K34)),IF(AND($K34&gt;=AR$7,$K34&lt;AR$7+7),"◆",""),"")</f>
        <v/>
      </c>
      <c r="AS34" s="73" t="str">
        <f aca="false">IF(AND($D34="Hito",ISNUMBER($K34)),IF(AND($K34&gt;=AS$7,$K34&lt;AS$7+7),"◆",""),"")</f>
        <v/>
      </c>
      <c r="AT34" s="73" t="str">
        <f aca="false">IF(AND($D34="Hito",ISNUMBER($K34)),IF(AND($K34&gt;=AT$7,$K34&lt;AT$7+7),"◆",""),"")</f>
        <v/>
      </c>
      <c r="AU34" s="73" t="str">
        <f aca="false">IF(AND($D34="Hito",ISNUMBER($K34)),IF(AND($K34&gt;=AU$7,$K34&lt;AU$7+7),"◆",""),"")</f>
        <v/>
      </c>
      <c r="AV34" s="73" t="str">
        <f aca="false">IF(AND($D34="Hito",ISNUMBER($K34)),IF(AND($K34&gt;=AV$7,$K34&lt;AV$7+7),"◆",""),"")</f>
        <v/>
      </c>
      <c r="AW34" s="73" t="str">
        <f aca="false">IF(AND($D34="Hito",ISNUMBER($K34)),IF(AND($K34&gt;=AW$7,$K34&lt;AW$7+7),"◆",""),"")</f>
        <v/>
      </c>
      <c r="AX34" s="73" t="str">
        <f aca="false">IF(AND($D34="Hito",ISNUMBER($K34)),IF(AND($K34&gt;=AX$7,$K34&lt;AX$7+7),"◆",""),"")</f>
        <v/>
      </c>
      <c r="AY34" s="73" t="str">
        <f aca="false">IF(AND($D34="Hito",ISNUMBER($K34)),IF(AND($K34&gt;=AY$7,$K34&lt;AY$7+7),"◆",""),"")</f>
        <v/>
      </c>
      <c r="AZ34" s="73" t="str">
        <f aca="false">IF(AND($D34="Hito",ISNUMBER($K34)),IF(AND($K34&gt;=AZ$7,$K34&lt;AZ$7+7),"◆",""),"")</f>
        <v/>
      </c>
      <c r="BA34" s="73" t="str">
        <f aca="false">IF(AND($D34="Hito",ISNUMBER($K34)),IF(AND($K34&gt;=BA$7,$K34&lt;BA$7+7),"◆",""),"")</f>
        <v/>
      </c>
      <c r="BB34" s="73" t="str">
        <f aca="false">IF(AND($D34="Hito",ISNUMBER($K34)),IF(AND($K34&gt;=BB$7,$K34&lt;BB$7+7),"◆",""),"")</f>
        <v/>
      </c>
      <c r="BC34" s="73" t="str">
        <f aca="false">IF(AND($D34="Hito",ISNUMBER($K34)),IF(AND($K34&gt;=BC$7,$K34&lt;BC$7+7),"◆",""),"")</f>
        <v/>
      </c>
      <c r="BD34" s="73" t="str">
        <f aca="false">IF(AND($D34="Hito",ISNUMBER($K34)),IF(AND($K34&gt;=BD$7,$K34&lt;BD$7+7),"◆",""),"")</f>
        <v/>
      </c>
      <c r="BE34" s="73" t="str">
        <f aca="false">IF(AND($D34="Hito",ISNUMBER($K34)),IF(AND($K34&gt;=BE$7,$K34&lt;BE$7+7),"◆",""),"")</f>
        <v/>
      </c>
      <c r="BF34" s="73" t="str">
        <f aca="false">IF(AND($D34="Hito",ISNUMBER($K34)),IF(AND($K34&gt;=BF$7,$K34&lt;BF$7+7),"◆",""),"")</f>
        <v/>
      </c>
      <c r="BG34" s="73" t="str">
        <f aca="false">IF(AND($D34="Hito",ISNUMBER($K34)),IF(AND($K34&gt;=BG$7,$K34&lt;BG$7+7),"◆",""),"")</f>
        <v/>
      </c>
      <c r="BH34" s="73" t="str">
        <f aca="false">IF(AND($D34="Hito",ISNUMBER($K34)),IF(AND($K34&gt;=BH$7,$K34&lt;BH$7+7),"◆",""),"")</f>
        <v/>
      </c>
      <c r="BI34" s="73" t="str">
        <f aca="false">IF(AND($D34="Hito",ISNUMBER($K34)),IF(AND($K34&gt;=BI$7,$K34&lt;BI$7+7),"◆",""),"")</f>
        <v/>
      </c>
      <c r="BJ34" s="73" t="str">
        <f aca="false">IF(AND($D34="Hito",ISNUMBER($K34)),IF(AND($K34&gt;=BJ$7,$K34&lt;BJ$7+7),"◆",""),"")</f>
        <v/>
      </c>
      <c r="BK34" s="73" t="str">
        <f aca="false">IF(AND($D34="Hito",ISNUMBER($K34)),IF(AND($K34&gt;=BK$7,$K34&lt;BK$7+7),"◆",""),"")</f>
        <v/>
      </c>
      <c r="BL34" s="73" t="str">
        <f aca="false">IF(AND($D34="Hito",ISNUMBER($K34)),IF(AND($K34&gt;=BL$7,$K34&lt;BL$7+7),"◆",""),"")</f>
        <v/>
      </c>
      <c r="BM34" s="73" t="str">
        <f aca="false">IF(AND($D34="Hito",ISNUMBER($K34)),IF(AND($K34&gt;=BM$7,$K34&lt;BM$7+7),"◆",""),"")</f>
        <v/>
      </c>
      <c r="BN34" s="73" t="str">
        <f aca="false">IF(AND($D34="Hito",ISNUMBER($K34)),IF(AND($K34&gt;=BN$7,$K34&lt;BN$7+7),"◆",""),"")</f>
        <v/>
      </c>
      <c r="BO34" s="73" t="str">
        <f aca="false">IF(AND($D34="Hito",ISNUMBER($K34)),IF(AND($K34&gt;=BO$7,$K34&lt;BO$7+7),"◆",""),"")</f>
        <v/>
      </c>
      <c r="BP34" s="73" t="str">
        <f aca="false">IF(AND($D34="Hito",ISNUMBER($K34)),IF(AND($K34&gt;=BP$7,$K34&lt;BP$7+7),"◆",""),"")</f>
        <v/>
      </c>
      <c r="BQ34" s="73" t="str">
        <f aca="false">IF(AND($D34="Hito",ISNUMBER($K34)),IF(AND($K34&gt;=BQ$7,$K34&lt;BQ$7+7),"◆",""),"")</f>
        <v/>
      </c>
      <c r="BR34" s="73" t="str">
        <f aca="false">IF(AND($D34="Hito",ISNUMBER($K34)),IF(AND($K34&gt;=BR$7,$K34&lt;BR$7+7),"◆",""),"")</f>
        <v/>
      </c>
      <c r="BS34" s="73" t="str">
        <f aca="false">IF(AND($D34="Hito",ISNUMBER($K34)),IF(AND($K34&gt;=BS$7,$K34&lt;BS$7+7),"◆",""),"")</f>
        <v/>
      </c>
      <c r="BT34" s="73" t="str">
        <f aca="false">IF(AND($D34="Hito",ISNUMBER($K34)),IF(AND($K34&gt;=BT$7,$K34&lt;BT$7+7),"◆",""),"")</f>
        <v/>
      </c>
      <c r="BU34" s="73" t="str">
        <f aca="false">IF(AND($D34="Hito",ISNUMBER($K34)),IF(AND($K34&gt;=BU$7,$K34&lt;BU$7+7),"◆",""),"")</f>
        <v/>
      </c>
      <c r="BV34" s="73" t="str">
        <f aca="false">IF(AND($D34="Hito",ISNUMBER($K34)),IF(AND($K34&gt;=BV$7,$K34&lt;BV$7+7),"◆",""),"")</f>
        <v/>
      </c>
      <c r="BW34" s="73" t="str">
        <f aca="false">IF(AND($D34="Hito",ISNUMBER($K34)),IF(AND($K34&gt;=BW$7,$K34&lt;BW$7+7),"◆",""),"")</f>
        <v/>
      </c>
      <c r="BX34" s="73" t="str">
        <f aca="false">IF(AND($D34="Hito",ISNUMBER($K34)),IF(AND($K34&gt;=BX$7,$K34&lt;BX$7+7),"◆",""),"")</f>
        <v/>
      </c>
    </row>
    <row r="35" customFormat="false" ht="18.75" hidden="false" customHeight="true" outlineLevel="1" collapsed="false">
      <c r="A35" s="6"/>
      <c r="B35" s="61"/>
      <c r="C35" s="62"/>
      <c r="D35" s="63"/>
      <c r="E35" s="64"/>
      <c r="F35" s="64"/>
      <c r="G35" s="61"/>
      <c r="H35" s="65"/>
      <c r="I35" s="61"/>
      <c r="J35" s="66" t="str">
        <f aca="true">IF(C35="","",IF(L35&lt;&gt;"",L35,IF(H35&lt;&gt;"",H35,IF(G35&lt;&gt;"",IFERROR(INDEX($T$8:$T$36,MATCH(G35,$B$8:$B$36,0))+IF(D35="Hito",0,1),IF(n_FInicio="",TODAY(),n_FInicio)),IF(n_FInicio="",TODAY(),n_FInicio)))))</f>
        <v/>
      </c>
      <c r="K35" s="66" t="str">
        <f aca="false">IF(C35="","",IF(M35&lt;&gt;"",M35,IF(D35="Hito",J35,J35+MAX(N(I35),1)-1)))</f>
        <v/>
      </c>
      <c r="L35" s="67"/>
      <c r="M35" s="67"/>
      <c r="N35" s="68"/>
      <c r="O35" s="69" t="str">
        <f aca="false">IF(C35="","",IF(N35&lt;&gt;"",N35,IF(M35&lt;&gt;"",1,IF(F35="",0,IF(D35="Instalación",MIN(1,IFERROR(SUMIFS('CORTES CLIENTE'!$O$20:$O$219,PRESUPUESTO!$V$7:$V$206,F35)/SUMIFS(PRESUPUESTO!$G$7:$G$206,PRESUPUESTO!$V$7:$V$206,F35),0)),IF(D35="Compra",MIN(1,IFERROR(SUMIFS('CONTROL DE MATERIALES'!$U$11:$U$210,PRESUPUESTO!$V$7:$V$206,F35)/SUMIFS('CONTROL DE MATERIALES'!$V$11:$V$210,PRESUPUESTO!$V$7:$V$206,F35),0)),0))))))</f>
        <v/>
      </c>
      <c r="P35" s="70" t="str">
        <f aca="true">IF(C35="","",IF(D35="Hito",IF(O35&gt;=1,"Cumplido",IF(TODAY()&gt;K35,"Vencido","Pendiente")),IF(O35&gt;=1,"Terminada",IF(TODAY()&gt;K35,"Atrasada",IF(OR(O35&gt;0,L35&lt;&gt;""),"En curso",IF(TODAY()&gt;=J35,"Debe iniciar","Por iniciar"))))))</f>
        <v/>
      </c>
      <c r="Q35" s="71" t="str">
        <f aca="true">IF(OR(C35="",N(O35)&gt;=1),"",IF(TODAY()&gt;K35,TODAY()-K35,0))</f>
        <v/>
      </c>
      <c r="R35" s="6" t="n">
        <f aca="false">COUNTIF($D$8:D35,"Fase")</f>
        <v>6</v>
      </c>
      <c r="S35" s="6" t="str">
        <f aca="false">IF(C35="","",J35)</f>
        <v/>
      </c>
      <c r="T35" s="6" t="str">
        <f aca="false">IF(C35="","",K35)</f>
        <v/>
      </c>
      <c r="U35" s="6" t="str">
        <f aca="false">IF(C35="","",MAX(N(I35),1))</f>
        <v/>
      </c>
      <c r="V35" s="6" t="str">
        <f aca="false">IF(C35="","",U35*N(O35))</f>
        <v/>
      </c>
      <c r="W35" s="6" t="str">
        <f aca="false">P35</f>
        <v/>
      </c>
      <c r="X35" s="6" t="str">
        <f aca="false">IF(Q35="","",N(Q35))</f>
        <v/>
      </c>
      <c r="Y35" s="73" t="str">
        <f aca="false">IF(AND($D35="Hito",ISNUMBER($K35)),IF(AND($K35&gt;=Y$7,$K35&lt;Y$7+7),"◆",""),"")</f>
        <v/>
      </c>
      <c r="Z35" s="73" t="str">
        <f aca="false">IF(AND($D35="Hito",ISNUMBER($K35)),IF(AND($K35&gt;=Z$7,$K35&lt;Z$7+7),"◆",""),"")</f>
        <v/>
      </c>
      <c r="AA35" s="73" t="str">
        <f aca="false">IF(AND($D35="Hito",ISNUMBER($K35)),IF(AND($K35&gt;=AA$7,$K35&lt;AA$7+7),"◆",""),"")</f>
        <v/>
      </c>
      <c r="AB35" s="73" t="str">
        <f aca="false">IF(AND($D35="Hito",ISNUMBER($K35)),IF(AND($K35&gt;=AB$7,$K35&lt;AB$7+7),"◆",""),"")</f>
        <v/>
      </c>
      <c r="AC35" s="73" t="str">
        <f aca="false">IF(AND($D35="Hito",ISNUMBER($K35)),IF(AND($K35&gt;=AC$7,$K35&lt;AC$7+7),"◆",""),"")</f>
        <v/>
      </c>
      <c r="AD35" s="73" t="str">
        <f aca="false">IF(AND($D35="Hito",ISNUMBER($K35)),IF(AND($K35&gt;=AD$7,$K35&lt;AD$7+7),"◆",""),"")</f>
        <v/>
      </c>
      <c r="AE35" s="73" t="str">
        <f aca="false">IF(AND($D35="Hito",ISNUMBER($K35)),IF(AND($K35&gt;=AE$7,$K35&lt;AE$7+7),"◆",""),"")</f>
        <v/>
      </c>
      <c r="AF35" s="73" t="str">
        <f aca="false">IF(AND($D35="Hito",ISNUMBER($K35)),IF(AND($K35&gt;=AF$7,$K35&lt;AF$7+7),"◆",""),"")</f>
        <v/>
      </c>
      <c r="AG35" s="73" t="str">
        <f aca="false">IF(AND($D35="Hito",ISNUMBER($K35)),IF(AND($K35&gt;=AG$7,$K35&lt;AG$7+7),"◆",""),"")</f>
        <v/>
      </c>
      <c r="AH35" s="73" t="str">
        <f aca="false">IF(AND($D35="Hito",ISNUMBER($K35)),IF(AND($K35&gt;=AH$7,$K35&lt;AH$7+7),"◆",""),"")</f>
        <v/>
      </c>
      <c r="AI35" s="73" t="str">
        <f aca="false">IF(AND($D35="Hito",ISNUMBER($K35)),IF(AND($K35&gt;=AI$7,$K35&lt;AI$7+7),"◆",""),"")</f>
        <v/>
      </c>
      <c r="AJ35" s="73" t="str">
        <f aca="false">IF(AND($D35="Hito",ISNUMBER($K35)),IF(AND($K35&gt;=AJ$7,$K35&lt;AJ$7+7),"◆",""),"")</f>
        <v/>
      </c>
      <c r="AK35" s="73" t="str">
        <f aca="false">IF(AND($D35="Hito",ISNUMBER($K35)),IF(AND($K35&gt;=AK$7,$K35&lt;AK$7+7),"◆",""),"")</f>
        <v/>
      </c>
      <c r="AL35" s="73" t="str">
        <f aca="false">IF(AND($D35="Hito",ISNUMBER($K35)),IF(AND($K35&gt;=AL$7,$K35&lt;AL$7+7),"◆",""),"")</f>
        <v/>
      </c>
      <c r="AM35" s="73" t="str">
        <f aca="false">IF(AND($D35="Hito",ISNUMBER($K35)),IF(AND($K35&gt;=AM$7,$K35&lt;AM$7+7),"◆",""),"")</f>
        <v/>
      </c>
      <c r="AN35" s="73" t="str">
        <f aca="false">IF(AND($D35="Hito",ISNUMBER($K35)),IF(AND($K35&gt;=AN$7,$K35&lt;AN$7+7),"◆",""),"")</f>
        <v/>
      </c>
      <c r="AO35" s="73" t="str">
        <f aca="false">IF(AND($D35="Hito",ISNUMBER($K35)),IF(AND($K35&gt;=AO$7,$K35&lt;AO$7+7),"◆",""),"")</f>
        <v/>
      </c>
      <c r="AP35" s="73" t="str">
        <f aca="false">IF(AND($D35="Hito",ISNUMBER($K35)),IF(AND($K35&gt;=AP$7,$K35&lt;AP$7+7),"◆",""),"")</f>
        <v/>
      </c>
      <c r="AQ35" s="73" t="str">
        <f aca="false">IF(AND($D35="Hito",ISNUMBER($K35)),IF(AND($K35&gt;=AQ$7,$K35&lt;AQ$7+7),"◆",""),"")</f>
        <v/>
      </c>
      <c r="AR35" s="73" t="str">
        <f aca="false">IF(AND($D35="Hito",ISNUMBER($K35)),IF(AND($K35&gt;=AR$7,$K35&lt;AR$7+7),"◆",""),"")</f>
        <v/>
      </c>
      <c r="AS35" s="73" t="str">
        <f aca="false">IF(AND($D35="Hito",ISNUMBER($K35)),IF(AND($K35&gt;=AS$7,$K35&lt;AS$7+7),"◆",""),"")</f>
        <v/>
      </c>
      <c r="AT35" s="73" t="str">
        <f aca="false">IF(AND($D35="Hito",ISNUMBER($K35)),IF(AND($K35&gt;=AT$7,$K35&lt;AT$7+7),"◆",""),"")</f>
        <v/>
      </c>
      <c r="AU35" s="73" t="str">
        <f aca="false">IF(AND($D35="Hito",ISNUMBER($K35)),IF(AND($K35&gt;=AU$7,$K35&lt;AU$7+7),"◆",""),"")</f>
        <v/>
      </c>
      <c r="AV35" s="73" t="str">
        <f aca="false">IF(AND($D35="Hito",ISNUMBER($K35)),IF(AND($K35&gt;=AV$7,$K35&lt;AV$7+7),"◆",""),"")</f>
        <v/>
      </c>
      <c r="AW35" s="73" t="str">
        <f aca="false">IF(AND($D35="Hito",ISNUMBER($K35)),IF(AND($K35&gt;=AW$7,$K35&lt;AW$7+7),"◆",""),"")</f>
        <v/>
      </c>
      <c r="AX35" s="73" t="str">
        <f aca="false">IF(AND($D35="Hito",ISNUMBER($K35)),IF(AND($K35&gt;=AX$7,$K35&lt;AX$7+7),"◆",""),"")</f>
        <v/>
      </c>
      <c r="AY35" s="73" t="str">
        <f aca="false">IF(AND($D35="Hito",ISNUMBER($K35)),IF(AND($K35&gt;=AY$7,$K35&lt;AY$7+7),"◆",""),"")</f>
        <v/>
      </c>
      <c r="AZ35" s="73" t="str">
        <f aca="false">IF(AND($D35="Hito",ISNUMBER($K35)),IF(AND($K35&gt;=AZ$7,$K35&lt;AZ$7+7),"◆",""),"")</f>
        <v/>
      </c>
      <c r="BA35" s="73" t="str">
        <f aca="false">IF(AND($D35="Hito",ISNUMBER($K35)),IF(AND($K35&gt;=BA$7,$K35&lt;BA$7+7),"◆",""),"")</f>
        <v/>
      </c>
      <c r="BB35" s="73" t="str">
        <f aca="false">IF(AND($D35="Hito",ISNUMBER($K35)),IF(AND($K35&gt;=BB$7,$K35&lt;BB$7+7),"◆",""),"")</f>
        <v/>
      </c>
      <c r="BC35" s="73" t="str">
        <f aca="false">IF(AND($D35="Hito",ISNUMBER($K35)),IF(AND($K35&gt;=BC$7,$K35&lt;BC$7+7),"◆",""),"")</f>
        <v/>
      </c>
      <c r="BD35" s="73" t="str">
        <f aca="false">IF(AND($D35="Hito",ISNUMBER($K35)),IF(AND($K35&gt;=BD$7,$K35&lt;BD$7+7),"◆",""),"")</f>
        <v/>
      </c>
      <c r="BE35" s="73" t="str">
        <f aca="false">IF(AND($D35="Hito",ISNUMBER($K35)),IF(AND($K35&gt;=BE$7,$K35&lt;BE$7+7),"◆",""),"")</f>
        <v/>
      </c>
      <c r="BF35" s="73" t="str">
        <f aca="false">IF(AND($D35="Hito",ISNUMBER($K35)),IF(AND($K35&gt;=BF$7,$K35&lt;BF$7+7),"◆",""),"")</f>
        <v/>
      </c>
      <c r="BG35" s="73" t="str">
        <f aca="false">IF(AND($D35="Hito",ISNUMBER($K35)),IF(AND($K35&gt;=BG$7,$K35&lt;BG$7+7),"◆",""),"")</f>
        <v/>
      </c>
      <c r="BH35" s="73" t="str">
        <f aca="false">IF(AND($D35="Hito",ISNUMBER($K35)),IF(AND($K35&gt;=BH$7,$K35&lt;BH$7+7),"◆",""),"")</f>
        <v/>
      </c>
      <c r="BI35" s="73" t="str">
        <f aca="false">IF(AND($D35="Hito",ISNUMBER($K35)),IF(AND($K35&gt;=BI$7,$K35&lt;BI$7+7),"◆",""),"")</f>
        <v/>
      </c>
      <c r="BJ35" s="73" t="str">
        <f aca="false">IF(AND($D35="Hito",ISNUMBER($K35)),IF(AND($K35&gt;=BJ$7,$K35&lt;BJ$7+7),"◆",""),"")</f>
        <v/>
      </c>
      <c r="BK35" s="73" t="str">
        <f aca="false">IF(AND($D35="Hito",ISNUMBER($K35)),IF(AND($K35&gt;=BK$7,$K35&lt;BK$7+7),"◆",""),"")</f>
        <v/>
      </c>
      <c r="BL35" s="73" t="str">
        <f aca="false">IF(AND($D35="Hito",ISNUMBER($K35)),IF(AND($K35&gt;=BL$7,$K35&lt;BL$7+7),"◆",""),"")</f>
        <v/>
      </c>
      <c r="BM35" s="73" t="str">
        <f aca="false">IF(AND($D35="Hito",ISNUMBER($K35)),IF(AND($K35&gt;=BM$7,$K35&lt;BM$7+7),"◆",""),"")</f>
        <v/>
      </c>
      <c r="BN35" s="73" t="str">
        <f aca="false">IF(AND($D35="Hito",ISNUMBER($K35)),IF(AND($K35&gt;=BN$7,$K35&lt;BN$7+7),"◆",""),"")</f>
        <v/>
      </c>
      <c r="BO35" s="73" t="str">
        <f aca="false">IF(AND($D35="Hito",ISNUMBER($K35)),IF(AND($K35&gt;=BO$7,$K35&lt;BO$7+7),"◆",""),"")</f>
        <v/>
      </c>
      <c r="BP35" s="73" t="str">
        <f aca="false">IF(AND($D35="Hito",ISNUMBER($K35)),IF(AND($K35&gt;=BP$7,$K35&lt;BP$7+7),"◆",""),"")</f>
        <v/>
      </c>
      <c r="BQ35" s="73" t="str">
        <f aca="false">IF(AND($D35="Hito",ISNUMBER($K35)),IF(AND($K35&gt;=BQ$7,$K35&lt;BQ$7+7),"◆",""),"")</f>
        <v/>
      </c>
      <c r="BR35" s="73" t="str">
        <f aca="false">IF(AND($D35="Hito",ISNUMBER($K35)),IF(AND($K35&gt;=BR$7,$K35&lt;BR$7+7),"◆",""),"")</f>
        <v/>
      </c>
      <c r="BS35" s="73" t="str">
        <f aca="false">IF(AND($D35="Hito",ISNUMBER($K35)),IF(AND($K35&gt;=BS$7,$K35&lt;BS$7+7),"◆",""),"")</f>
        <v/>
      </c>
      <c r="BT35" s="73" t="str">
        <f aca="false">IF(AND($D35="Hito",ISNUMBER($K35)),IF(AND($K35&gt;=BT$7,$K35&lt;BT$7+7),"◆",""),"")</f>
        <v/>
      </c>
      <c r="BU35" s="73" t="str">
        <f aca="false">IF(AND($D35="Hito",ISNUMBER($K35)),IF(AND($K35&gt;=BU$7,$K35&lt;BU$7+7),"◆",""),"")</f>
        <v/>
      </c>
      <c r="BV35" s="73" t="str">
        <f aca="false">IF(AND($D35="Hito",ISNUMBER($K35)),IF(AND($K35&gt;=BV$7,$K35&lt;BV$7+7),"◆",""),"")</f>
        <v/>
      </c>
      <c r="BW35" s="73" t="str">
        <f aca="false">IF(AND($D35="Hito",ISNUMBER($K35)),IF(AND($K35&gt;=BW$7,$K35&lt;BW$7+7),"◆",""),"")</f>
        <v/>
      </c>
      <c r="BX35" s="73" t="str">
        <f aca="false">IF(AND($D35="Hito",ISNUMBER($K35)),IF(AND($K35&gt;=BX$7,$K35&lt;BX$7+7),"◆",""),"")</f>
        <v/>
      </c>
    </row>
    <row r="36" customFormat="false" ht="18.75" hidden="false" customHeight="true" outlineLevel="1" collapsed="false">
      <c r="A36" s="6"/>
      <c r="B36" s="61"/>
      <c r="C36" s="62"/>
      <c r="D36" s="63"/>
      <c r="E36" s="64"/>
      <c r="F36" s="64"/>
      <c r="G36" s="61"/>
      <c r="H36" s="65"/>
      <c r="I36" s="61"/>
      <c r="J36" s="66" t="str">
        <f aca="true">IF(C36="","",IF(L36&lt;&gt;"",L36,IF(H36&lt;&gt;"",H36,IF(G36&lt;&gt;"",IFERROR(INDEX($T$8:$T$36,MATCH(G36,$B$8:$B$36,0))+IF(D36="Hito",0,1),IF(n_FInicio="",TODAY(),n_FInicio)),IF(n_FInicio="",TODAY(),n_FInicio)))))</f>
        <v/>
      </c>
      <c r="K36" s="66" t="str">
        <f aca="false">IF(C36="","",IF(M36&lt;&gt;"",M36,IF(D36="Hito",J36,J36+MAX(N(I36),1)-1)))</f>
        <v/>
      </c>
      <c r="L36" s="67"/>
      <c r="M36" s="67"/>
      <c r="N36" s="68"/>
      <c r="O36" s="69" t="str">
        <f aca="false">IF(C36="","",IF(N36&lt;&gt;"",N36,IF(M36&lt;&gt;"",1,IF(F36="",0,IF(D36="Instalación",MIN(1,IFERROR(SUMIFS('CORTES CLIENTE'!$O$20:$O$219,PRESUPUESTO!$V$7:$V$206,F36)/SUMIFS(PRESUPUESTO!$G$7:$G$206,PRESUPUESTO!$V$7:$V$206,F36),0)),IF(D36="Compra",MIN(1,IFERROR(SUMIFS('CONTROL DE MATERIALES'!$U$11:$U$210,PRESUPUESTO!$V$7:$V$206,F36)/SUMIFS('CONTROL DE MATERIALES'!$V$11:$V$210,PRESUPUESTO!$V$7:$V$206,F36),0)),0))))))</f>
        <v/>
      </c>
      <c r="P36" s="70" t="str">
        <f aca="true">IF(C36="","",IF(D36="Hito",IF(O36&gt;=1,"Cumplido",IF(TODAY()&gt;K36,"Vencido","Pendiente")),IF(O36&gt;=1,"Terminada",IF(TODAY()&gt;K36,"Atrasada",IF(OR(O36&gt;0,L36&lt;&gt;""),"En curso",IF(TODAY()&gt;=J36,"Debe iniciar","Por iniciar"))))))</f>
        <v/>
      </c>
      <c r="Q36" s="71" t="str">
        <f aca="true">IF(OR(C36="",N(O36)&gt;=1),"",IF(TODAY()&gt;K36,TODAY()-K36,0))</f>
        <v/>
      </c>
      <c r="R36" s="6" t="n">
        <f aca="false">COUNTIF($D$8:D36,"Fase")</f>
        <v>6</v>
      </c>
      <c r="S36" s="6" t="str">
        <f aca="false">IF(C36="","",J36)</f>
        <v/>
      </c>
      <c r="T36" s="6" t="str">
        <f aca="false">IF(C36="","",K36)</f>
        <v/>
      </c>
      <c r="U36" s="6" t="str">
        <f aca="false">IF(C36="","",MAX(N(I36),1))</f>
        <v/>
      </c>
      <c r="V36" s="6" t="str">
        <f aca="false">IF(C36="","",U36*N(O36))</f>
        <v/>
      </c>
      <c r="W36" s="6" t="str">
        <f aca="false">P36</f>
        <v/>
      </c>
      <c r="X36" s="6" t="str">
        <f aca="false">IF(Q36="","",N(Q36))</f>
        <v/>
      </c>
      <c r="Y36" s="73" t="str">
        <f aca="false">IF(AND($D36="Hito",ISNUMBER($K36)),IF(AND($K36&gt;=Y$7,$K36&lt;Y$7+7),"◆",""),"")</f>
        <v/>
      </c>
      <c r="Z36" s="73" t="str">
        <f aca="false">IF(AND($D36="Hito",ISNUMBER($K36)),IF(AND($K36&gt;=Z$7,$K36&lt;Z$7+7),"◆",""),"")</f>
        <v/>
      </c>
      <c r="AA36" s="73" t="str">
        <f aca="false">IF(AND($D36="Hito",ISNUMBER($K36)),IF(AND($K36&gt;=AA$7,$K36&lt;AA$7+7),"◆",""),"")</f>
        <v/>
      </c>
      <c r="AB36" s="73" t="str">
        <f aca="false">IF(AND($D36="Hito",ISNUMBER($K36)),IF(AND($K36&gt;=AB$7,$K36&lt;AB$7+7),"◆",""),"")</f>
        <v/>
      </c>
      <c r="AC36" s="73" t="str">
        <f aca="false">IF(AND($D36="Hito",ISNUMBER($K36)),IF(AND($K36&gt;=AC$7,$K36&lt;AC$7+7),"◆",""),"")</f>
        <v/>
      </c>
      <c r="AD36" s="73" t="str">
        <f aca="false">IF(AND($D36="Hito",ISNUMBER($K36)),IF(AND($K36&gt;=AD$7,$K36&lt;AD$7+7),"◆",""),"")</f>
        <v/>
      </c>
      <c r="AE36" s="73" t="str">
        <f aca="false">IF(AND($D36="Hito",ISNUMBER($K36)),IF(AND($K36&gt;=AE$7,$K36&lt;AE$7+7),"◆",""),"")</f>
        <v/>
      </c>
      <c r="AF36" s="73" t="str">
        <f aca="false">IF(AND($D36="Hito",ISNUMBER($K36)),IF(AND($K36&gt;=AF$7,$K36&lt;AF$7+7),"◆",""),"")</f>
        <v/>
      </c>
      <c r="AG36" s="73" t="str">
        <f aca="false">IF(AND($D36="Hito",ISNUMBER($K36)),IF(AND($K36&gt;=AG$7,$K36&lt;AG$7+7),"◆",""),"")</f>
        <v/>
      </c>
      <c r="AH36" s="73" t="str">
        <f aca="false">IF(AND($D36="Hito",ISNUMBER($K36)),IF(AND($K36&gt;=AH$7,$K36&lt;AH$7+7),"◆",""),"")</f>
        <v/>
      </c>
      <c r="AI36" s="73" t="str">
        <f aca="false">IF(AND($D36="Hito",ISNUMBER($K36)),IF(AND($K36&gt;=AI$7,$K36&lt;AI$7+7),"◆",""),"")</f>
        <v/>
      </c>
      <c r="AJ36" s="73" t="str">
        <f aca="false">IF(AND($D36="Hito",ISNUMBER($K36)),IF(AND($K36&gt;=AJ$7,$K36&lt;AJ$7+7),"◆",""),"")</f>
        <v/>
      </c>
      <c r="AK36" s="73" t="str">
        <f aca="false">IF(AND($D36="Hito",ISNUMBER($K36)),IF(AND($K36&gt;=AK$7,$K36&lt;AK$7+7),"◆",""),"")</f>
        <v/>
      </c>
      <c r="AL36" s="73" t="str">
        <f aca="false">IF(AND($D36="Hito",ISNUMBER($K36)),IF(AND($K36&gt;=AL$7,$K36&lt;AL$7+7),"◆",""),"")</f>
        <v/>
      </c>
      <c r="AM36" s="73" t="str">
        <f aca="false">IF(AND($D36="Hito",ISNUMBER($K36)),IF(AND($K36&gt;=AM$7,$K36&lt;AM$7+7),"◆",""),"")</f>
        <v/>
      </c>
      <c r="AN36" s="73" t="str">
        <f aca="false">IF(AND($D36="Hito",ISNUMBER($K36)),IF(AND($K36&gt;=AN$7,$K36&lt;AN$7+7),"◆",""),"")</f>
        <v/>
      </c>
      <c r="AO36" s="73" t="str">
        <f aca="false">IF(AND($D36="Hito",ISNUMBER($K36)),IF(AND($K36&gt;=AO$7,$K36&lt;AO$7+7),"◆",""),"")</f>
        <v/>
      </c>
      <c r="AP36" s="73" t="str">
        <f aca="false">IF(AND($D36="Hito",ISNUMBER($K36)),IF(AND($K36&gt;=AP$7,$K36&lt;AP$7+7),"◆",""),"")</f>
        <v/>
      </c>
      <c r="AQ36" s="73" t="str">
        <f aca="false">IF(AND($D36="Hito",ISNUMBER($K36)),IF(AND($K36&gt;=AQ$7,$K36&lt;AQ$7+7),"◆",""),"")</f>
        <v/>
      </c>
      <c r="AR36" s="73" t="str">
        <f aca="false">IF(AND($D36="Hito",ISNUMBER($K36)),IF(AND($K36&gt;=AR$7,$K36&lt;AR$7+7),"◆",""),"")</f>
        <v/>
      </c>
      <c r="AS36" s="73" t="str">
        <f aca="false">IF(AND($D36="Hito",ISNUMBER($K36)),IF(AND($K36&gt;=AS$7,$K36&lt;AS$7+7),"◆",""),"")</f>
        <v/>
      </c>
      <c r="AT36" s="73" t="str">
        <f aca="false">IF(AND($D36="Hito",ISNUMBER($K36)),IF(AND($K36&gt;=AT$7,$K36&lt;AT$7+7),"◆",""),"")</f>
        <v/>
      </c>
      <c r="AU36" s="73" t="str">
        <f aca="false">IF(AND($D36="Hito",ISNUMBER($K36)),IF(AND($K36&gt;=AU$7,$K36&lt;AU$7+7),"◆",""),"")</f>
        <v/>
      </c>
      <c r="AV36" s="73" t="str">
        <f aca="false">IF(AND($D36="Hito",ISNUMBER($K36)),IF(AND($K36&gt;=AV$7,$K36&lt;AV$7+7),"◆",""),"")</f>
        <v/>
      </c>
      <c r="AW36" s="73" t="str">
        <f aca="false">IF(AND($D36="Hito",ISNUMBER($K36)),IF(AND($K36&gt;=AW$7,$K36&lt;AW$7+7),"◆",""),"")</f>
        <v/>
      </c>
      <c r="AX36" s="73" t="str">
        <f aca="false">IF(AND($D36="Hito",ISNUMBER($K36)),IF(AND($K36&gt;=AX$7,$K36&lt;AX$7+7),"◆",""),"")</f>
        <v/>
      </c>
      <c r="AY36" s="73" t="str">
        <f aca="false">IF(AND($D36="Hito",ISNUMBER($K36)),IF(AND($K36&gt;=AY$7,$K36&lt;AY$7+7),"◆",""),"")</f>
        <v/>
      </c>
      <c r="AZ36" s="73" t="str">
        <f aca="false">IF(AND($D36="Hito",ISNUMBER($K36)),IF(AND($K36&gt;=AZ$7,$K36&lt;AZ$7+7),"◆",""),"")</f>
        <v/>
      </c>
      <c r="BA36" s="73" t="str">
        <f aca="false">IF(AND($D36="Hito",ISNUMBER($K36)),IF(AND($K36&gt;=BA$7,$K36&lt;BA$7+7),"◆",""),"")</f>
        <v/>
      </c>
      <c r="BB36" s="73" t="str">
        <f aca="false">IF(AND($D36="Hito",ISNUMBER($K36)),IF(AND($K36&gt;=BB$7,$K36&lt;BB$7+7),"◆",""),"")</f>
        <v/>
      </c>
      <c r="BC36" s="73" t="str">
        <f aca="false">IF(AND($D36="Hito",ISNUMBER($K36)),IF(AND($K36&gt;=BC$7,$K36&lt;BC$7+7),"◆",""),"")</f>
        <v/>
      </c>
      <c r="BD36" s="73" t="str">
        <f aca="false">IF(AND($D36="Hito",ISNUMBER($K36)),IF(AND($K36&gt;=BD$7,$K36&lt;BD$7+7),"◆",""),"")</f>
        <v/>
      </c>
      <c r="BE36" s="73" t="str">
        <f aca="false">IF(AND($D36="Hito",ISNUMBER($K36)),IF(AND($K36&gt;=BE$7,$K36&lt;BE$7+7),"◆",""),"")</f>
        <v/>
      </c>
      <c r="BF36" s="73" t="str">
        <f aca="false">IF(AND($D36="Hito",ISNUMBER($K36)),IF(AND($K36&gt;=BF$7,$K36&lt;BF$7+7),"◆",""),"")</f>
        <v/>
      </c>
      <c r="BG36" s="73" t="str">
        <f aca="false">IF(AND($D36="Hito",ISNUMBER($K36)),IF(AND($K36&gt;=BG$7,$K36&lt;BG$7+7),"◆",""),"")</f>
        <v/>
      </c>
      <c r="BH36" s="73" t="str">
        <f aca="false">IF(AND($D36="Hito",ISNUMBER($K36)),IF(AND($K36&gt;=BH$7,$K36&lt;BH$7+7),"◆",""),"")</f>
        <v/>
      </c>
      <c r="BI36" s="73" t="str">
        <f aca="false">IF(AND($D36="Hito",ISNUMBER($K36)),IF(AND($K36&gt;=BI$7,$K36&lt;BI$7+7),"◆",""),"")</f>
        <v/>
      </c>
      <c r="BJ36" s="73" t="str">
        <f aca="false">IF(AND($D36="Hito",ISNUMBER($K36)),IF(AND($K36&gt;=BJ$7,$K36&lt;BJ$7+7),"◆",""),"")</f>
        <v/>
      </c>
      <c r="BK36" s="73" t="str">
        <f aca="false">IF(AND($D36="Hito",ISNUMBER($K36)),IF(AND($K36&gt;=BK$7,$K36&lt;BK$7+7),"◆",""),"")</f>
        <v/>
      </c>
      <c r="BL36" s="73" t="str">
        <f aca="false">IF(AND($D36="Hito",ISNUMBER($K36)),IF(AND($K36&gt;=BL$7,$K36&lt;BL$7+7),"◆",""),"")</f>
        <v/>
      </c>
      <c r="BM36" s="73" t="str">
        <f aca="false">IF(AND($D36="Hito",ISNUMBER($K36)),IF(AND($K36&gt;=BM$7,$K36&lt;BM$7+7),"◆",""),"")</f>
        <v/>
      </c>
      <c r="BN36" s="73" t="str">
        <f aca="false">IF(AND($D36="Hito",ISNUMBER($K36)),IF(AND($K36&gt;=BN$7,$K36&lt;BN$7+7),"◆",""),"")</f>
        <v/>
      </c>
      <c r="BO36" s="73" t="str">
        <f aca="false">IF(AND($D36="Hito",ISNUMBER($K36)),IF(AND($K36&gt;=BO$7,$K36&lt;BO$7+7),"◆",""),"")</f>
        <v/>
      </c>
      <c r="BP36" s="73" t="str">
        <f aca="false">IF(AND($D36="Hito",ISNUMBER($K36)),IF(AND($K36&gt;=BP$7,$K36&lt;BP$7+7),"◆",""),"")</f>
        <v/>
      </c>
      <c r="BQ36" s="73" t="str">
        <f aca="false">IF(AND($D36="Hito",ISNUMBER($K36)),IF(AND($K36&gt;=BQ$7,$K36&lt;BQ$7+7),"◆",""),"")</f>
        <v/>
      </c>
      <c r="BR36" s="73" t="str">
        <f aca="false">IF(AND($D36="Hito",ISNUMBER($K36)),IF(AND($K36&gt;=BR$7,$K36&lt;BR$7+7),"◆",""),"")</f>
        <v/>
      </c>
      <c r="BS36" s="73" t="str">
        <f aca="false">IF(AND($D36="Hito",ISNUMBER($K36)),IF(AND($K36&gt;=BS$7,$K36&lt;BS$7+7),"◆",""),"")</f>
        <v/>
      </c>
      <c r="BT36" s="73" t="str">
        <f aca="false">IF(AND($D36="Hito",ISNUMBER($K36)),IF(AND($K36&gt;=BT$7,$K36&lt;BT$7+7),"◆",""),"")</f>
        <v/>
      </c>
      <c r="BU36" s="73" t="str">
        <f aca="false">IF(AND($D36="Hito",ISNUMBER($K36)),IF(AND($K36&gt;=BU$7,$K36&lt;BU$7+7),"◆",""),"")</f>
        <v/>
      </c>
      <c r="BV36" s="73" t="str">
        <f aca="false">IF(AND($D36="Hito",ISNUMBER($K36)),IF(AND($K36&gt;=BV$7,$K36&lt;BV$7+7),"◆",""),"")</f>
        <v/>
      </c>
      <c r="BW36" s="73" t="str">
        <f aca="false">IF(AND($D36="Hito",ISNUMBER($K36)),IF(AND($K36&gt;=BW$7,$K36&lt;BW$7+7),"◆",""),"")</f>
        <v/>
      </c>
      <c r="BX36" s="73" t="str">
        <f aca="false">IF(AND($D36="Hito",ISNUMBER($K36)),IF(AND($K36&gt;=BX$7,$K36&lt;BX$7+7),"◆",""),"")</f>
        <v/>
      </c>
    </row>
    <row r="37" customFormat="false" ht="16.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</row>
    <row r="38" customFormat="false" ht="16.5" hidden="false" customHeight="true" outlineLevel="0" collapsed="false">
      <c r="A38" s="6"/>
      <c r="B38" s="74" t="s">
        <v>196</v>
      </c>
      <c r="C38" s="74"/>
      <c r="D38" s="74"/>
      <c r="E38" s="74"/>
      <c r="F38" s="74"/>
      <c r="G38" s="74"/>
      <c r="H38" s="74"/>
      <c r="I38" s="7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customFormat="false" ht="16.5" hidden="false" customHeight="true" outlineLevel="0" collapsed="false">
      <c r="A39" s="6"/>
      <c r="B39" s="75" t="s">
        <v>197</v>
      </c>
      <c r="C39" s="75"/>
      <c r="D39" s="75"/>
      <c r="E39" s="75"/>
      <c r="F39" s="75"/>
      <c r="G39" s="75"/>
      <c r="H39" s="75"/>
      <c r="I39" s="7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customFormat="false" ht="16.5" hidden="false" customHeight="true" outlineLevel="0" collapsed="false">
      <c r="A40" s="6"/>
      <c r="B40" s="75" t="s">
        <v>198</v>
      </c>
      <c r="C40" s="75"/>
      <c r="D40" s="75"/>
      <c r="E40" s="75"/>
      <c r="F40" s="75"/>
      <c r="G40" s="75"/>
      <c r="H40" s="75"/>
      <c r="I40" s="7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customFormat="false" ht="16.5" hidden="false" customHeight="true" outlineLevel="0" collapsed="false">
      <c r="A41" s="6"/>
      <c r="B41" s="75" t="s">
        <v>199</v>
      </c>
      <c r="C41" s="75"/>
      <c r="D41" s="75"/>
      <c r="E41" s="75"/>
      <c r="F41" s="75"/>
      <c r="G41" s="75"/>
      <c r="H41" s="75"/>
      <c r="I41" s="7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customFormat="false" ht="16.5" hidden="false" customHeight="true" outlineLevel="0" collapsed="false">
      <c r="A42" s="6"/>
      <c r="B42" s="75" t="s">
        <v>200</v>
      </c>
      <c r="C42" s="75"/>
      <c r="D42" s="75"/>
      <c r="E42" s="75"/>
      <c r="F42" s="75"/>
      <c r="G42" s="75"/>
      <c r="H42" s="75"/>
      <c r="I42" s="7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customFormat="false" ht="16.5" hidden="false" customHeight="true" outlineLevel="0" collapsed="false">
      <c r="A43" s="6"/>
      <c r="B43" s="75" t="s">
        <v>201</v>
      </c>
      <c r="C43" s="75"/>
      <c r="D43" s="75"/>
      <c r="E43" s="75"/>
      <c r="F43" s="75"/>
      <c r="G43" s="75"/>
      <c r="H43" s="75"/>
      <c r="I43" s="7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customFormat="false" ht="12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</row>
  </sheetData>
  <mergeCells count="30">
    <mergeCell ref="D1:F1"/>
    <mergeCell ref="G1:BX1"/>
    <mergeCell ref="B2:C2"/>
    <mergeCell ref="D2:E2"/>
    <mergeCell ref="G2:H2"/>
    <mergeCell ref="I2:J2"/>
    <mergeCell ref="K2:L2"/>
    <mergeCell ref="M2:N2"/>
    <mergeCell ref="O2:P2"/>
    <mergeCell ref="Q2:Z2"/>
    <mergeCell ref="B3:C3"/>
    <mergeCell ref="D3:E3"/>
    <mergeCell ref="F3:G3"/>
    <mergeCell ref="H3:I3"/>
    <mergeCell ref="J3:L3"/>
    <mergeCell ref="M3:N3"/>
    <mergeCell ref="O3:Q3"/>
    <mergeCell ref="B4:C4"/>
    <mergeCell ref="D4:E4"/>
    <mergeCell ref="F4:G4"/>
    <mergeCell ref="H4:I4"/>
    <mergeCell ref="J4:L4"/>
    <mergeCell ref="M4:N4"/>
    <mergeCell ref="O4:Q4"/>
    <mergeCell ref="B38:I38"/>
    <mergeCell ref="B39:I39"/>
    <mergeCell ref="B40:I40"/>
    <mergeCell ref="B41:I41"/>
    <mergeCell ref="B42:I42"/>
    <mergeCell ref="B43:I43"/>
  </mergeCells>
  <conditionalFormatting sqref="O4">
    <cfRule type="cellIs" priority="2" operator="greaterThan" aboveAverage="0" equalAverage="0" bottom="0" percent="0" rank="0" text="" dxfId="5">
      <formula>0</formula>
    </cfRule>
  </conditionalFormatting>
  <conditionalFormatting sqref="H4">
    <cfRule type="cellIs" priority="3" operator="lessThan" aboveAverage="0" equalAverage="0" bottom="0" percent="0" rank="0" text="" dxfId="5">
      <formula>0</formula>
    </cfRule>
  </conditionalFormatting>
  <conditionalFormatting sqref="Y7:BX7">
    <cfRule type="expression" priority="4" aboveAverage="0" equalAverage="0" bottom="0" percent="0" rank="0" text="" dxfId="6">
      <formula>AND(TODAY()&gt;=Y$7,TODAY()&lt;Y$7+7)</formula>
    </cfRule>
  </conditionalFormatting>
  <conditionalFormatting sqref="Y8:BX36">
    <cfRule type="expression" priority="5" aboveAverage="0" equalAverage="0" bottom="0" percent="0" rank="0" text="" dxfId="7">
      <formula>AND($D8="Fase",MOD($R8-1,9)=0,ISNUMBER($J8),ISNUMBER($K8),$J8&lt;=Y$7+6,$K8&gt;=Y$7)</formula>
    </cfRule>
    <cfRule type="expression" priority="6" aboveAverage="0" equalAverage="0" bottom="0" percent="0" rank="0" text="" dxfId="8">
      <formula>AND($D8="Fase",MOD($R8-1,9)=0)</formula>
    </cfRule>
    <cfRule type="expression" priority="7" aboveAverage="0" equalAverage="0" bottom="0" percent="0" rank="0" text="" dxfId="9">
      <formula>AND($D8="Fase",MOD($R8-1,9)=1,ISNUMBER($J8),ISNUMBER($K8),$J8&lt;=Y$7+6,$K8&gt;=Y$7)</formula>
    </cfRule>
    <cfRule type="expression" priority="8" aboveAverage="0" equalAverage="0" bottom="0" percent="0" rank="0" text="" dxfId="10">
      <formula>AND($D8="Fase",MOD($R8-1,9)=1)</formula>
    </cfRule>
    <cfRule type="expression" priority="9" aboveAverage="0" equalAverage="0" bottom="0" percent="0" rank="0" text="" dxfId="11">
      <formula>AND($D8="Fase",MOD($R8-1,9)=2,ISNUMBER($J8),ISNUMBER($K8),$J8&lt;=Y$7+6,$K8&gt;=Y$7)</formula>
    </cfRule>
    <cfRule type="expression" priority="10" aboveAverage="0" equalAverage="0" bottom="0" percent="0" rank="0" text="" dxfId="12">
      <formula>AND($D8="Fase",MOD($R8-1,9)=2)</formula>
    </cfRule>
    <cfRule type="expression" priority="11" aboveAverage="0" equalAverage="0" bottom="0" percent="0" rank="0" text="" dxfId="13">
      <formula>AND($D8="Fase",MOD($R8-1,9)=3,ISNUMBER($J8),ISNUMBER($K8),$J8&lt;=Y$7+6,$K8&gt;=Y$7)</formula>
    </cfRule>
    <cfRule type="expression" priority="12" aboveAverage="0" equalAverage="0" bottom="0" percent="0" rank="0" text="" dxfId="14">
      <formula>AND($D8="Fase",MOD($R8-1,9)=3)</formula>
    </cfRule>
    <cfRule type="expression" priority="13" aboveAverage="0" equalAverage="0" bottom="0" percent="0" rank="0" text="" dxfId="15">
      <formula>AND($D8="Fase",MOD($R8-1,9)=4,ISNUMBER($J8),ISNUMBER($K8),$J8&lt;=Y$7+6,$K8&gt;=Y$7)</formula>
    </cfRule>
    <cfRule type="expression" priority="14" aboveAverage="0" equalAverage="0" bottom="0" percent="0" rank="0" text="" dxfId="16">
      <formula>AND($D8="Fase",MOD($R8-1,9)=4)</formula>
    </cfRule>
    <cfRule type="expression" priority="15" aboveAverage="0" equalAverage="0" bottom="0" percent="0" rank="0" text="" dxfId="17">
      <formula>AND($D8="Fase",MOD($R8-1,9)=5,ISNUMBER($J8),ISNUMBER($K8),$J8&lt;=Y$7+6,$K8&gt;=Y$7)</formula>
    </cfRule>
    <cfRule type="expression" priority="16" aboveAverage="0" equalAverage="0" bottom="0" percent="0" rank="0" text="" dxfId="18">
      <formula>AND($D8="Fase",MOD($R8-1,9)=5)</formula>
    </cfRule>
    <cfRule type="expression" priority="17" aboveAverage="0" equalAverage="0" bottom="0" percent="0" rank="0" text="" dxfId="19">
      <formula>AND($D8="Fase",MOD($R8-1,9)=6,ISNUMBER($J8),ISNUMBER($K8),$J8&lt;=Y$7+6,$K8&gt;=Y$7)</formula>
    </cfRule>
    <cfRule type="expression" priority="18" aboveAverage="0" equalAverage="0" bottom="0" percent="0" rank="0" text="" dxfId="20">
      <formula>AND($D8="Fase",MOD($R8-1,9)=6)</formula>
    </cfRule>
    <cfRule type="expression" priority="19" aboveAverage="0" equalAverage="0" bottom="0" percent="0" rank="0" text="" dxfId="21">
      <formula>AND($D8="Fase",MOD($R8-1,9)=7,ISNUMBER($J8),ISNUMBER($K8),$J8&lt;=Y$7+6,$K8&gt;=Y$7)</formula>
    </cfRule>
    <cfRule type="expression" priority="20" aboveAverage="0" equalAverage="0" bottom="0" percent="0" rank="0" text="" dxfId="22">
      <formula>AND($D8="Fase",MOD($R8-1,9)=7)</formula>
    </cfRule>
    <cfRule type="expression" priority="21" aboveAverage="0" equalAverage="0" bottom="0" percent="0" rank="0" text="" dxfId="23">
      <formula>AND($D8="Fase",MOD($R8-1,9)=8,ISNUMBER($J8),ISNUMBER($K8),$J8&lt;=Y$7+6,$K8&gt;=Y$7)</formula>
    </cfRule>
    <cfRule type="expression" priority="22" aboveAverage="0" equalAverage="0" bottom="0" percent="0" rank="0" text="" dxfId="24">
      <formula>AND($D8="Fase",MOD($R8-1,9)=8)</formula>
    </cfRule>
    <cfRule type="expression" priority="23" aboveAverage="0" equalAverage="0" bottom="0" percent="0" rank="0" text="" dxfId="7">
      <formula>AND($D8&lt;&gt;"Hito",MOD($R8-1,9)=0,ISNUMBER($J8),ISNUMBER($K8),$J8&lt;=Y$7+6,$K8&gt;=Y$7,Y$7&lt;=$J8+($K8-$J8+1)*N($O8)-1)</formula>
    </cfRule>
    <cfRule type="expression" priority="24" aboveAverage="0" equalAverage="0" bottom="0" percent="0" rank="0" text="" dxfId="9">
      <formula>AND($D8&lt;&gt;"Hito",MOD($R8-1,9)=1,ISNUMBER($J8),ISNUMBER($K8),$J8&lt;=Y$7+6,$K8&gt;=Y$7,Y$7&lt;=$J8+($K8-$J8+1)*N($O8)-1)</formula>
    </cfRule>
    <cfRule type="expression" priority="25" aboveAverage="0" equalAverage="0" bottom="0" percent="0" rank="0" text="" dxfId="11">
      <formula>AND($D8&lt;&gt;"Hito",MOD($R8-1,9)=2,ISNUMBER($J8),ISNUMBER($K8),$J8&lt;=Y$7+6,$K8&gt;=Y$7,Y$7&lt;=$J8+($K8-$J8+1)*N($O8)-1)</formula>
    </cfRule>
    <cfRule type="expression" priority="26" aboveAverage="0" equalAverage="0" bottom="0" percent="0" rank="0" text="" dxfId="13">
      <formula>AND($D8&lt;&gt;"Hito",MOD($R8-1,9)=3,ISNUMBER($J8),ISNUMBER($K8),$J8&lt;=Y$7+6,$K8&gt;=Y$7,Y$7&lt;=$J8+($K8-$J8+1)*N($O8)-1)</formula>
    </cfRule>
    <cfRule type="expression" priority="27" aboveAverage="0" equalAverage="0" bottom="0" percent="0" rank="0" text="" dxfId="15">
      <formula>AND($D8&lt;&gt;"Hito",MOD($R8-1,9)=4,ISNUMBER($J8),ISNUMBER($K8),$J8&lt;=Y$7+6,$K8&gt;=Y$7,Y$7&lt;=$J8+($K8-$J8+1)*N($O8)-1)</formula>
    </cfRule>
    <cfRule type="expression" priority="28" aboveAverage="0" equalAverage="0" bottom="0" percent="0" rank="0" text="" dxfId="17">
      <formula>AND($D8&lt;&gt;"Hito",MOD($R8-1,9)=5,ISNUMBER($J8),ISNUMBER($K8),$J8&lt;=Y$7+6,$K8&gt;=Y$7,Y$7&lt;=$J8+($K8-$J8+1)*N($O8)-1)</formula>
    </cfRule>
    <cfRule type="expression" priority="29" aboveAverage="0" equalAverage="0" bottom="0" percent="0" rank="0" text="" dxfId="19">
      <formula>AND($D8&lt;&gt;"Hito",MOD($R8-1,9)=6,ISNUMBER($J8),ISNUMBER($K8),$J8&lt;=Y$7+6,$K8&gt;=Y$7,Y$7&lt;=$J8+($K8-$J8+1)*N($O8)-1)</formula>
    </cfRule>
    <cfRule type="expression" priority="30" aboveAverage="0" equalAverage="0" bottom="0" percent="0" rank="0" text="" dxfId="21">
      <formula>AND($D8&lt;&gt;"Hito",MOD($R8-1,9)=7,ISNUMBER($J8),ISNUMBER($K8),$J8&lt;=Y$7+6,$K8&gt;=Y$7,Y$7&lt;=$J8+($K8-$J8+1)*N($O8)-1)</formula>
    </cfRule>
    <cfRule type="expression" priority="31" aboveAverage="0" equalAverage="0" bottom="0" percent="0" rank="0" text="" dxfId="23">
      <formula>AND($D8&lt;&gt;"Hito",MOD($R8-1,9)=8,ISNUMBER($J8),ISNUMBER($K8),$J8&lt;=Y$7+6,$K8&gt;=Y$7,Y$7&lt;=$J8+($K8-$J8+1)*N($O8)-1)</formula>
    </cfRule>
    <cfRule type="expression" priority="32" aboveAverage="0" equalAverage="0" bottom="0" percent="0" rank="0" text="" dxfId="25">
      <formula>AND($D8&lt;&gt;"Hito",ISNUMBER($J8),ISNUMBER($K8),$J8&lt;=Y$7+6,$K8&gt;=Y$7,$P8="Atrasada")</formula>
    </cfRule>
    <cfRule type="expression" priority="33" aboveAverage="0" equalAverage="0" bottom="0" percent="0" rank="0" text="" dxfId="8">
      <formula>AND($D8&lt;&gt;"Hito",MOD($R8-1,9)=0,ISNUMBER($J8),ISNUMBER($K8),$J8&lt;=Y$7+6,$K8&gt;=Y$7)</formula>
    </cfRule>
    <cfRule type="expression" priority="34" aboveAverage="0" equalAverage="0" bottom="0" percent="0" rank="0" text="" dxfId="10">
      <formula>AND($D8&lt;&gt;"Hito",MOD($R8-1,9)=1,ISNUMBER($J8),ISNUMBER($K8),$J8&lt;=Y$7+6,$K8&gt;=Y$7)</formula>
    </cfRule>
    <cfRule type="expression" priority="35" aboveAverage="0" equalAverage="0" bottom="0" percent="0" rank="0" text="" dxfId="12">
      <formula>AND($D8&lt;&gt;"Hito",MOD($R8-1,9)=2,ISNUMBER($J8),ISNUMBER($K8),$J8&lt;=Y$7+6,$K8&gt;=Y$7)</formula>
    </cfRule>
    <cfRule type="expression" priority="36" aboveAverage="0" equalAverage="0" bottom="0" percent="0" rank="0" text="" dxfId="14">
      <formula>AND($D8&lt;&gt;"Hito",MOD($R8-1,9)=3,ISNUMBER($J8),ISNUMBER($K8),$J8&lt;=Y$7+6,$K8&gt;=Y$7)</formula>
    </cfRule>
    <cfRule type="expression" priority="37" aboveAverage="0" equalAverage="0" bottom="0" percent="0" rank="0" text="" dxfId="16">
      <formula>AND($D8&lt;&gt;"Hito",MOD($R8-1,9)=4,ISNUMBER($J8),ISNUMBER($K8),$J8&lt;=Y$7+6,$K8&gt;=Y$7)</formula>
    </cfRule>
    <cfRule type="expression" priority="38" aboveAverage="0" equalAverage="0" bottom="0" percent="0" rank="0" text="" dxfId="18">
      <formula>AND($D8&lt;&gt;"Hito",MOD($R8-1,9)=5,ISNUMBER($J8),ISNUMBER($K8),$J8&lt;=Y$7+6,$K8&gt;=Y$7)</formula>
    </cfRule>
    <cfRule type="expression" priority="39" aboveAverage="0" equalAverage="0" bottom="0" percent="0" rank="0" text="" dxfId="20">
      <formula>AND($D8&lt;&gt;"Hito",MOD($R8-1,9)=6,ISNUMBER($J8),ISNUMBER($K8),$J8&lt;=Y$7+6,$K8&gt;=Y$7)</formula>
    </cfRule>
    <cfRule type="expression" priority="40" aboveAverage="0" equalAverage="0" bottom="0" percent="0" rank="0" text="" dxfId="22">
      <formula>AND($D8&lt;&gt;"Hito",MOD($R8-1,9)=7,ISNUMBER($J8),ISNUMBER($K8),$J8&lt;=Y$7+6,$K8&gt;=Y$7)</formula>
    </cfRule>
    <cfRule type="expression" priority="41" aboveAverage="0" equalAverage="0" bottom="0" percent="0" rank="0" text="" dxfId="24">
      <formula>AND($D8&lt;&gt;"Hito",MOD($R8-1,9)=8,ISNUMBER($J8),ISNUMBER($K8),$J8&lt;=Y$7+6,$K8&gt;=Y$7)</formula>
    </cfRule>
    <cfRule type="expression" priority="42" aboveAverage="0" equalAverage="0" bottom="0" percent="0" rank="0" text="" dxfId="26">
      <formula>AND(TODAY()&gt;=Y$7,TODAY()&lt;Y$7+7)</formula>
    </cfRule>
  </conditionalFormatting>
  <conditionalFormatting sqref="P8:P36">
    <cfRule type="expression" priority="43" aboveAverage="0" equalAverage="0" bottom="0" percent="0" rank="0" text="" dxfId="27">
      <formula>AND(NOT($D8="Fase"),$P8="Atrasada")</formula>
    </cfRule>
    <cfRule type="expression" priority="44" aboveAverage="0" equalAverage="0" bottom="0" percent="0" rank="0" text="" dxfId="27">
      <formula>AND(NOT($D8="Fase"),$P8="Vencido")</formula>
    </cfRule>
    <cfRule type="expression" priority="45" aboveAverage="0" equalAverage="0" bottom="0" percent="0" rank="0" text="" dxfId="27">
      <formula>AND(NOT($D8="Fase"),$P8="Con atraso")</formula>
    </cfRule>
    <cfRule type="expression" priority="46" aboveAverage="0" equalAverage="0" bottom="0" percent="0" rank="0" text="" dxfId="1">
      <formula>AND(NOT($D8="Fase"),$P8="Debe iniciar")</formula>
    </cfRule>
    <cfRule type="expression" priority="47" aboveAverage="0" equalAverage="0" bottom="0" percent="0" rank="0" text="" dxfId="28">
      <formula>AND(NOT($D8="Fase"),$P8="En curso")</formula>
    </cfRule>
    <cfRule type="expression" priority="48" aboveAverage="0" equalAverage="0" bottom="0" percent="0" rank="0" text="" dxfId="2">
      <formula>AND(NOT($D8="Fase"),$P8="Terminada")</formula>
    </cfRule>
    <cfRule type="expression" priority="49" aboveAverage="0" equalAverage="0" bottom="0" percent="0" rank="0" text="" dxfId="2">
      <formula>AND(NOT($D8="Fase"),$P8="Cumplido")</formula>
    </cfRule>
    <cfRule type="expression" priority="50" aboveAverage="0" equalAverage="0" bottom="0" percent="0" rank="0" text="" dxfId="29">
      <formula>AND(NOT($D8="Fase"),$P8="Pendiente")</formula>
    </cfRule>
    <cfRule type="expression" priority="51" aboveAverage="0" equalAverage="0" bottom="0" percent="0" rank="0" text="" dxfId="29">
      <formula>AND(NOT($D8="Fase"),$P8="Por iniciar")</formula>
    </cfRule>
  </conditionalFormatting>
  <conditionalFormatting sqref="A8:Q36">
    <cfRule type="expression" priority="52" aboveAverage="0" equalAverage="0" bottom="0" percent="0" rank="0" text="" dxfId="30">
      <formula>AND($D8="Fase",MOD($R8-1,9)=0)</formula>
    </cfRule>
    <cfRule type="expression" priority="53" aboveAverage="0" equalAverage="0" bottom="0" percent="0" rank="0" text="" dxfId="31">
      <formula>AND($D8="Fase",MOD($R8-1,9)=1)</formula>
    </cfRule>
    <cfRule type="expression" priority="54" aboveAverage="0" equalAverage="0" bottom="0" percent="0" rank="0" text="" dxfId="32">
      <formula>AND($D8="Fase",MOD($R8-1,9)=2)</formula>
    </cfRule>
    <cfRule type="expression" priority="55" aboveAverage="0" equalAverage="0" bottom="0" percent="0" rank="0" text="" dxfId="33">
      <formula>AND($D8="Fase",MOD($R8-1,9)=3)</formula>
    </cfRule>
    <cfRule type="expression" priority="56" aboveAverage="0" equalAverage="0" bottom="0" percent="0" rank="0" text="" dxfId="34">
      <formula>AND($D8="Fase",MOD($R8-1,9)=4)</formula>
    </cfRule>
    <cfRule type="expression" priority="57" aboveAverage="0" equalAverage="0" bottom="0" percent="0" rank="0" text="" dxfId="35">
      <formula>AND($D8="Fase",MOD($R8-1,9)=5)</formula>
    </cfRule>
    <cfRule type="expression" priority="58" aboveAverage="0" equalAverage="0" bottom="0" percent="0" rank="0" text="" dxfId="36">
      <formula>AND($D8="Fase",MOD($R8-1,9)=6)</formula>
    </cfRule>
    <cfRule type="expression" priority="59" aboveAverage="0" equalAverage="0" bottom="0" percent="0" rank="0" text="" dxfId="37">
      <formula>AND($D8="Fase",MOD($R8-1,9)=7)</formula>
    </cfRule>
    <cfRule type="expression" priority="60" aboveAverage="0" equalAverage="0" bottom="0" percent="0" rank="0" text="" dxfId="38">
      <formula>AND($D8="Fase",MOD($R8-1,9)=8)</formula>
    </cfRule>
  </conditionalFormatting>
  <conditionalFormatting sqref="A8:A36">
    <cfRule type="expression" priority="61" aboveAverage="0" equalAverage="0" bottom="0" percent="0" rank="0" text="" dxfId="7">
      <formula>AND(NOT($D8="Fase"),MOD($R8-1,9)=0)</formula>
    </cfRule>
    <cfRule type="expression" priority="62" aboveAverage="0" equalAverage="0" bottom="0" percent="0" rank="0" text="" dxfId="9">
      <formula>AND(NOT($D8="Fase"),MOD($R8-1,9)=1)</formula>
    </cfRule>
    <cfRule type="expression" priority="63" aboveAverage="0" equalAverage="0" bottom="0" percent="0" rank="0" text="" dxfId="11">
      <formula>AND(NOT($D8="Fase"),MOD($R8-1,9)=2)</formula>
    </cfRule>
    <cfRule type="expression" priority="64" aboveAverage="0" equalAverage="0" bottom="0" percent="0" rank="0" text="" dxfId="13">
      <formula>AND(NOT($D8="Fase"),MOD($R8-1,9)=3)</formula>
    </cfRule>
    <cfRule type="expression" priority="65" aboveAverage="0" equalAverage="0" bottom="0" percent="0" rank="0" text="" dxfId="15">
      <formula>AND(NOT($D8="Fase"),MOD($R8-1,9)=4)</formula>
    </cfRule>
    <cfRule type="expression" priority="66" aboveAverage="0" equalAverage="0" bottom="0" percent="0" rank="0" text="" dxfId="17">
      <formula>AND(NOT($D8="Fase"),MOD($R8-1,9)=5)</formula>
    </cfRule>
    <cfRule type="expression" priority="67" aboveAverage="0" equalAverage="0" bottom="0" percent="0" rank="0" text="" dxfId="19">
      <formula>AND(NOT($D8="Fase"),MOD($R8-1,9)=6)</formula>
    </cfRule>
    <cfRule type="expression" priority="68" aboveAverage="0" equalAverage="0" bottom="0" percent="0" rank="0" text="" dxfId="21">
      <formula>AND(NOT($D8="Fase"),MOD($R8-1,9)=7)</formula>
    </cfRule>
    <cfRule type="expression" priority="69" aboveAverage="0" equalAverage="0" bottom="0" percent="0" rank="0" text="" dxfId="23">
      <formula>AND(NOT($D8="Fase"),MOD($R8-1,9)=8)</formula>
    </cfRule>
  </conditionalFormatting>
  <conditionalFormatting sqref="B8:Q36">
    <cfRule type="expression" priority="70" aboveAverage="0" equalAverage="0" bottom="0" percent="0" rank="0" text="" dxfId="39">
      <formula>$D8="Hito"</formula>
    </cfRule>
  </conditionalFormatting>
  <conditionalFormatting sqref="O8:O36">
    <cfRule type="dataBar" priority="71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{A46B5F15-83AA-4125-A132-8ED43012B18A}</x14:id>
        </ext>
      </extLst>
    </cfRule>
  </conditionalFormatting>
  <dataValidations count="2">
    <dataValidation allowBlank="true" error="Seleccione un valor de la lista" errorStyle="stop" operator="between" showDropDown="false" showErrorMessage="true" showInputMessage="false" sqref="D8:D36" type="list">
      <formula1>lst_TipoAct</formula1>
      <formula2>0</formula2>
    </dataValidation>
    <dataValidation allowBlank="true" error="Seleccione un valor de la lista" errorStyle="stop" operator="between" showDropDown="false" showErrorMessage="true" showInputMessage="false" sqref="F8:F36" type="list">
      <formula1>lst_Frentes</formula1>
      <formula2>0</formula2>
    </dataValidation>
  </dataValidations>
  <hyperlinks>
    <hyperlink ref="B2" r:id="rId1" location="'INICIO'!A1" display="INICIO"/>
    <hyperlink ref="D2" r:id="rId2" location="'TABLERO'!A1" display="TABLERO"/>
    <hyperlink ref="F2" r:id="rId3" location="'CRONOGRAMA'!A1" display="● CRONOGRAMA"/>
    <hyperlink ref="G2" r:id="rId4" location="'PRESUPUESTO'!A1" display="PRESUPUESTO"/>
    <hyperlink ref="I2" r:id="rId5" location="'CORTES%20CLIENTE'!A1" display="CORTES CLIENTE"/>
    <hyperlink ref="K2" r:id="rId6" location="'MANO%20DE%20OBRA'!A1" display="MANO DE OBRA"/>
    <hyperlink ref="M2" r:id="rId7" location="'GASTOS'!A1" display="GASTOS"/>
    <hyperlink ref="O2" r:id="rId8" location="'CONTROL%20DE%20MATERIALES'!A1" display="MATERIALES"/>
    <hyperlink ref="Q2" r:id="rId9" location="'GUÍA%20APP'!A1" display="GUÍ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6B5F15-83AA-4125-A132-8ED43012B18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O8:O36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5C7A"/>
    <pageSetUpPr fitToPage="true"/>
  </sheetPr>
  <dimension ref="A1:W207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26.00390625" defaultRowHeight="15" zeroHeight="tru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6" min="15" style="0" width="15"/>
    <col collapsed="false" customWidth="true" hidden="false" outlineLevel="0" max="18" min="17" style="0" width="13"/>
    <col collapsed="false" customWidth="true" hidden="false" outlineLevel="0" max="19" min="19" style="0" width="16"/>
    <col collapsed="false" customWidth="true" hidden="false" outlineLevel="0" max="20" min="20" style="0" width="15"/>
    <col collapsed="false" customWidth="true" hidden="false" outlineLevel="0" max="21" min="21" style="0" width="9"/>
    <col collapsed="false" customWidth="false" hidden="true" outlineLevel="1" max="16384" min="22" style="0" width="26"/>
  </cols>
  <sheetData>
    <row r="1" customFormat="false" ht="54" hidden="false" customHeight="true" outlineLevel="0" collapsed="false">
      <c r="A1" s="1"/>
      <c r="B1" s="1"/>
      <c r="C1" s="1"/>
      <c r="D1" s="2" t="s">
        <v>202</v>
      </c>
      <c r="E1" s="2"/>
      <c r="F1" s="2"/>
      <c r="G1" s="2"/>
      <c r="H1" s="3" t="s">
        <v>203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24" hidden="false" customHeight="true" outlineLevel="0" collapsed="false">
      <c r="A2" s="5" t="s">
        <v>88</v>
      </c>
      <c r="B2" s="5"/>
      <c r="C2" s="5" t="s">
        <v>3</v>
      </c>
      <c r="D2" s="5" t="s">
        <v>4</v>
      </c>
      <c r="E2" s="5"/>
      <c r="F2" s="4" t="s">
        <v>204</v>
      </c>
      <c r="G2" s="5" t="s">
        <v>6</v>
      </c>
      <c r="H2" s="5" t="s">
        <v>7</v>
      </c>
      <c r="I2" s="5" t="s">
        <v>8</v>
      </c>
      <c r="J2" s="5" t="s">
        <v>9</v>
      </c>
      <c r="K2" s="5"/>
      <c r="L2" s="5" t="s">
        <v>10</v>
      </c>
      <c r="M2" s="29"/>
      <c r="N2" s="29"/>
      <c r="O2" s="29"/>
      <c r="P2" s="29"/>
      <c r="Q2" s="29"/>
      <c r="R2" s="29"/>
      <c r="S2" s="29"/>
      <c r="T2" s="29"/>
      <c r="U2" s="29"/>
    </row>
    <row r="3" customFormat="false" ht="16.5" hidden="false" customHeight="true" outlineLevel="0" collapsed="false">
      <c r="A3" s="30" t="str">
        <f aca="false">n_Proyecto&amp;"  ·  "&amp;n_Cotizacion</f>
        <v>  ·  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6.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customFormat="false" ht="16.5" hidden="false" customHeight="true" outlineLevel="0" collapsed="false">
      <c r="A5" s="6"/>
      <c r="B5" s="6"/>
      <c r="C5" s="76" t="s">
        <v>205</v>
      </c>
      <c r="D5" s="6"/>
      <c r="E5" s="6"/>
      <c r="F5" s="6"/>
      <c r="G5" s="13" t="n">
        <f aca="false">SUM(G7:G206)</f>
        <v>0</v>
      </c>
      <c r="H5" s="6"/>
      <c r="I5" s="6"/>
      <c r="J5" s="6"/>
      <c r="K5" s="6"/>
      <c r="L5" s="6"/>
      <c r="M5" s="6"/>
      <c r="N5" s="6"/>
      <c r="O5" s="13" t="n">
        <f aca="false">SUM(O7:O206)</f>
        <v>0</v>
      </c>
      <c r="P5" s="13" t="n">
        <f aca="false">SUM(P7:P206)</f>
        <v>0</v>
      </c>
      <c r="Q5" s="13" t="n">
        <f aca="false">SUM(Q7:Q206)</f>
        <v>0</v>
      </c>
      <c r="R5" s="13" t="n">
        <f aca="false">SUM(R7:R206)</f>
        <v>0</v>
      </c>
      <c r="S5" s="13" t="n">
        <f aca="false">SUM(S7:S206)</f>
        <v>0</v>
      </c>
      <c r="T5" s="13" t="n">
        <f aca="false">SUM(T7:T206)</f>
        <v>0</v>
      </c>
      <c r="U5" s="41" t="str">
        <f aca="false">IF(G5=0,"",T5/G5)</f>
        <v/>
      </c>
    </row>
    <row r="6" customFormat="false" ht="36" hidden="false" customHeight="true" outlineLevel="0" collapsed="false">
      <c r="A6" s="35" t="s">
        <v>137</v>
      </c>
      <c r="B6" s="35" t="s">
        <v>206</v>
      </c>
      <c r="C6" s="35" t="s">
        <v>207</v>
      </c>
      <c r="D6" s="35" t="s">
        <v>208</v>
      </c>
      <c r="E6" s="35" t="s">
        <v>209</v>
      </c>
      <c r="F6" s="35" t="s">
        <v>210</v>
      </c>
      <c r="G6" s="35" t="s">
        <v>211</v>
      </c>
      <c r="H6" s="77" t="s">
        <v>212</v>
      </c>
      <c r="I6" s="77" t="s">
        <v>213</v>
      </c>
      <c r="J6" s="77" t="s">
        <v>214</v>
      </c>
      <c r="K6" s="77" t="s">
        <v>215</v>
      </c>
      <c r="L6" s="77" t="s">
        <v>216</v>
      </c>
      <c r="M6" s="77" t="s">
        <v>217</v>
      </c>
      <c r="N6" s="77" t="s">
        <v>218</v>
      </c>
      <c r="O6" s="35" t="s">
        <v>219</v>
      </c>
      <c r="P6" s="35" t="s">
        <v>220</v>
      </c>
      <c r="Q6" s="35" t="s">
        <v>221</v>
      </c>
      <c r="R6" s="35" t="s">
        <v>222</v>
      </c>
      <c r="S6" s="35" t="s">
        <v>223</v>
      </c>
      <c r="T6" s="35" t="s">
        <v>224</v>
      </c>
      <c r="U6" s="35" t="s">
        <v>225</v>
      </c>
      <c r="V6" s="78" t="s">
        <v>226</v>
      </c>
    </row>
    <row r="7" customFormat="false" ht="16.5" hidden="false" customHeight="true" outlineLevel="0" collapsed="false">
      <c r="A7" s="15"/>
      <c r="B7" s="15"/>
      <c r="C7" s="79"/>
      <c r="D7" s="15"/>
      <c r="E7" s="80"/>
      <c r="F7" s="16"/>
      <c r="G7" s="10" t="str">
        <f aca="false">IF($A7&lt;&gt;"Ítem","",E7*F7)</f>
        <v/>
      </c>
      <c r="H7" s="16"/>
      <c r="I7" s="10" t="str">
        <f aca="false">IF($A7&lt;&gt;"Ítem","",N(H7)*IF(p_IVAMat="Sí",1+p_IVA,1))</f>
        <v/>
      </c>
      <c r="J7" s="16"/>
      <c r="K7" s="16"/>
      <c r="L7" s="15"/>
      <c r="M7" s="16"/>
      <c r="N7" s="10" t="str">
        <f aca="false">IF($A7&lt;&gt;"Ítem","",I7+N(J7)+N(K7)+N(M7))</f>
        <v/>
      </c>
      <c r="O7" s="10" t="str">
        <f aca="false">IF($A7&lt;&gt;"Ítem","",E7*I7)</f>
        <v/>
      </c>
      <c r="P7" s="10" t="str">
        <f aca="false">IF($A7&lt;&gt;"Ítem","",E7*N(J7))</f>
        <v/>
      </c>
      <c r="Q7" s="10" t="str">
        <f aca="false">IF($A7&lt;&gt;"Ítem","",E7*N(K7))</f>
        <v/>
      </c>
      <c r="R7" s="10" t="str">
        <f aca="false">IF($A7&lt;&gt;"Ítem","",E7*N(M7))</f>
        <v/>
      </c>
      <c r="S7" s="37" t="str">
        <f aca="false">IF($A7&lt;&gt;"Ítem","",E7*N7)</f>
        <v/>
      </c>
      <c r="T7" s="10" t="str">
        <f aca="false">IF($A7&lt;&gt;"Ítem","",G7-S7)</f>
        <v/>
      </c>
      <c r="U7" s="36" t="str">
        <f aca="false">IF(OR($A7&lt;&gt;"Ítem",N(G7)=0),"",T7/G7)</f>
        <v/>
      </c>
      <c r="V7" s="81" t="str">
        <f aca="false">IF(A7="Capítulo",C7,"")</f>
        <v/>
      </c>
      <c r="W7" s="0" t="str">
        <f aca="false">IF(A7="Capítulo",C7,"")</f>
        <v/>
      </c>
    </row>
    <row r="8" customFormat="false" ht="16.5" hidden="false" customHeight="true" outlineLevel="0" collapsed="false">
      <c r="A8" s="15"/>
      <c r="B8" s="15"/>
      <c r="C8" s="79"/>
      <c r="D8" s="15"/>
      <c r="E8" s="80"/>
      <c r="F8" s="16"/>
      <c r="G8" s="10" t="str">
        <f aca="false">IF($A8&lt;&gt;"Ítem","",E8*F8)</f>
        <v/>
      </c>
      <c r="H8" s="16"/>
      <c r="I8" s="10" t="str">
        <f aca="false">IF($A8&lt;&gt;"Ítem","",N(H8)*IF(p_IVAMat="Sí",1+p_IVA,1))</f>
        <v/>
      </c>
      <c r="J8" s="16"/>
      <c r="K8" s="16"/>
      <c r="L8" s="15"/>
      <c r="M8" s="16"/>
      <c r="N8" s="10" t="str">
        <f aca="false">IF($A8&lt;&gt;"Ítem","",I8+N(J8)+N(K8)+N(M8))</f>
        <v/>
      </c>
      <c r="O8" s="10" t="str">
        <f aca="false">IF($A8&lt;&gt;"Ítem","",E8*I8)</f>
        <v/>
      </c>
      <c r="P8" s="10" t="str">
        <f aca="false">IF($A8&lt;&gt;"Ítem","",E8*N(J8))</f>
        <v/>
      </c>
      <c r="Q8" s="10" t="str">
        <f aca="false">IF($A8&lt;&gt;"Ítem","",E8*N(K8))</f>
        <v/>
      </c>
      <c r="R8" s="10" t="str">
        <f aca="false">IF($A8&lt;&gt;"Ítem","",E8*N(M8))</f>
        <v/>
      </c>
      <c r="S8" s="37" t="str">
        <f aca="false">IF($A8&lt;&gt;"Ítem","",E8*N8)</f>
        <v/>
      </c>
      <c r="T8" s="10" t="str">
        <f aca="false">IF($A8&lt;&gt;"Ítem","",G8-S8)</f>
        <v/>
      </c>
      <c r="U8" s="36" t="str">
        <f aca="false">IF(OR($A8&lt;&gt;"Ítem",N(G8)=0),"",T8/G8)</f>
        <v/>
      </c>
      <c r="V8" s="81" t="str">
        <f aca="false">IF(A8="Capítulo",C8,V7)</f>
        <v/>
      </c>
      <c r="W8" s="0" t="str">
        <f aca="false">IF(A8="Capítulo",C8,"")</f>
        <v/>
      </c>
    </row>
    <row r="9" customFormat="false" ht="16.5" hidden="false" customHeight="true" outlineLevel="0" collapsed="false">
      <c r="A9" s="15"/>
      <c r="B9" s="15"/>
      <c r="C9" s="79"/>
      <c r="D9" s="15"/>
      <c r="E9" s="80"/>
      <c r="F9" s="16"/>
      <c r="G9" s="10" t="str">
        <f aca="false">IF($A9&lt;&gt;"Ítem","",E9*F9)</f>
        <v/>
      </c>
      <c r="H9" s="16"/>
      <c r="I9" s="10" t="str">
        <f aca="false">IF($A9&lt;&gt;"Ítem","",N(H9)*IF(p_IVAMat="Sí",1+p_IVA,1))</f>
        <v/>
      </c>
      <c r="J9" s="16"/>
      <c r="K9" s="16"/>
      <c r="L9" s="15"/>
      <c r="M9" s="16"/>
      <c r="N9" s="10" t="str">
        <f aca="false">IF($A9&lt;&gt;"Ítem","",I9+N(J9)+N(K9)+N(M9))</f>
        <v/>
      </c>
      <c r="O9" s="10" t="str">
        <f aca="false">IF($A9&lt;&gt;"Ítem","",E9*I9)</f>
        <v/>
      </c>
      <c r="P9" s="10" t="str">
        <f aca="false">IF($A9&lt;&gt;"Ítem","",E9*N(J9))</f>
        <v/>
      </c>
      <c r="Q9" s="10" t="str">
        <f aca="false">IF($A9&lt;&gt;"Ítem","",E9*N(K9))</f>
        <v/>
      </c>
      <c r="R9" s="10" t="str">
        <f aca="false">IF($A9&lt;&gt;"Ítem","",E9*N(M9))</f>
        <v/>
      </c>
      <c r="S9" s="37" t="str">
        <f aca="false">IF($A9&lt;&gt;"Ítem","",E9*N9)</f>
        <v/>
      </c>
      <c r="T9" s="10" t="str">
        <f aca="false">IF($A9&lt;&gt;"Ítem","",G9-S9)</f>
        <v/>
      </c>
      <c r="U9" s="36" t="str">
        <f aca="false">IF(OR($A9&lt;&gt;"Ítem",N(G9)=0),"",T9/G9)</f>
        <v/>
      </c>
      <c r="V9" s="81" t="str">
        <f aca="false">IF(A9="Capítulo",C9,V8)</f>
        <v/>
      </c>
      <c r="W9" s="0" t="str">
        <f aca="false">IF(A9="Capítulo",C9,"")</f>
        <v/>
      </c>
    </row>
    <row r="10" customFormat="false" ht="16.5" hidden="false" customHeight="true" outlineLevel="0" collapsed="false">
      <c r="A10" s="15"/>
      <c r="B10" s="15"/>
      <c r="C10" s="79"/>
      <c r="D10" s="15"/>
      <c r="E10" s="80"/>
      <c r="F10" s="16"/>
      <c r="G10" s="10" t="str">
        <f aca="false">IF($A10&lt;&gt;"Ítem","",E10*F10)</f>
        <v/>
      </c>
      <c r="H10" s="16"/>
      <c r="I10" s="10" t="str">
        <f aca="false">IF($A10&lt;&gt;"Ítem","",N(H10)*IF(p_IVAMat="Sí",1+p_IVA,1))</f>
        <v/>
      </c>
      <c r="J10" s="16"/>
      <c r="K10" s="16"/>
      <c r="L10" s="15"/>
      <c r="M10" s="16"/>
      <c r="N10" s="10" t="str">
        <f aca="false">IF($A10&lt;&gt;"Ítem","",I10+N(J10)+N(K10)+N(M10))</f>
        <v/>
      </c>
      <c r="O10" s="10" t="str">
        <f aca="false">IF($A10&lt;&gt;"Ítem","",E10*I10)</f>
        <v/>
      </c>
      <c r="P10" s="10" t="str">
        <f aca="false">IF($A10&lt;&gt;"Ítem","",E10*N(J10))</f>
        <v/>
      </c>
      <c r="Q10" s="10" t="str">
        <f aca="false">IF($A10&lt;&gt;"Ítem","",E10*N(K10))</f>
        <v/>
      </c>
      <c r="R10" s="10" t="str">
        <f aca="false">IF($A10&lt;&gt;"Ítem","",E10*N(M10))</f>
        <v/>
      </c>
      <c r="S10" s="37" t="str">
        <f aca="false">IF($A10&lt;&gt;"Ítem","",E10*N10)</f>
        <v/>
      </c>
      <c r="T10" s="10" t="str">
        <f aca="false">IF($A10&lt;&gt;"Ítem","",G10-S10)</f>
        <v/>
      </c>
      <c r="U10" s="36" t="str">
        <f aca="false">IF(OR($A10&lt;&gt;"Ítem",N(G10)=0),"",T10/G10)</f>
        <v/>
      </c>
      <c r="V10" s="81" t="str">
        <f aca="false">IF(A10="Capítulo",C10,V9)</f>
        <v/>
      </c>
      <c r="W10" s="0" t="str">
        <f aca="false">IF(A10="Capítulo",C10,"")</f>
        <v/>
      </c>
    </row>
    <row r="11" customFormat="false" ht="16.5" hidden="false" customHeight="true" outlineLevel="0" collapsed="false">
      <c r="A11" s="15"/>
      <c r="B11" s="15"/>
      <c r="C11" s="79"/>
      <c r="D11" s="15"/>
      <c r="E11" s="80"/>
      <c r="F11" s="16"/>
      <c r="G11" s="10" t="str">
        <f aca="false">IF($A11&lt;&gt;"Ítem","",E11*F11)</f>
        <v/>
      </c>
      <c r="H11" s="16"/>
      <c r="I11" s="10" t="str">
        <f aca="false">IF($A11&lt;&gt;"Ítem","",N(H11)*IF(p_IVAMat="Sí",1+p_IVA,1))</f>
        <v/>
      </c>
      <c r="J11" s="16"/>
      <c r="K11" s="16"/>
      <c r="L11" s="15"/>
      <c r="M11" s="16"/>
      <c r="N11" s="10" t="str">
        <f aca="false">IF($A11&lt;&gt;"Ítem","",I11+N(J11)+N(K11)+N(M11))</f>
        <v/>
      </c>
      <c r="O11" s="10" t="str">
        <f aca="false">IF($A11&lt;&gt;"Ítem","",E11*I11)</f>
        <v/>
      </c>
      <c r="P11" s="10" t="str">
        <f aca="false">IF($A11&lt;&gt;"Ítem","",E11*N(J11))</f>
        <v/>
      </c>
      <c r="Q11" s="10" t="str">
        <f aca="false">IF($A11&lt;&gt;"Ítem","",E11*N(K11))</f>
        <v/>
      </c>
      <c r="R11" s="10" t="str">
        <f aca="false">IF($A11&lt;&gt;"Ítem","",E11*N(M11))</f>
        <v/>
      </c>
      <c r="S11" s="37" t="str">
        <f aca="false">IF($A11&lt;&gt;"Ítem","",E11*N11)</f>
        <v/>
      </c>
      <c r="T11" s="10" t="str">
        <f aca="false">IF($A11&lt;&gt;"Ítem","",G11-S11)</f>
        <v/>
      </c>
      <c r="U11" s="36" t="str">
        <f aca="false">IF(OR($A11&lt;&gt;"Ítem",N(G11)=0),"",T11/G11)</f>
        <v/>
      </c>
      <c r="V11" s="81" t="str">
        <f aca="false">IF(A11="Capítulo",C11,V10)</f>
        <v/>
      </c>
      <c r="W11" s="0" t="str">
        <f aca="false">IF(A11="Capítulo",C11,"")</f>
        <v/>
      </c>
    </row>
    <row r="12" customFormat="false" ht="16.5" hidden="false" customHeight="true" outlineLevel="0" collapsed="false">
      <c r="A12" s="15"/>
      <c r="B12" s="15"/>
      <c r="C12" s="79"/>
      <c r="D12" s="15"/>
      <c r="E12" s="80"/>
      <c r="F12" s="16"/>
      <c r="G12" s="10" t="str">
        <f aca="false">IF($A12&lt;&gt;"Ítem","",E12*F12)</f>
        <v/>
      </c>
      <c r="H12" s="16"/>
      <c r="I12" s="10" t="str">
        <f aca="false">IF($A12&lt;&gt;"Ítem","",N(H12)*IF(p_IVAMat="Sí",1+p_IVA,1))</f>
        <v/>
      </c>
      <c r="J12" s="16"/>
      <c r="K12" s="16"/>
      <c r="L12" s="15"/>
      <c r="M12" s="16"/>
      <c r="N12" s="10" t="str">
        <f aca="false">IF($A12&lt;&gt;"Ítem","",I12+N(J12)+N(K12)+N(M12))</f>
        <v/>
      </c>
      <c r="O12" s="10" t="str">
        <f aca="false">IF($A12&lt;&gt;"Ítem","",E12*I12)</f>
        <v/>
      </c>
      <c r="P12" s="10" t="str">
        <f aca="false">IF($A12&lt;&gt;"Ítem","",E12*N(J12))</f>
        <v/>
      </c>
      <c r="Q12" s="10" t="str">
        <f aca="false">IF($A12&lt;&gt;"Ítem","",E12*N(K12))</f>
        <v/>
      </c>
      <c r="R12" s="10" t="str">
        <f aca="false">IF($A12&lt;&gt;"Ítem","",E12*N(M12))</f>
        <v/>
      </c>
      <c r="S12" s="37" t="str">
        <f aca="false">IF($A12&lt;&gt;"Ítem","",E12*N12)</f>
        <v/>
      </c>
      <c r="T12" s="10" t="str">
        <f aca="false">IF($A12&lt;&gt;"Ítem","",G12-S12)</f>
        <v/>
      </c>
      <c r="U12" s="36" t="str">
        <f aca="false">IF(OR($A12&lt;&gt;"Ítem",N(G12)=0),"",T12/G12)</f>
        <v/>
      </c>
      <c r="V12" s="81" t="str">
        <f aca="false">IF(A12="Capítulo",C12,V11)</f>
        <v/>
      </c>
      <c r="W12" s="0" t="str">
        <f aca="false">IF(A12="Capítulo",C12,"")</f>
        <v/>
      </c>
    </row>
    <row r="13" customFormat="false" ht="16.5" hidden="false" customHeight="true" outlineLevel="0" collapsed="false">
      <c r="A13" s="15"/>
      <c r="B13" s="15"/>
      <c r="C13" s="79"/>
      <c r="D13" s="15"/>
      <c r="E13" s="80"/>
      <c r="F13" s="16"/>
      <c r="G13" s="10" t="str">
        <f aca="false">IF($A13&lt;&gt;"Ítem","",E13*F13)</f>
        <v/>
      </c>
      <c r="H13" s="16"/>
      <c r="I13" s="10" t="str">
        <f aca="false">IF($A13&lt;&gt;"Ítem","",N(H13)*IF(p_IVAMat="Sí",1+p_IVA,1))</f>
        <v/>
      </c>
      <c r="J13" s="16"/>
      <c r="K13" s="16"/>
      <c r="L13" s="15"/>
      <c r="M13" s="16"/>
      <c r="N13" s="10" t="str">
        <f aca="false">IF($A13&lt;&gt;"Ítem","",I13+N(J13)+N(K13)+N(M13))</f>
        <v/>
      </c>
      <c r="O13" s="10" t="str">
        <f aca="false">IF($A13&lt;&gt;"Ítem","",E13*I13)</f>
        <v/>
      </c>
      <c r="P13" s="10" t="str">
        <f aca="false">IF($A13&lt;&gt;"Ítem","",E13*N(J13))</f>
        <v/>
      </c>
      <c r="Q13" s="10" t="str">
        <f aca="false">IF($A13&lt;&gt;"Ítem","",E13*N(K13))</f>
        <v/>
      </c>
      <c r="R13" s="10" t="str">
        <f aca="false">IF($A13&lt;&gt;"Ítem","",E13*N(M13))</f>
        <v/>
      </c>
      <c r="S13" s="37" t="str">
        <f aca="false">IF($A13&lt;&gt;"Ítem","",E13*N13)</f>
        <v/>
      </c>
      <c r="T13" s="10" t="str">
        <f aca="false">IF($A13&lt;&gt;"Ítem","",G13-S13)</f>
        <v/>
      </c>
      <c r="U13" s="36" t="str">
        <f aca="false">IF(OR($A13&lt;&gt;"Ítem",N(G13)=0),"",T13/G13)</f>
        <v/>
      </c>
      <c r="V13" s="81" t="str">
        <f aca="false">IF(A13="Capítulo",C13,V12)</f>
        <v/>
      </c>
      <c r="W13" s="0" t="str">
        <f aca="false">IF(A13="Capítulo",C13,"")</f>
        <v/>
      </c>
    </row>
    <row r="14" customFormat="false" ht="16.5" hidden="false" customHeight="true" outlineLevel="0" collapsed="false">
      <c r="A14" s="15"/>
      <c r="B14" s="15"/>
      <c r="C14" s="79"/>
      <c r="D14" s="15"/>
      <c r="E14" s="80"/>
      <c r="F14" s="16"/>
      <c r="G14" s="10" t="str">
        <f aca="false">IF($A14&lt;&gt;"Ítem","",E14*F14)</f>
        <v/>
      </c>
      <c r="H14" s="16"/>
      <c r="I14" s="10" t="str">
        <f aca="false">IF($A14&lt;&gt;"Ítem","",N(H14)*IF(p_IVAMat="Sí",1+p_IVA,1))</f>
        <v/>
      </c>
      <c r="J14" s="16"/>
      <c r="K14" s="16"/>
      <c r="L14" s="15"/>
      <c r="M14" s="16"/>
      <c r="N14" s="10" t="str">
        <f aca="false">IF($A14&lt;&gt;"Ítem","",I14+N(J14)+N(K14)+N(M14))</f>
        <v/>
      </c>
      <c r="O14" s="10" t="str">
        <f aca="false">IF($A14&lt;&gt;"Ítem","",E14*I14)</f>
        <v/>
      </c>
      <c r="P14" s="10" t="str">
        <f aca="false">IF($A14&lt;&gt;"Ítem","",E14*N(J14))</f>
        <v/>
      </c>
      <c r="Q14" s="10" t="str">
        <f aca="false">IF($A14&lt;&gt;"Ítem","",E14*N(K14))</f>
        <v/>
      </c>
      <c r="R14" s="10" t="str">
        <f aca="false">IF($A14&lt;&gt;"Ítem","",E14*N(M14))</f>
        <v/>
      </c>
      <c r="S14" s="37" t="str">
        <f aca="false">IF($A14&lt;&gt;"Ítem","",E14*N14)</f>
        <v/>
      </c>
      <c r="T14" s="10" t="str">
        <f aca="false">IF($A14&lt;&gt;"Ítem","",G14-S14)</f>
        <v/>
      </c>
      <c r="U14" s="36" t="str">
        <f aca="false">IF(OR($A14&lt;&gt;"Ítem",N(G14)=0),"",T14/G14)</f>
        <v/>
      </c>
      <c r="V14" s="81" t="str">
        <f aca="false">IF(A14="Capítulo",C14,V13)</f>
        <v/>
      </c>
      <c r="W14" s="0" t="str">
        <f aca="false">IF(A14="Capítulo",C14,"")</f>
        <v/>
      </c>
    </row>
    <row r="15" customFormat="false" ht="16.5" hidden="false" customHeight="true" outlineLevel="0" collapsed="false">
      <c r="A15" s="15"/>
      <c r="B15" s="15"/>
      <c r="C15" s="79"/>
      <c r="D15" s="15"/>
      <c r="E15" s="80"/>
      <c r="F15" s="16"/>
      <c r="G15" s="10" t="str">
        <f aca="false">IF($A15&lt;&gt;"Ítem","",E15*F15)</f>
        <v/>
      </c>
      <c r="H15" s="16"/>
      <c r="I15" s="10" t="str">
        <f aca="false">IF($A15&lt;&gt;"Ítem","",N(H15)*IF(p_IVAMat="Sí",1+p_IVA,1))</f>
        <v/>
      </c>
      <c r="J15" s="16"/>
      <c r="K15" s="16"/>
      <c r="L15" s="15"/>
      <c r="M15" s="16"/>
      <c r="N15" s="10" t="str">
        <f aca="false">IF($A15&lt;&gt;"Ítem","",I15+N(J15)+N(K15)+N(M15))</f>
        <v/>
      </c>
      <c r="O15" s="10" t="str">
        <f aca="false">IF($A15&lt;&gt;"Ítem","",E15*I15)</f>
        <v/>
      </c>
      <c r="P15" s="10" t="str">
        <f aca="false">IF($A15&lt;&gt;"Ítem","",E15*N(J15))</f>
        <v/>
      </c>
      <c r="Q15" s="10" t="str">
        <f aca="false">IF($A15&lt;&gt;"Ítem","",E15*N(K15))</f>
        <v/>
      </c>
      <c r="R15" s="10" t="str">
        <f aca="false">IF($A15&lt;&gt;"Ítem","",E15*N(M15))</f>
        <v/>
      </c>
      <c r="S15" s="37" t="str">
        <f aca="false">IF($A15&lt;&gt;"Ítem","",E15*N15)</f>
        <v/>
      </c>
      <c r="T15" s="10" t="str">
        <f aca="false">IF($A15&lt;&gt;"Ítem","",G15-S15)</f>
        <v/>
      </c>
      <c r="U15" s="36" t="str">
        <f aca="false">IF(OR($A15&lt;&gt;"Ítem",N(G15)=0),"",T15/G15)</f>
        <v/>
      </c>
      <c r="V15" s="81" t="str">
        <f aca="false">IF(A15="Capítulo",C15,V14)</f>
        <v/>
      </c>
      <c r="W15" s="0" t="str">
        <f aca="false">IF(A15="Capítulo",C15,"")</f>
        <v/>
      </c>
    </row>
    <row r="16" customFormat="false" ht="16.5" hidden="false" customHeight="true" outlineLevel="0" collapsed="false">
      <c r="A16" s="15"/>
      <c r="B16" s="15"/>
      <c r="C16" s="79"/>
      <c r="D16" s="15"/>
      <c r="E16" s="80"/>
      <c r="F16" s="16"/>
      <c r="G16" s="10" t="str">
        <f aca="false">IF($A16&lt;&gt;"Ítem","",E16*F16)</f>
        <v/>
      </c>
      <c r="H16" s="16"/>
      <c r="I16" s="10" t="str">
        <f aca="false">IF($A16&lt;&gt;"Ítem","",N(H16)*IF(p_IVAMat="Sí",1+p_IVA,1))</f>
        <v/>
      </c>
      <c r="J16" s="16"/>
      <c r="K16" s="16"/>
      <c r="L16" s="15"/>
      <c r="M16" s="16"/>
      <c r="N16" s="10" t="str">
        <f aca="false">IF($A16&lt;&gt;"Ítem","",I16+N(J16)+N(K16)+N(M16))</f>
        <v/>
      </c>
      <c r="O16" s="10" t="str">
        <f aca="false">IF($A16&lt;&gt;"Ítem","",E16*I16)</f>
        <v/>
      </c>
      <c r="P16" s="10" t="str">
        <f aca="false">IF($A16&lt;&gt;"Ítem","",E16*N(J16))</f>
        <v/>
      </c>
      <c r="Q16" s="10" t="str">
        <f aca="false">IF($A16&lt;&gt;"Ítem","",E16*N(K16))</f>
        <v/>
      </c>
      <c r="R16" s="10" t="str">
        <f aca="false">IF($A16&lt;&gt;"Ítem","",E16*N(M16))</f>
        <v/>
      </c>
      <c r="S16" s="37" t="str">
        <f aca="false">IF($A16&lt;&gt;"Ítem","",E16*N16)</f>
        <v/>
      </c>
      <c r="T16" s="10" t="str">
        <f aca="false">IF($A16&lt;&gt;"Ítem","",G16-S16)</f>
        <v/>
      </c>
      <c r="U16" s="36" t="str">
        <f aca="false">IF(OR($A16&lt;&gt;"Ítem",N(G16)=0),"",T16/G16)</f>
        <v/>
      </c>
      <c r="V16" s="81" t="str">
        <f aca="false">IF(A16="Capítulo",C16,V15)</f>
        <v/>
      </c>
      <c r="W16" s="0" t="str">
        <f aca="false">IF(A16="Capítulo",C16,"")</f>
        <v/>
      </c>
    </row>
    <row r="17" customFormat="false" ht="16.5" hidden="false" customHeight="true" outlineLevel="0" collapsed="false">
      <c r="A17" s="15"/>
      <c r="B17" s="15"/>
      <c r="C17" s="79"/>
      <c r="D17" s="15"/>
      <c r="E17" s="80"/>
      <c r="F17" s="16"/>
      <c r="G17" s="10" t="str">
        <f aca="false">IF($A17&lt;&gt;"Ítem","",E17*F17)</f>
        <v/>
      </c>
      <c r="H17" s="16"/>
      <c r="I17" s="10" t="str">
        <f aca="false">IF($A17&lt;&gt;"Ítem","",N(H17)*IF(p_IVAMat="Sí",1+p_IVA,1))</f>
        <v/>
      </c>
      <c r="J17" s="16"/>
      <c r="K17" s="16"/>
      <c r="L17" s="15"/>
      <c r="M17" s="16"/>
      <c r="N17" s="10" t="str">
        <f aca="false">IF($A17&lt;&gt;"Ítem","",I17+N(J17)+N(K17)+N(M17))</f>
        <v/>
      </c>
      <c r="O17" s="10" t="str">
        <f aca="false">IF($A17&lt;&gt;"Ítem","",E17*I17)</f>
        <v/>
      </c>
      <c r="P17" s="10" t="str">
        <f aca="false">IF($A17&lt;&gt;"Ítem","",E17*N(J17))</f>
        <v/>
      </c>
      <c r="Q17" s="10" t="str">
        <f aca="false">IF($A17&lt;&gt;"Ítem","",E17*N(K17))</f>
        <v/>
      </c>
      <c r="R17" s="10" t="str">
        <f aca="false">IF($A17&lt;&gt;"Ítem","",E17*N(M17))</f>
        <v/>
      </c>
      <c r="S17" s="37" t="str">
        <f aca="false">IF($A17&lt;&gt;"Ítem","",E17*N17)</f>
        <v/>
      </c>
      <c r="T17" s="10" t="str">
        <f aca="false">IF($A17&lt;&gt;"Ítem","",G17-S17)</f>
        <v/>
      </c>
      <c r="U17" s="36" t="str">
        <f aca="false">IF(OR($A17&lt;&gt;"Ítem",N(G17)=0),"",T17/G17)</f>
        <v/>
      </c>
      <c r="V17" s="81" t="str">
        <f aca="false">IF(A17="Capítulo",C17,V16)</f>
        <v/>
      </c>
      <c r="W17" s="0" t="str">
        <f aca="false">IF(A17="Capítulo",C17,"")</f>
        <v/>
      </c>
    </row>
    <row r="18" customFormat="false" ht="16.5" hidden="false" customHeight="true" outlineLevel="0" collapsed="false">
      <c r="A18" s="15"/>
      <c r="B18" s="15"/>
      <c r="C18" s="79"/>
      <c r="D18" s="15"/>
      <c r="E18" s="80"/>
      <c r="F18" s="16"/>
      <c r="G18" s="10" t="str">
        <f aca="false">IF($A18&lt;&gt;"Ítem","",E18*F18)</f>
        <v/>
      </c>
      <c r="H18" s="16"/>
      <c r="I18" s="10" t="str">
        <f aca="false">IF($A18&lt;&gt;"Ítem","",N(H18)*IF(p_IVAMat="Sí",1+p_IVA,1))</f>
        <v/>
      </c>
      <c r="J18" s="16"/>
      <c r="K18" s="16"/>
      <c r="L18" s="15"/>
      <c r="M18" s="16"/>
      <c r="N18" s="10" t="str">
        <f aca="false">IF($A18&lt;&gt;"Ítem","",I18+N(J18)+N(K18)+N(M18))</f>
        <v/>
      </c>
      <c r="O18" s="10" t="str">
        <f aca="false">IF($A18&lt;&gt;"Ítem","",E18*I18)</f>
        <v/>
      </c>
      <c r="P18" s="10" t="str">
        <f aca="false">IF($A18&lt;&gt;"Ítem","",E18*N(J18))</f>
        <v/>
      </c>
      <c r="Q18" s="10" t="str">
        <f aca="false">IF($A18&lt;&gt;"Ítem","",E18*N(K18))</f>
        <v/>
      </c>
      <c r="R18" s="10" t="str">
        <f aca="false">IF($A18&lt;&gt;"Ítem","",E18*N(M18))</f>
        <v/>
      </c>
      <c r="S18" s="37" t="str">
        <f aca="false">IF($A18&lt;&gt;"Ítem","",E18*N18)</f>
        <v/>
      </c>
      <c r="T18" s="10" t="str">
        <f aca="false">IF($A18&lt;&gt;"Ítem","",G18-S18)</f>
        <v/>
      </c>
      <c r="U18" s="36" t="str">
        <f aca="false">IF(OR($A18&lt;&gt;"Ítem",N(G18)=0),"",T18/G18)</f>
        <v/>
      </c>
      <c r="V18" s="81" t="str">
        <f aca="false">IF(A18="Capítulo",C18,V17)</f>
        <v/>
      </c>
      <c r="W18" s="0" t="str">
        <f aca="false">IF(A18="Capítulo",C18,"")</f>
        <v/>
      </c>
    </row>
    <row r="19" customFormat="false" ht="16.5" hidden="false" customHeight="true" outlineLevel="0" collapsed="false">
      <c r="A19" s="15"/>
      <c r="B19" s="15"/>
      <c r="C19" s="79"/>
      <c r="D19" s="15"/>
      <c r="E19" s="80"/>
      <c r="F19" s="16"/>
      <c r="G19" s="10" t="str">
        <f aca="false">IF($A19&lt;&gt;"Ítem","",E19*F19)</f>
        <v/>
      </c>
      <c r="H19" s="16"/>
      <c r="I19" s="10" t="str">
        <f aca="false">IF($A19&lt;&gt;"Ítem","",N(H19)*IF(p_IVAMat="Sí",1+p_IVA,1))</f>
        <v/>
      </c>
      <c r="J19" s="16"/>
      <c r="K19" s="16"/>
      <c r="L19" s="15"/>
      <c r="M19" s="16"/>
      <c r="N19" s="10" t="str">
        <f aca="false">IF($A19&lt;&gt;"Ítem","",I19+N(J19)+N(K19)+N(M19))</f>
        <v/>
      </c>
      <c r="O19" s="10" t="str">
        <f aca="false">IF($A19&lt;&gt;"Ítem","",E19*I19)</f>
        <v/>
      </c>
      <c r="P19" s="10" t="str">
        <f aca="false">IF($A19&lt;&gt;"Ítem","",E19*N(J19))</f>
        <v/>
      </c>
      <c r="Q19" s="10" t="str">
        <f aca="false">IF($A19&lt;&gt;"Ítem","",E19*N(K19))</f>
        <v/>
      </c>
      <c r="R19" s="10" t="str">
        <f aca="false">IF($A19&lt;&gt;"Ítem","",E19*N(M19))</f>
        <v/>
      </c>
      <c r="S19" s="37" t="str">
        <f aca="false">IF($A19&lt;&gt;"Ítem","",E19*N19)</f>
        <v/>
      </c>
      <c r="T19" s="10" t="str">
        <f aca="false">IF($A19&lt;&gt;"Ítem","",G19-S19)</f>
        <v/>
      </c>
      <c r="U19" s="36" t="str">
        <f aca="false">IF(OR($A19&lt;&gt;"Ítem",N(G19)=0),"",T19/G19)</f>
        <v/>
      </c>
      <c r="V19" s="81" t="str">
        <f aca="false">IF(A19="Capítulo",C19,V18)</f>
        <v/>
      </c>
      <c r="W19" s="0" t="str">
        <f aca="false">IF(A19="Capítulo",C19,"")</f>
        <v/>
      </c>
    </row>
    <row r="20" customFormat="false" ht="16.5" hidden="false" customHeight="true" outlineLevel="0" collapsed="false">
      <c r="A20" s="15"/>
      <c r="B20" s="15"/>
      <c r="C20" s="79"/>
      <c r="D20" s="15"/>
      <c r="E20" s="80"/>
      <c r="F20" s="16"/>
      <c r="G20" s="10" t="str">
        <f aca="false">IF($A20&lt;&gt;"Ítem","",E20*F20)</f>
        <v/>
      </c>
      <c r="H20" s="16"/>
      <c r="I20" s="10" t="str">
        <f aca="false">IF($A20&lt;&gt;"Ítem","",N(H20)*IF(p_IVAMat="Sí",1+p_IVA,1))</f>
        <v/>
      </c>
      <c r="J20" s="16"/>
      <c r="K20" s="16"/>
      <c r="L20" s="15"/>
      <c r="M20" s="16"/>
      <c r="N20" s="10" t="str">
        <f aca="false">IF($A20&lt;&gt;"Ítem","",I20+N(J20)+N(K20)+N(M20))</f>
        <v/>
      </c>
      <c r="O20" s="10" t="str">
        <f aca="false">IF($A20&lt;&gt;"Ítem","",E20*I20)</f>
        <v/>
      </c>
      <c r="P20" s="10" t="str">
        <f aca="false">IF($A20&lt;&gt;"Ítem","",E20*N(J20))</f>
        <v/>
      </c>
      <c r="Q20" s="10" t="str">
        <f aca="false">IF($A20&lt;&gt;"Ítem","",E20*N(K20))</f>
        <v/>
      </c>
      <c r="R20" s="10" t="str">
        <f aca="false">IF($A20&lt;&gt;"Ítem","",E20*N(M20))</f>
        <v/>
      </c>
      <c r="S20" s="37" t="str">
        <f aca="false">IF($A20&lt;&gt;"Ítem","",E20*N20)</f>
        <v/>
      </c>
      <c r="T20" s="10" t="str">
        <f aca="false">IF($A20&lt;&gt;"Ítem","",G20-S20)</f>
        <v/>
      </c>
      <c r="U20" s="36" t="str">
        <f aca="false">IF(OR($A20&lt;&gt;"Ítem",N(G20)=0),"",T20/G20)</f>
        <v/>
      </c>
      <c r="V20" s="81" t="str">
        <f aca="false">IF(A20="Capítulo",C20,V19)</f>
        <v/>
      </c>
      <c r="W20" s="0" t="str">
        <f aca="false">IF(A20="Capítulo",C20,"")</f>
        <v/>
      </c>
    </row>
    <row r="21" customFormat="false" ht="16.5" hidden="false" customHeight="true" outlineLevel="0" collapsed="false">
      <c r="A21" s="15"/>
      <c r="B21" s="15"/>
      <c r="C21" s="79"/>
      <c r="D21" s="15"/>
      <c r="E21" s="80"/>
      <c r="F21" s="16"/>
      <c r="G21" s="10" t="str">
        <f aca="false">IF($A21&lt;&gt;"Ítem","",E21*F21)</f>
        <v/>
      </c>
      <c r="H21" s="16"/>
      <c r="I21" s="10" t="str">
        <f aca="false">IF($A21&lt;&gt;"Ítem","",N(H21)*IF(p_IVAMat="Sí",1+p_IVA,1))</f>
        <v/>
      </c>
      <c r="J21" s="16"/>
      <c r="K21" s="16"/>
      <c r="L21" s="15"/>
      <c r="M21" s="16"/>
      <c r="N21" s="10" t="str">
        <f aca="false">IF($A21&lt;&gt;"Ítem","",I21+N(J21)+N(K21)+N(M21))</f>
        <v/>
      </c>
      <c r="O21" s="10" t="str">
        <f aca="false">IF($A21&lt;&gt;"Ítem","",E21*I21)</f>
        <v/>
      </c>
      <c r="P21" s="10" t="str">
        <f aca="false">IF($A21&lt;&gt;"Ítem","",E21*N(J21))</f>
        <v/>
      </c>
      <c r="Q21" s="10" t="str">
        <f aca="false">IF($A21&lt;&gt;"Ítem","",E21*N(K21))</f>
        <v/>
      </c>
      <c r="R21" s="10" t="str">
        <f aca="false">IF($A21&lt;&gt;"Ítem","",E21*N(M21))</f>
        <v/>
      </c>
      <c r="S21" s="37" t="str">
        <f aca="false">IF($A21&lt;&gt;"Ítem","",E21*N21)</f>
        <v/>
      </c>
      <c r="T21" s="10" t="str">
        <f aca="false">IF($A21&lt;&gt;"Ítem","",G21-S21)</f>
        <v/>
      </c>
      <c r="U21" s="36" t="str">
        <f aca="false">IF(OR($A21&lt;&gt;"Ítem",N(G21)=0),"",T21/G21)</f>
        <v/>
      </c>
      <c r="V21" s="81" t="str">
        <f aca="false">IF(A21="Capítulo",C21,V20)</f>
        <v/>
      </c>
      <c r="W21" s="0" t="str">
        <f aca="false">IF(A21="Capítulo",C21,"")</f>
        <v/>
      </c>
    </row>
    <row r="22" customFormat="false" ht="16.5" hidden="false" customHeight="true" outlineLevel="0" collapsed="false">
      <c r="A22" s="15"/>
      <c r="B22" s="15"/>
      <c r="C22" s="79"/>
      <c r="D22" s="15"/>
      <c r="E22" s="80"/>
      <c r="F22" s="16"/>
      <c r="G22" s="10" t="str">
        <f aca="false">IF($A22&lt;&gt;"Ítem","",E22*F22)</f>
        <v/>
      </c>
      <c r="H22" s="16"/>
      <c r="I22" s="10" t="str">
        <f aca="false">IF($A22&lt;&gt;"Ítem","",N(H22)*IF(p_IVAMat="Sí",1+p_IVA,1))</f>
        <v/>
      </c>
      <c r="J22" s="16"/>
      <c r="K22" s="16"/>
      <c r="L22" s="15"/>
      <c r="M22" s="16"/>
      <c r="N22" s="10" t="str">
        <f aca="false">IF($A22&lt;&gt;"Ítem","",I22+N(J22)+N(K22)+N(M22))</f>
        <v/>
      </c>
      <c r="O22" s="10" t="str">
        <f aca="false">IF($A22&lt;&gt;"Ítem","",E22*I22)</f>
        <v/>
      </c>
      <c r="P22" s="10" t="str">
        <f aca="false">IF($A22&lt;&gt;"Ítem","",E22*N(J22))</f>
        <v/>
      </c>
      <c r="Q22" s="10" t="str">
        <f aca="false">IF($A22&lt;&gt;"Ítem","",E22*N(K22))</f>
        <v/>
      </c>
      <c r="R22" s="10" t="str">
        <f aca="false">IF($A22&lt;&gt;"Ítem","",E22*N(M22))</f>
        <v/>
      </c>
      <c r="S22" s="37" t="str">
        <f aca="false">IF($A22&lt;&gt;"Ítem","",E22*N22)</f>
        <v/>
      </c>
      <c r="T22" s="10" t="str">
        <f aca="false">IF($A22&lt;&gt;"Ítem","",G22-S22)</f>
        <v/>
      </c>
      <c r="U22" s="36" t="str">
        <f aca="false">IF(OR($A22&lt;&gt;"Ítem",N(G22)=0),"",T22/G22)</f>
        <v/>
      </c>
      <c r="V22" s="81" t="str">
        <f aca="false">IF(A22="Capítulo",C22,V21)</f>
        <v/>
      </c>
      <c r="W22" s="0" t="str">
        <f aca="false">IF(A22="Capítulo",C22,"")</f>
        <v/>
      </c>
    </row>
    <row r="23" customFormat="false" ht="16.5" hidden="false" customHeight="true" outlineLevel="0" collapsed="false">
      <c r="A23" s="15"/>
      <c r="B23" s="15"/>
      <c r="C23" s="79"/>
      <c r="D23" s="15"/>
      <c r="E23" s="80"/>
      <c r="F23" s="16"/>
      <c r="G23" s="10" t="str">
        <f aca="false">IF($A23&lt;&gt;"Ítem","",E23*F23)</f>
        <v/>
      </c>
      <c r="H23" s="16"/>
      <c r="I23" s="10" t="str">
        <f aca="false">IF($A23&lt;&gt;"Ítem","",N(H23)*IF(p_IVAMat="Sí",1+p_IVA,1))</f>
        <v/>
      </c>
      <c r="J23" s="16"/>
      <c r="K23" s="16"/>
      <c r="L23" s="15"/>
      <c r="M23" s="16"/>
      <c r="N23" s="10" t="str">
        <f aca="false">IF($A23&lt;&gt;"Ítem","",I23+N(J23)+N(K23)+N(M23))</f>
        <v/>
      </c>
      <c r="O23" s="10" t="str">
        <f aca="false">IF($A23&lt;&gt;"Ítem","",E23*I23)</f>
        <v/>
      </c>
      <c r="P23" s="10" t="str">
        <f aca="false">IF($A23&lt;&gt;"Ítem","",E23*N(J23))</f>
        <v/>
      </c>
      <c r="Q23" s="10" t="str">
        <f aca="false">IF($A23&lt;&gt;"Ítem","",E23*N(K23))</f>
        <v/>
      </c>
      <c r="R23" s="10" t="str">
        <f aca="false">IF($A23&lt;&gt;"Ítem","",E23*N(M23))</f>
        <v/>
      </c>
      <c r="S23" s="37" t="str">
        <f aca="false">IF($A23&lt;&gt;"Ítem","",E23*N23)</f>
        <v/>
      </c>
      <c r="T23" s="10" t="str">
        <f aca="false">IF($A23&lt;&gt;"Ítem","",G23-S23)</f>
        <v/>
      </c>
      <c r="U23" s="36" t="str">
        <f aca="false">IF(OR($A23&lt;&gt;"Ítem",N(G23)=0),"",T23/G23)</f>
        <v/>
      </c>
      <c r="V23" s="81" t="str">
        <f aca="false">IF(A23="Capítulo",C23,V22)</f>
        <v/>
      </c>
      <c r="W23" s="0" t="str">
        <f aca="false">IF(A23="Capítulo",C23,"")</f>
        <v/>
      </c>
    </row>
    <row r="24" customFormat="false" ht="16.5" hidden="false" customHeight="true" outlineLevel="0" collapsed="false">
      <c r="A24" s="15"/>
      <c r="B24" s="15"/>
      <c r="C24" s="79"/>
      <c r="D24" s="15"/>
      <c r="E24" s="80"/>
      <c r="F24" s="16"/>
      <c r="G24" s="10" t="str">
        <f aca="false">IF($A24&lt;&gt;"Ítem","",E24*F24)</f>
        <v/>
      </c>
      <c r="H24" s="16"/>
      <c r="I24" s="10" t="str">
        <f aca="false">IF($A24&lt;&gt;"Ítem","",N(H24)*IF(p_IVAMat="Sí",1+p_IVA,1))</f>
        <v/>
      </c>
      <c r="J24" s="16"/>
      <c r="K24" s="16"/>
      <c r="L24" s="15"/>
      <c r="M24" s="16"/>
      <c r="N24" s="10" t="str">
        <f aca="false">IF($A24&lt;&gt;"Ítem","",I24+N(J24)+N(K24)+N(M24))</f>
        <v/>
      </c>
      <c r="O24" s="10" t="str">
        <f aca="false">IF($A24&lt;&gt;"Ítem","",E24*I24)</f>
        <v/>
      </c>
      <c r="P24" s="10" t="str">
        <f aca="false">IF($A24&lt;&gt;"Ítem","",E24*N(J24))</f>
        <v/>
      </c>
      <c r="Q24" s="10" t="str">
        <f aca="false">IF($A24&lt;&gt;"Ítem","",E24*N(K24))</f>
        <v/>
      </c>
      <c r="R24" s="10" t="str">
        <f aca="false">IF($A24&lt;&gt;"Ítem","",E24*N(M24))</f>
        <v/>
      </c>
      <c r="S24" s="37" t="str">
        <f aca="false">IF($A24&lt;&gt;"Ítem","",E24*N24)</f>
        <v/>
      </c>
      <c r="T24" s="10" t="str">
        <f aca="false">IF($A24&lt;&gt;"Ítem","",G24-S24)</f>
        <v/>
      </c>
      <c r="U24" s="36" t="str">
        <f aca="false">IF(OR($A24&lt;&gt;"Ítem",N(G24)=0),"",T24/G24)</f>
        <v/>
      </c>
      <c r="V24" s="81" t="str">
        <f aca="false">IF(A24="Capítulo",C24,V23)</f>
        <v/>
      </c>
      <c r="W24" s="0" t="str">
        <f aca="false">IF(A24="Capítulo",C24,"")</f>
        <v/>
      </c>
    </row>
    <row r="25" customFormat="false" ht="16.5" hidden="false" customHeight="true" outlineLevel="0" collapsed="false">
      <c r="A25" s="15"/>
      <c r="B25" s="15"/>
      <c r="C25" s="79"/>
      <c r="D25" s="15"/>
      <c r="E25" s="80"/>
      <c r="F25" s="16"/>
      <c r="G25" s="10" t="str">
        <f aca="false">IF($A25&lt;&gt;"Ítem","",E25*F25)</f>
        <v/>
      </c>
      <c r="H25" s="16"/>
      <c r="I25" s="10" t="str">
        <f aca="false">IF($A25&lt;&gt;"Ítem","",N(H25)*IF(p_IVAMat="Sí",1+p_IVA,1))</f>
        <v/>
      </c>
      <c r="J25" s="16"/>
      <c r="K25" s="16"/>
      <c r="L25" s="15"/>
      <c r="M25" s="16"/>
      <c r="N25" s="10" t="str">
        <f aca="false">IF($A25&lt;&gt;"Ítem","",I25+N(J25)+N(K25)+N(M25))</f>
        <v/>
      </c>
      <c r="O25" s="10" t="str">
        <f aca="false">IF($A25&lt;&gt;"Ítem","",E25*I25)</f>
        <v/>
      </c>
      <c r="P25" s="10" t="str">
        <f aca="false">IF($A25&lt;&gt;"Ítem","",E25*N(J25))</f>
        <v/>
      </c>
      <c r="Q25" s="10" t="str">
        <f aca="false">IF($A25&lt;&gt;"Ítem","",E25*N(K25))</f>
        <v/>
      </c>
      <c r="R25" s="10" t="str">
        <f aca="false">IF($A25&lt;&gt;"Ítem","",E25*N(M25))</f>
        <v/>
      </c>
      <c r="S25" s="37" t="str">
        <f aca="false">IF($A25&lt;&gt;"Ítem","",E25*N25)</f>
        <v/>
      </c>
      <c r="T25" s="10" t="str">
        <f aca="false">IF($A25&lt;&gt;"Ítem","",G25-S25)</f>
        <v/>
      </c>
      <c r="U25" s="36" t="str">
        <f aca="false">IF(OR($A25&lt;&gt;"Ítem",N(G25)=0),"",T25/G25)</f>
        <v/>
      </c>
      <c r="V25" s="81" t="str">
        <f aca="false">IF(A25="Capítulo",C25,V24)</f>
        <v/>
      </c>
      <c r="W25" s="0" t="str">
        <f aca="false">IF(A25="Capítulo",C25,"")</f>
        <v/>
      </c>
    </row>
    <row r="26" customFormat="false" ht="16.5" hidden="false" customHeight="true" outlineLevel="0" collapsed="false">
      <c r="A26" s="15"/>
      <c r="B26" s="15"/>
      <c r="C26" s="79"/>
      <c r="D26" s="15"/>
      <c r="E26" s="80"/>
      <c r="F26" s="16"/>
      <c r="G26" s="10" t="str">
        <f aca="false">IF($A26&lt;&gt;"Ítem","",E26*F26)</f>
        <v/>
      </c>
      <c r="H26" s="16"/>
      <c r="I26" s="10" t="str">
        <f aca="false">IF($A26&lt;&gt;"Ítem","",N(H26)*IF(p_IVAMat="Sí",1+p_IVA,1))</f>
        <v/>
      </c>
      <c r="J26" s="16"/>
      <c r="K26" s="16"/>
      <c r="L26" s="15"/>
      <c r="M26" s="16"/>
      <c r="N26" s="10" t="str">
        <f aca="false">IF($A26&lt;&gt;"Ítem","",I26+N(J26)+N(K26)+N(M26))</f>
        <v/>
      </c>
      <c r="O26" s="10" t="str">
        <f aca="false">IF($A26&lt;&gt;"Ítem","",E26*I26)</f>
        <v/>
      </c>
      <c r="P26" s="10" t="str">
        <f aca="false">IF($A26&lt;&gt;"Ítem","",E26*N(J26))</f>
        <v/>
      </c>
      <c r="Q26" s="10" t="str">
        <f aca="false">IF($A26&lt;&gt;"Ítem","",E26*N(K26))</f>
        <v/>
      </c>
      <c r="R26" s="10" t="str">
        <f aca="false">IF($A26&lt;&gt;"Ítem","",E26*N(M26))</f>
        <v/>
      </c>
      <c r="S26" s="37" t="str">
        <f aca="false">IF($A26&lt;&gt;"Ítem","",E26*N26)</f>
        <v/>
      </c>
      <c r="T26" s="10" t="str">
        <f aca="false">IF($A26&lt;&gt;"Ítem","",G26-S26)</f>
        <v/>
      </c>
      <c r="U26" s="36" t="str">
        <f aca="false">IF(OR($A26&lt;&gt;"Ítem",N(G26)=0),"",T26/G26)</f>
        <v/>
      </c>
      <c r="V26" s="81" t="str">
        <f aca="false">IF(A26="Capítulo",C26,V25)</f>
        <v/>
      </c>
      <c r="W26" s="0" t="str">
        <f aca="false">IF(A26="Capítulo",C26,"")</f>
        <v/>
      </c>
    </row>
    <row r="27" customFormat="false" ht="16.5" hidden="false" customHeight="true" outlineLevel="0" collapsed="false">
      <c r="A27" s="15"/>
      <c r="B27" s="15"/>
      <c r="C27" s="79"/>
      <c r="D27" s="15"/>
      <c r="E27" s="80"/>
      <c r="F27" s="16"/>
      <c r="G27" s="10" t="str">
        <f aca="false">IF($A27&lt;&gt;"Ítem","",E27*F27)</f>
        <v/>
      </c>
      <c r="H27" s="16"/>
      <c r="I27" s="10" t="str">
        <f aca="false">IF($A27&lt;&gt;"Ítem","",N(H27)*IF(p_IVAMat="Sí",1+p_IVA,1))</f>
        <v/>
      </c>
      <c r="J27" s="16"/>
      <c r="K27" s="16"/>
      <c r="L27" s="15"/>
      <c r="M27" s="16"/>
      <c r="N27" s="10" t="str">
        <f aca="false">IF($A27&lt;&gt;"Ítem","",I27+N(J27)+N(K27)+N(M27))</f>
        <v/>
      </c>
      <c r="O27" s="10" t="str">
        <f aca="false">IF($A27&lt;&gt;"Ítem","",E27*I27)</f>
        <v/>
      </c>
      <c r="P27" s="10" t="str">
        <f aca="false">IF($A27&lt;&gt;"Ítem","",E27*N(J27))</f>
        <v/>
      </c>
      <c r="Q27" s="10" t="str">
        <f aca="false">IF($A27&lt;&gt;"Ítem","",E27*N(K27))</f>
        <v/>
      </c>
      <c r="R27" s="10" t="str">
        <f aca="false">IF($A27&lt;&gt;"Ítem","",E27*N(M27))</f>
        <v/>
      </c>
      <c r="S27" s="37" t="str">
        <f aca="false">IF($A27&lt;&gt;"Ítem","",E27*N27)</f>
        <v/>
      </c>
      <c r="T27" s="10" t="str">
        <f aca="false">IF($A27&lt;&gt;"Ítem","",G27-S27)</f>
        <v/>
      </c>
      <c r="U27" s="36" t="str">
        <f aca="false">IF(OR($A27&lt;&gt;"Ítem",N(G27)=0),"",T27/G27)</f>
        <v/>
      </c>
      <c r="V27" s="81" t="str">
        <f aca="false">IF(A27="Capítulo",C27,V26)</f>
        <v/>
      </c>
      <c r="W27" s="0" t="str">
        <f aca="false">IF(A27="Capítulo",C27,"")</f>
        <v/>
      </c>
    </row>
    <row r="28" customFormat="false" ht="16.5" hidden="false" customHeight="true" outlineLevel="0" collapsed="false">
      <c r="A28" s="15"/>
      <c r="B28" s="15"/>
      <c r="C28" s="79"/>
      <c r="D28" s="15"/>
      <c r="E28" s="80"/>
      <c r="F28" s="16"/>
      <c r="G28" s="10" t="str">
        <f aca="false">IF($A28&lt;&gt;"Ítem","",E28*F28)</f>
        <v/>
      </c>
      <c r="H28" s="16"/>
      <c r="I28" s="10" t="str">
        <f aca="false">IF($A28&lt;&gt;"Ítem","",N(H28)*IF(p_IVAMat="Sí",1+p_IVA,1))</f>
        <v/>
      </c>
      <c r="J28" s="16"/>
      <c r="K28" s="16"/>
      <c r="L28" s="15"/>
      <c r="M28" s="16"/>
      <c r="N28" s="10" t="str">
        <f aca="false">IF($A28&lt;&gt;"Ítem","",I28+N(J28)+N(K28)+N(M28))</f>
        <v/>
      </c>
      <c r="O28" s="10" t="str">
        <f aca="false">IF($A28&lt;&gt;"Ítem","",E28*I28)</f>
        <v/>
      </c>
      <c r="P28" s="10" t="str">
        <f aca="false">IF($A28&lt;&gt;"Ítem","",E28*N(J28))</f>
        <v/>
      </c>
      <c r="Q28" s="10" t="str">
        <f aca="false">IF($A28&lt;&gt;"Ítem","",E28*N(K28))</f>
        <v/>
      </c>
      <c r="R28" s="10" t="str">
        <f aca="false">IF($A28&lt;&gt;"Ítem","",E28*N(M28))</f>
        <v/>
      </c>
      <c r="S28" s="37" t="str">
        <f aca="false">IF($A28&lt;&gt;"Ítem","",E28*N28)</f>
        <v/>
      </c>
      <c r="T28" s="10" t="str">
        <f aca="false">IF($A28&lt;&gt;"Ítem","",G28-S28)</f>
        <v/>
      </c>
      <c r="U28" s="36" t="str">
        <f aca="false">IF(OR($A28&lt;&gt;"Ítem",N(G28)=0),"",T28/G28)</f>
        <v/>
      </c>
      <c r="V28" s="81" t="str">
        <f aca="false">IF(A28="Capítulo",C28,V27)</f>
        <v/>
      </c>
      <c r="W28" s="0" t="str">
        <f aca="false">IF(A28="Capítulo",C28,"")</f>
        <v/>
      </c>
    </row>
    <row r="29" customFormat="false" ht="16.5" hidden="false" customHeight="true" outlineLevel="0" collapsed="false">
      <c r="A29" s="15"/>
      <c r="B29" s="15"/>
      <c r="C29" s="79"/>
      <c r="D29" s="15"/>
      <c r="E29" s="80"/>
      <c r="F29" s="16"/>
      <c r="G29" s="10" t="str">
        <f aca="false">IF($A29&lt;&gt;"Ítem","",E29*F29)</f>
        <v/>
      </c>
      <c r="H29" s="16"/>
      <c r="I29" s="10" t="str">
        <f aca="false">IF($A29&lt;&gt;"Ítem","",N(H29)*IF(p_IVAMat="Sí",1+p_IVA,1))</f>
        <v/>
      </c>
      <c r="J29" s="16"/>
      <c r="K29" s="16"/>
      <c r="L29" s="15"/>
      <c r="M29" s="16"/>
      <c r="N29" s="10" t="str">
        <f aca="false">IF($A29&lt;&gt;"Ítem","",I29+N(J29)+N(K29)+N(M29))</f>
        <v/>
      </c>
      <c r="O29" s="10" t="str">
        <f aca="false">IF($A29&lt;&gt;"Ítem","",E29*I29)</f>
        <v/>
      </c>
      <c r="P29" s="10" t="str">
        <f aca="false">IF($A29&lt;&gt;"Ítem","",E29*N(J29))</f>
        <v/>
      </c>
      <c r="Q29" s="10" t="str">
        <f aca="false">IF($A29&lt;&gt;"Ítem","",E29*N(K29))</f>
        <v/>
      </c>
      <c r="R29" s="10" t="str">
        <f aca="false">IF($A29&lt;&gt;"Ítem","",E29*N(M29))</f>
        <v/>
      </c>
      <c r="S29" s="37" t="str">
        <f aca="false">IF($A29&lt;&gt;"Ítem","",E29*N29)</f>
        <v/>
      </c>
      <c r="T29" s="10" t="str">
        <f aca="false">IF($A29&lt;&gt;"Ítem","",G29-S29)</f>
        <v/>
      </c>
      <c r="U29" s="36" t="str">
        <f aca="false">IF(OR($A29&lt;&gt;"Ítem",N(G29)=0),"",T29/G29)</f>
        <v/>
      </c>
      <c r="V29" s="81" t="str">
        <f aca="false">IF(A29="Capítulo",C29,V28)</f>
        <v/>
      </c>
      <c r="W29" s="0" t="str">
        <f aca="false">IF(A29="Capítulo",C29,"")</f>
        <v/>
      </c>
    </row>
    <row r="30" customFormat="false" ht="16.5" hidden="false" customHeight="true" outlineLevel="0" collapsed="false">
      <c r="A30" s="15"/>
      <c r="B30" s="15"/>
      <c r="C30" s="79"/>
      <c r="D30" s="15"/>
      <c r="E30" s="80"/>
      <c r="F30" s="16"/>
      <c r="G30" s="10" t="str">
        <f aca="false">IF($A30&lt;&gt;"Ítem","",E30*F30)</f>
        <v/>
      </c>
      <c r="H30" s="16"/>
      <c r="I30" s="10" t="str">
        <f aca="false">IF($A30&lt;&gt;"Ítem","",N(H30)*IF(p_IVAMat="Sí",1+p_IVA,1))</f>
        <v/>
      </c>
      <c r="J30" s="16"/>
      <c r="K30" s="16"/>
      <c r="L30" s="15"/>
      <c r="M30" s="16"/>
      <c r="N30" s="10" t="str">
        <f aca="false">IF($A30&lt;&gt;"Ítem","",I30+N(J30)+N(K30)+N(M30))</f>
        <v/>
      </c>
      <c r="O30" s="10" t="str">
        <f aca="false">IF($A30&lt;&gt;"Ítem","",E30*I30)</f>
        <v/>
      </c>
      <c r="P30" s="10" t="str">
        <f aca="false">IF($A30&lt;&gt;"Ítem","",E30*N(J30))</f>
        <v/>
      </c>
      <c r="Q30" s="10" t="str">
        <f aca="false">IF($A30&lt;&gt;"Ítem","",E30*N(K30))</f>
        <v/>
      </c>
      <c r="R30" s="10" t="str">
        <f aca="false">IF($A30&lt;&gt;"Ítem","",E30*N(M30))</f>
        <v/>
      </c>
      <c r="S30" s="37" t="str">
        <f aca="false">IF($A30&lt;&gt;"Ítem","",E30*N30)</f>
        <v/>
      </c>
      <c r="T30" s="10" t="str">
        <f aca="false">IF($A30&lt;&gt;"Ítem","",G30-S30)</f>
        <v/>
      </c>
      <c r="U30" s="36" t="str">
        <f aca="false">IF(OR($A30&lt;&gt;"Ítem",N(G30)=0),"",T30/G30)</f>
        <v/>
      </c>
      <c r="V30" s="81" t="str">
        <f aca="false">IF(A30="Capítulo",C30,V29)</f>
        <v/>
      </c>
      <c r="W30" s="0" t="str">
        <f aca="false">IF(A30="Capítulo",C30,"")</f>
        <v/>
      </c>
    </row>
    <row r="31" customFormat="false" ht="16.5" hidden="false" customHeight="true" outlineLevel="0" collapsed="false">
      <c r="A31" s="15"/>
      <c r="B31" s="15"/>
      <c r="C31" s="79"/>
      <c r="D31" s="15"/>
      <c r="E31" s="80"/>
      <c r="F31" s="16"/>
      <c r="G31" s="10" t="str">
        <f aca="false">IF($A31&lt;&gt;"Ítem","",E31*F31)</f>
        <v/>
      </c>
      <c r="H31" s="16"/>
      <c r="I31" s="10" t="str">
        <f aca="false">IF($A31&lt;&gt;"Ítem","",N(H31)*IF(p_IVAMat="Sí",1+p_IVA,1))</f>
        <v/>
      </c>
      <c r="J31" s="16"/>
      <c r="K31" s="16"/>
      <c r="L31" s="15"/>
      <c r="M31" s="16"/>
      <c r="N31" s="10" t="str">
        <f aca="false">IF($A31&lt;&gt;"Ítem","",I31+N(J31)+N(K31)+N(M31))</f>
        <v/>
      </c>
      <c r="O31" s="10" t="str">
        <f aca="false">IF($A31&lt;&gt;"Ítem","",E31*I31)</f>
        <v/>
      </c>
      <c r="P31" s="10" t="str">
        <f aca="false">IF($A31&lt;&gt;"Ítem","",E31*N(J31))</f>
        <v/>
      </c>
      <c r="Q31" s="10" t="str">
        <f aca="false">IF($A31&lt;&gt;"Ítem","",E31*N(K31))</f>
        <v/>
      </c>
      <c r="R31" s="10" t="str">
        <f aca="false">IF($A31&lt;&gt;"Ítem","",E31*N(M31))</f>
        <v/>
      </c>
      <c r="S31" s="37" t="str">
        <f aca="false">IF($A31&lt;&gt;"Ítem","",E31*N31)</f>
        <v/>
      </c>
      <c r="T31" s="10" t="str">
        <f aca="false">IF($A31&lt;&gt;"Ítem","",G31-S31)</f>
        <v/>
      </c>
      <c r="U31" s="36" t="str">
        <f aca="false">IF(OR($A31&lt;&gt;"Ítem",N(G31)=0),"",T31/G31)</f>
        <v/>
      </c>
      <c r="V31" s="81" t="str">
        <f aca="false">IF(A31="Capítulo",C31,V30)</f>
        <v/>
      </c>
      <c r="W31" s="0" t="str">
        <f aca="false">IF(A31="Capítulo",C31,"")</f>
        <v/>
      </c>
    </row>
    <row r="32" customFormat="false" ht="16.5" hidden="false" customHeight="true" outlineLevel="0" collapsed="false">
      <c r="A32" s="15"/>
      <c r="B32" s="15"/>
      <c r="C32" s="79"/>
      <c r="D32" s="15"/>
      <c r="E32" s="80"/>
      <c r="F32" s="16"/>
      <c r="G32" s="10" t="str">
        <f aca="false">IF($A32&lt;&gt;"Ítem","",E32*F32)</f>
        <v/>
      </c>
      <c r="H32" s="16"/>
      <c r="I32" s="10" t="str">
        <f aca="false">IF($A32&lt;&gt;"Ítem","",N(H32)*IF(p_IVAMat="Sí",1+p_IVA,1))</f>
        <v/>
      </c>
      <c r="J32" s="16"/>
      <c r="K32" s="16"/>
      <c r="L32" s="15"/>
      <c r="M32" s="16"/>
      <c r="N32" s="10" t="str">
        <f aca="false">IF($A32&lt;&gt;"Ítem","",I32+N(J32)+N(K32)+N(M32))</f>
        <v/>
      </c>
      <c r="O32" s="10" t="str">
        <f aca="false">IF($A32&lt;&gt;"Ítem","",E32*I32)</f>
        <v/>
      </c>
      <c r="P32" s="10" t="str">
        <f aca="false">IF($A32&lt;&gt;"Ítem","",E32*N(J32))</f>
        <v/>
      </c>
      <c r="Q32" s="10" t="str">
        <f aca="false">IF($A32&lt;&gt;"Ítem","",E32*N(K32))</f>
        <v/>
      </c>
      <c r="R32" s="10" t="str">
        <f aca="false">IF($A32&lt;&gt;"Ítem","",E32*N(M32))</f>
        <v/>
      </c>
      <c r="S32" s="37" t="str">
        <f aca="false">IF($A32&lt;&gt;"Ítem","",E32*N32)</f>
        <v/>
      </c>
      <c r="T32" s="10" t="str">
        <f aca="false">IF($A32&lt;&gt;"Ítem","",G32-S32)</f>
        <v/>
      </c>
      <c r="U32" s="36" t="str">
        <f aca="false">IF(OR($A32&lt;&gt;"Ítem",N(G32)=0),"",T32/G32)</f>
        <v/>
      </c>
      <c r="V32" s="81" t="str">
        <f aca="false">IF(A32="Capítulo",C32,V31)</f>
        <v/>
      </c>
      <c r="W32" s="0" t="str">
        <f aca="false">IF(A32="Capítulo",C32,"")</f>
        <v/>
      </c>
    </row>
    <row r="33" customFormat="false" ht="16.5" hidden="false" customHeight="true" outlineLevel="0" collapsed="false">
      <c r="A33" s="15"/>
      <c r="B33" s="15"/>
      <c r="C33" s="79"/>
      <c r="D33" s="15"/>
      <c r="E33" s="80"/>
      <c r="F33" s="16"/>
      <c r="G33" s="10" t="str">
        <f aca="false">IF($A33&lt;&gt;"Ítem","",E33*F33)</f>
        <v/>
      </c>
      <c r="H33" s="16"/>
      <c r="I33" s="10" t="str">
        <f aca="false">IF($A33&lt;&gt;"Ítem","",N(H33)*IF(p_IVAMat="Sí",1+p_IVA,1))</f>
        <v/>
      </c>
      <c r="J33" s="16"/>
      <c r="K33" s="16"/>
      <c r="L33" s="15"/>
      <c r="M33" s="16"/>
      <c r="N33" s="10" t="str">
        <f aca="false">IF($A33&lt;&gt;"Ítem","",I33+N(J33)+N(K33)+N(M33))</f>
        <v/>
      </c>
      <c r="O33" s="10" t="str">
        <f aca="false">IF($A33&lt;&gt;"Ítem","",E33*I33)</f>
        <v/>
      </c>
      <c r="P33" s="10" t="str">
        <f aca="false">IF($A33&lt;&gt;"Ítem","",E33*N(J33))</f>
        <v/>
      </c>
      <c r="Q33" s="10" t="str">
        <f aca="false">IF($A33&lt;&gt;"Ítem","",E33*N(K33))</f>
        <v/>
      </c>
      <c r="R33" s="10" t="str">
        <f aca="false">IF($A33&lt;&gt;"Ítem","",E33*N(M33))</f>
        <v/>
      </c>
      <c r="S33" s="37" t="str">
        <f aca="false">IF($A33&lt;&gt;"Ítem","",E33*N33)</f>
        <v/>
      </c>
      <c r="T33" s="10" t="str">
        <f aca="false">IF($A33&lt;&gt;"Ítem","",G33-S33)</f>
        <v/>
      </c>
      <c r="U33" s="36" t="str">
        <f aca="false">IF(OR($A33&lt;&gt;"Ítem",N(G33)=0),"",T33/G33)</f>
        <v/>
      </c>
      <c r="V33" s="81" t="str">
        <f aca="false">IF(A33="Capítulo",C33,V32)</f>
        <v/>
      </c>
      <c r="W33" s="0" t="str">
        <f aca="false">IF(A33="Capítulo",C33,"")</f>
        <v/>
      </c>
    </row>
    <row r="34" customFormat="false" ht="16.5" hidden="false" customHeight="true" outlineLevel="0" collapsed="false">
      <c r="A34" s="15"/>
      <c r="B34" s="15"/>
      <c r="C34" s="79"/>
      <c r="D34" s="15"/>
      <c r="E34" s="80"/>
      <c r="F34" s="16"/>
      <c r="G34" s="10" t="str">
        <f aca="false">IF($A34&lt;&gt;"Ítem","",E34*F34)</f>
        <v/>
      </c>
      <c r="H34" s="16"/>
      <c r="I34" s="10" t="str">
        <f aca="false">IF($A34&lt;&gt;"Ítem","",N(H34)*IF(p_IVAMat="Sí",1+p_IVA,1))</f>
        <v/>
      </c>
      <c r="J34" s="16"/>
      <c r="K34" s="16"/>
      <c r="L34" s="15"/>
      <c r="M34" s="16"/>
      <c r="N34" s="10" t="str">
        <f aca="false">IF($A34&lt;&gt;"Ítem","",I34+N(J34)+N(K34)+N(M34))</f>
        <v/>
      </c>
      <c r="O34" s="10" t="str">
        <f aca="false">IF($A34&lt;&gt;"Ítem","",E34*I34)</f>
        <v/>
      </c>
      <c r="P34" s="10" t="str">
        <f aca="false">IF($A34&lt;&gt;"Ítem","",E34*N(J34))</f>
        <v/>
      </c>
      <c r="Q34" s="10" t="str">
        <f aca="false">IF($A34&lt;&gt;"Ítem","",E34*N(K34))</f>
        <v/>
      </c>
      <c r="R34" s="10" t="str">
        <f aca="false">IF($A34&lt;&gt;"Ítem","",E34*N(M34))</f>
        <v/>
      </c>
      <c r="S34" s="37" t="str">
        <f aca="false">IF($A34&lt;&gt;"Ítem","",E34*N34)</f>
        <v/>
      </c>
      <c r="T34" s="10" t="str">
        <f aca="false">IF($A34&lt;&gt;"Ítem","",G34-S34)</f>
        <v/>
      </c>
      <c r="U34" s="36" t="str">
        <f aca="false">IF(OR($A34&lt;&gt;"Ítem",N(G34)=0),"",T34/G34)</f>
        <v/>
      </c>
      <c r="V34" s="81" t="str">
        <f aca="false">IF(A34="Capítulo",C34,V33)</f>
        <v/>
      </c>
      <c r="W34" s="0" t="str">
        <f aca="false">IF(A34="Capítulo",C34,"")</f>
        <v/>
      </c>
    </row>
    <row r="35" customFormat="false" ht="16.5" hidden="false" customHeight="true" outlineLevel="0" collapsed="false">
      <c r="A35" s="15"/>
      <c r="B35" s="15"/>
      <c r="C35" s="79"/>
      <c r="D35" s="15"/>
      <c r="E35" s="80"/>
      <c r="F35" s="16"/>
      <c r="G35" s="10" t="str">
        <f aca="false">IF($A35&lt;&gt;"Ítem","",E35*F35)</f>
        <v/>
      </c>
      <c r="H35" s="16"/>
      <c r="I35" s="10" t="str">
        <f aca="false">IF($A35&lt;&gt;"Ítem","",N(H35)*IF(p_IVAMat="Sí",1+p_IVA,1))</f>
        <v/>
      </c>
      <c r="J35" s="16"/>
      <c r="K35" s="16"/>
      <c r="L35" s="15"/>
      <c r="M35" s="16"/>
      <c r="N35" s="10" t="str">
        <f aca="false">IF($A35&lt;&gt;"Ítem","",I35+N(J35)+N(K35)+N(M35))</f>
        <v/>
      </c>
      <c r="O35" s="10" t="str">
        <f aca="false">IF($A35&lt;&gt;"Ítem","",E35*I35)</f>
        <v/>
      </c>
      <c r="P35" s="10" t="str">
        <f aca="false">IF($A35&lt;&gt;"Ítem","",E35*N(J35))</f>
        <v/>
      </c>
      <c r="Q35" s="10" t="str">
        <f aca="false">IF($A35&lt;&gt;"Ítem","",E35*N(K35))</f>
        <v/>
      </c>
      <c r="R35" s="10" t="str">
        <f aca="false">IF($A35&lt;&gt;"Ítem","",E35*N(M35))</f>
        <v/>
      </c>
      <c r="S35" s="37" t="str">
        <f aca="false">IF($A35&lt;&gt;"Ítem","",E35*N35)</f>
        <v/>
      </c>
      <c r="T35" s="10" t="str">
        <f aca="false">IF($A35&lt;&gt;"Ítem","",G35-S35)</f>
        <v/>
      </c>
      <c r="U35" s="36" t="str">
        <f aca="false">IF(OR($A35&lt;&gt;"Ítem",N(G35)=0),"",T35/G35)</f>
        <v/>
      </c>
      <c r="V35" s="81" t="str">
        <f aca="false">IF(A35="Capítulo",C35,V34)</f>
        <v/>
      </c>
      <c r="W35" s="0" t="str">
        <f aca="false">IF(A35="Capítulo",C35,"")</f>
        <v/>
      </c>
    </row>
    <row r="36" customFormat="false" ht="16.5" hidden="false" customHeight="true" outlineLevel="0" collapsed="false">
      <c r="A36" s="15"/>
      <c r="B36" s="15"/>
      <c r="C36" s="79"/>
      <c r="D36" s="15"/>
      <c r="E36" s="80"/>
      <c r="F36" s="16"/>
      <c r="G36" s="10" t="str">
        <f aca="false">IF($A36&lt;&gt;"Ítem","",E36*F36)</f>
        <v/>
      </c>
      <c r="H36" s="16"/>
      <c r="I36" s="10" t="str">
        <f aca="false">IF($A36&lt;&gt;"Ítem","",N(H36)*IF(p_IVAMat="Sí",1+p_IVA,1))</f>
        <v/>
      </c>
      <c r="J36" s="16"/>
      <c r="K36" s="16"/>
      <c r="L36" s="15"/>
      <c r="M36" s="16"/>
      <c r="N36" s="10" t="str">
        <f aca="false">IF($A36&lt;&gt;"Ítem","",I36+N(J36)+N(K36)+N(M36))</f>
        <v/>
      </c>
      <c r="O36" s="10" t="str">
        <f aca="false">IF($A36&lt;&gt;"Ítem","",E36*I36)</f>
        <v/>
      </c>
      <c r="P36" s="10" t="str">
        <f aca="false">IF($A36&lt;&gt;"Ítem","",E36*N(J36))</f>
        <v/>
      </c>
      <c r="Q36" s="10" t="str">
        <f aca="false">IF($A36&lt;&gt;"Ítem","",E36*N(K36))</f>
        <v/>
      </c>
      <c r="R36" s="10" t="str">
        <f aca="false">IF($A36&lt;&gt;"Ítem","",E36*N(M36))</f>
        <v/>
      </c>
      <c r="S36" s="37" t="str">
        <f aca="false">IF($A36&lt;&gt;"Ítem","",E36*N36)</f>
        <v/>
      </c>
      <c r="T36" s="10" t="str">
        <f aca="false">IF($A36&lt;&gt;"Ítem","",G36-S36)</f>
        <v/>
      </c>
      <c r="U36" s="36" t="str">
        <f aca="false">IF(OR($A36&lt;&gt;"Ítem",N(G36)=0),"",T36/G36)</f>
        <v/>
      </c>
      <c r="V36" s="81" t="str">
        <f aca="false">IF(A36="Capítulo",C36,V35)</f>
        <v/>
      </c>
      <c r="W36" s="0" t="str">
        <f aca="false">IF(A36="Capítulo",C36,"")</f>
        <v/>
      </c>
    </row>
    <row r="37" customFormat="false" ht="16.5" hidden="false" customHeight="true" outlineLevel="0" collapsed="false">
      <c r="A37" s="15"/>
      <c r="B37" s="15"/>
      <c r="C37" s="79"/>
      <c r="D37" s="15"/>
      <c r="E37" s="80"/>
      <c r="F37" s="16"/>
      <c r="G37" s="10" t="str">
        <f aca="false">IF($A37&lt;&gt;"Ítem","",E37*F37)</f>
        <v/>
      </c>
      <c r="H37" s="16"/>
      <c r="I37" s="10" t="str">
        <f aca="false">IF($A37&lt;&gt;"Ítem","",N(H37)*IF(p_IVAMat="Sí",1+p_IVA,1))</f>
        <v/>
      </c>
      <c r="J37" s="16"/>
      <c r="K37" s="16"/>
      <c r="L37" s="15"/>
      <c r="M37" s="16"/>
      <c r="N37" s="10" t="str">
        <f aca="false">IF($A37&lt;&gt;"Ítem","",I37+N(J37)+N(K37)+N(M37))</f>
        <v/>
      </c>
      <c r="O37" s="10" t="str">
        <f aca="false">IF($A37&lt;&gt;"Ítem","",E37*I37)</f>
        <v/>
      </c>
      <c r="P37" s="10" t="str">
        <f aca="false">IF($A37&lt;&gt;"Ítem","",E37*N(J37))</f>
        <v/>
      </c>
      <c r="Q37" s="10" t="str">
        <f aca="false">IF($A37&lt;&gt;"Ítem","",E37*N(K37))</f>
        <v/>
      </c>
      <c r="R37" s="10" t="str">
        <f aca="false">IF($A37&lt;&gt;"Ítem","",E37*N(M37))</f>
        <v/>
      </c>
      <c r="S37" s="37" t="str">
        <f aca="false">IF($A37&lt;&gt;"Ítem","",E37*N37)</f>
        <v/>
      </c>
      <c r="T37" s="10" t="str">
        <f aca="false">IF($A37&lt;&gt;"Ítem","",G37-S37)</f>
        <v/>
      </c>
      <c r="U37" s="36" t="str">
        <f aca="false">IF(OR($A37&lt;&gt;"Ítem",N(G37)=0),"",T37/G37)</f>
        <v/>
      </c>
      <c r="V37" s="81" t="str">
        <f aca="false">IF(A37="Capítulo",C37,V36)</f>
        <v/>
      </c>
      <c r="W37" s="0" t="str">
        <f aca="false">IF(A37="Capítulo",C37,"")</f>
        <v/>
      </c>
    </row>
    <row r="38" customFormat="false" ht="16.5" hidden="false" customHeight="true" outlineLevel="0" collapsed="false">
      <c r="A38" s="15"/>
      <c r="B38" s="15"/>
      <c r="C38" s="79"/>
      <c r="D38" s="15"/>
      <c r="E38" s="80"/>
      <c r="F38" s="16"/>
      <c r="G38" s="10" t="str">
        <f aca="false">IF($A38&lt;&gt;"Ítem","",E38*F38)</f>
        <v/>
      </c>
      <c r="H38" s="16"/>
      <c r="I38" s="10" t="str">
        <f aca="false">IF($A38&lt;&gt;"Ítem","",N(H38)*IF(p_IVAMat="Sí",1+p_IVA,1))</f>
        <v/>
      </c>
      <c r="J38" s="16"/>
      <c r="K38" s="16"/>
      <c r="L38" s="15"/>
      <c r="M38" s="16"/>
      <c r="N38" s="10" t="str">
        <f aca="false">IF($A38&lt;&gt;"Ítem","",I38+N(J38)+N(K38)+N(M38))</f>
        <v/>
      </c>
      <c r="O38" s="10" t="str">
        <f aca="false">IF($A38&lt;&gt;"Ítem","",E38*I38)</f>
        <v/>
      </c>
      <c r="P38" s="10" t="str">
        <f aca="false">IF($A38&lt;&gt;"Ítem","",E38*N(J38))</f>
        <v/>
      </c>
      <c r="Q38" s="10" t="str">
        <f aca="false">IF($A38&lt;&gt;"Ítem","",E38*N(K38))</f>
        <v/>
      </c>
      <c r="R38" s="10" t="str">
        <f aca="false">IF($A38&lt;&gt;"Ítem","",E38*N(M38))</f>
        <v/>
      </c>
      <c r="S38" s="37" t="str">
        <f aca="false">IF($A38&lt;&gt;"Ítem","",E38*N38)</f>
        <v/>
      </c>
      <c r="T38" s="10" t="str">
        <f aca="false">IF($A38&lt;&gt;"Ítem","",G38-S38)</f>
        <v/>
      </c>
      <c r="U38" s="36" t="str">
        <f aca="false">IF(OR($A38&lt;&gt;"Ítem",N(G38)=0),"",T38/G38)</f>
        <v/>
      </c>
      <c r="V38" s="81" t="str">
        <f aca="false">IF(A38="Capítulo",C38,V37)</f>
        <v/>
      </c>
      <c r="W38" s="0" t="str">
        <f aca="false">IF(A38="Capítulo",C38,"")</f>
        <v/>
      </c>
    </row>
    <row r="39" customFormat="false" ht="16.5" hidden="false" customHeight="true" outlineLevel="0" collapsed="false">
      <c r="A39" s="15"/>
      <c r="B39" s="15"/>
      <c r="C39" s="79"/>
      <c r="D39" s="15"/>
      <c r="E39" s="80"/>
      <c r="F39" s="16"/>
      <c r="G39" s="10" t="str">
        <f aca="false">IF($A39&lt;&gt;"Ítem","",E39*F39)</f>
        <v/>
      </c>
      <c r="H39" s="16"/>
      <c r="I39" s="10" t="str">
        <f aca="false">IF($A39&lt;&gt;"Ítem","",N(H39)*IF(p_IVAMat="Sí",1+p_IVA,1))</f>
        <v/>
      </c>
      <c r="J39" s="16"/>
      <c r="K39" s="16"/>
      <c r="L39" s="15"/>
      <c r="M39" s="16"/>
      <c r="N39" s="10" t="str">
        <f aca="false">IF($A39&lt;&gt;"Ítem","",I39+N(J39)+N(K39)+N(M39))</f>
        <v/>
      </c>
      <c r="O39" s="10" t="str">
        <f aca="false">IF($A39&lt;&gt;"Ítem","",E39*I39)</f>
        <v/>
      </c>
      <c r="P39" s="10" t="str">
        <f aca="false">IF($A39&lt;&gt;"Ítem","",E39*N(J39))</f>
        <v/>
      </c>
      <c r="Q39" s="10" t="str">
        <f aca="false">IF($A39&lt;&gt;"Ítem","",E39*N(K39))</f>
        <v/>
      </c>
      <c r="R39" s="10" t="str">
        <f aca="false">IF($A39&lt;&gt;"Ítem","",E39*N(M39))</f>
        <v/>
      </c>
      <c r="S39" s="37" t="str">
        <f aca="false">IF($A39&lt;&gt;"Ítem","",E39*N39)</f>
        <v/>
      </c>
      <c r="T39" s="10" t="str">
        <f aca="false">IF($A39&lt;&gt;"Ítem","",G39-S39)</f>
        <v/>
      </c>
      <c r="U39" s="36" t="str">
        <f aca="false">IF(OR($A39&lt;&gt;"Ítem",N(G39)=0),"",T39/G39)</f>
        <v/>
      </c>
      <c r="V39" s="81" t="str">
        <f aca="false">IF(A39="Capítulo",C39,V38)</f>
        <v/>
      </c>
      <c r="W39" s="0" t="str">
        <f aca="false">IF(A39="Capítulo",C39,"")</f>
        <v/>
      </c>
    </row>
    <row r="40" customFormat="false" ht="16.5" hidden="false" customHeight="true" outlineLevel="0" collapsed="false">
      <c r="A40" s="15"/>
      <c r="B40" s="15"/>
      <c r="C40" s="79"/>
      <c r="D40" s="15"/>
      <c r="E40" s="80"/>
      <c r="F40" s="16"/>
      <c r="G40" s="10" t="str">
        <f aca="false">IF($A40&lt;&gt;"Ítem","",E40*F40)</f>
        <v/>
      </c>
      <c r="H40" s="16"/>
      <c r="I40" s="10" t="str">
        <f aca="false">IF($A40&lt;&gt;"Ítem","",N(H40)*IF(p_IVAMat="Sí",1+p_IVA,1))</f>
        <v/>
      </c>
      <c r="J40" s="16"/>
      <c r="K40" s="16"/>
      <c r="L40" s="15"/>
      <c r="M40" s="16"/>
      <c r="N40" s="10" t="str">
        <f aca="false">IF($A40&lt;&gt;"Ítem","",I40+N(J40)+N(K40)+N(M40))</f>
        <v/>
      </c>
      <c r="O40" s="10" t="str">
        <f aca="false">IF($A40&lt;&gt;"Ítem","",E40*I40)</f>
        <v/>
      </c>
      <c r="P40" s="10" t="str">
        <f aca="false">IF($A40&lt;&gt;"Ítem","",E40*N(J40))</f>
        <v/>
      </c>
      <c r="Q40" s="10" t="str">
        <f aca="false">IF($A40&lt;&gt;"Ítem","",E40*N(K40))</f>
        <v/>
      </c>
      <c r="R40" s="10" t="str">
        <f aca="false">IF($A40&lt;&gt;"Ítem","",E40*N(M40))</f>
        <v/>
      </c>
      <c r="S40" s="37" t="str">
        <f aca="false">IF($A40&lt;&gt;"Ítem","",E40*N40)</f>
        <v/>
      </c>
      <c r="T40" s="10" t="str">
        <f aca="false">IF($A40&lt;&gt;"Ítem","",G40-S40)</f>
        <v/>
      </c>
      <c r="U40" s="36" t="str">
        <f aca="false">IF(OR($A40&lt;&gt;"Ítem",N(G40)=0),"",T40/G40)</f>
        <v/>
      </c>
      <c r="V40" s="81" t="str">
        <f aca="false">IF(A40="Capítulo",C40,V39)</f>
        <v/>
      </c>
      <c r="W40" s="0" t="str">
        <f aca="false">IF(A40="Capítulo",C40,"")</f>
        <v/>
      </c>
    </row>
    <row r="41" customFormat="false" ht="16.5" hidden="false" customHeight="true" outlineLevel="0" collapsed="false">
      <c r="A41" s="15"/>
      <c r="B41" s="15"/>
      <c r="C41" s="79"/>
      <c r="D41" s="15"/>
      <c r="E41" s="80"/>
      <c r="F41" s="16"/>
      <c r="G41" s="10" t="str">
        <f aca="false">IF($A41&lt;&gt;"Ítem","",E41*F41)</f>
        <v/>
      </c>
      <c r="H41" s="16"/>
      <c r="I41" s="10" t="str">
        <f aca="false">IF($A41&lt;&gt;"Ítem","",N(H41)*IF(p_IVAMat="Sí",1+p_IVA,1))</f>
        <v/>
      </c>
      <c r="J41" s="16"/>
      <c r="K41" s="16"/>
      <c r="L41" s="15"/>
      <c r="M41" s="16"/>
      <c r="N41" s="10" t="str">
        <f aca="false">IF($A41&lt;&gt;"Ítem","",I41+N(J41)+N(K41)+N(M41))</f>
        <v/>
      </c>
      <c r="O41" s="10" t="str">
        <f aca="false">IF($A41&lt;&gt;"Ítem","",E41*I41)</f>
        <v/>
      </c>
      <c r="P41" s="10" t="str">
        <f aca="false">IF($A41&lt;&gt;"Ítem","",E41*N(J41))</f>
        <v/>
      </c>
      <c r="Q41" s="10" t="str">
        <f aca="false">IF($A41&lt;&gt;"Ítem","",E41*N(K41))</f>
        <v/>
      </c>
      <c r="R41" s="10" t="str">
        <f aca="false">IF($A41&lt;&gt;"Ítem","",E41*N(M41))</f>
        <v/>
      </c>
      <c r="S41" s="37" t="str">
        <f aca="false">IF($A41&lt;&gt;"Ítem","",E41*N41)</f>
        <v/>
      </c>
      <c r="T41" s="10" t="str">
        <f aca="false">IF($A41&lt;&gt;"Ítem","",G41-S41)</f>
        <v/>
      </c>
      <c r="U41" s="36" t="str">
        <f aca="false">IF(OR($A41&lt;&gt;"Ítem",N(G41)=0),"",T41/G41)</f>
        <v/>
      </c>
      <c r="V41" s="81" t="str">
        <f aca="false">IF(A41="Capítulo",C41,V40)</f>
        <v/>
      </c>
      <c r="W41" s="0" t="str">
        <f aca="false">IF(A41="Capítulo",C41,"")</f>
        <v/>
      </c>
    </row>
    <row r="42" customFormat="false" ht="16.5" hidden="false" customHeight="true" outlineLevel="0" collapsed="false">
      <c r="A42" s="15"/>
      <c r="B42" s="15"/>
      <c r="C42" s="79"/>
      <c r="D42" s="15"/>
      <c r="E42" s="80"/>
      <c r="F42" s="16"/>
      <c r="G42" s="10" t="str">
        <f aca="false">IF($A42&lt;&gt;"Ítem","",E42*F42)</f>
        <v/>
      </c>
      <c r="H42" s="16"/>
      <c r="I42" s="10" t="str">
        <f aca="false">IF($A42&lt;&gt;"Ítem","",N(H42)*IF(p_IVAMat="Sí",1+p_IVA,1))</f>
        <v/>
      </c>
      <c r="J42" s="16"/>
      <c r="K42" s="16"/>
      <c r="L42" s="15"/>
      <c r="M42" s="16"/>
      <c r="N42" s="10" t="str">
        <f aca="false">IF($A42&lt;&gt;"Ítem","",I42+N(J42)+N(K42)+N(M42))</f>
        <v/>
      </c>
      <c r="O42" s="10" t="str">
        <f aca="false">IF($A42&lt;&gt;"Ítem","",E42*I42)</f>
        <v/>
      </c>
      <c r="P42" s="10" t="str">
        <f aca="false">IF($A42&lt;&gt;"Ítem","",E42*N(J42))</f>
        <v/>
      </c>
      <c r="Q42" s="10" t="str">
        <f aca="false">IF($A42&lt;&gt;"Ítem","",E42*N(K42))</f>
        <v/>
      </c>
      <c r="R42" s="10" t="str">
        <f aca="false">IF($A42&lt;&gt;"Ítem","",E42*N(M42))</f>
        <v/>
      </c>
      <c r="S42" s="37" t="str">
        <f aca="false">IF($A42&lt;&gt;"Ítem","",E42*N42)</f>
        <v/>
      </c>
      <c r="T42" s="10" t="str">
        <f aca="false">IF($A42&lt;&gt;"Ítem","",G42-S42)</f>
        <v/>
      </c>
      <c r="U42" s="36" t="str">
        <f aca="false">IF(OR($A42&lt;&gt;"Ítem",N(G42)=0),"",T42/G42)</f>
        <v/>
      </c>
      <c r="V42" s="81" t="str">
        <f aca="false">IF(A42="Capítulo",C42,V41)</f>
        <v/>
      </c>
      <c r="W42" s="0" t="str">
        <f aca="false">IF(A42="Capítulo",C42,"")</f>
        <v/>
      </c>
    </row>
    <row r="43" customFormat="false" ht="16.5" hidden="false" customHeight="true" outlineLevel="0" collapsed="false">
      <c r="A43" s="15"/>
      <c r="B43" s="15"/>
      <c r="C43" s="79"/>
      <c r="D43" s="15"/>
      <c r="E43" s="80"/>
      <c r="F43" s="16"/>
      <c r="G43" s="10" t="str">
        <f aca="false">IF($A43&lt;&gt;"Ítem","",E43*F43)</f>
        <v/>
      </c>
      <c r="H43" s="16"/>
      <c r="I43" s="10" t="str">
        <f aca="false">IF($A43&lt;&gt;"Ítem","",N(H43)*IF(p_IVAMat="Sí",1+p_IVA,1))</f>
        <v/>
      </c>
      <c r="J43" s="16"/>
      <c r="K43" s="16"/>
      <c r="L43" s="15"/>
      <c r="M43" s="16"/>
      <c r="N43" s="10" t="str">
        <f aca="false">IF($A43&lt;&gt;"Ítem","",I43+N(J43)+N(K43)+N(M43))</f>
        <v/>
      </c>
      <c r="O43" s="10" t="str">
        <f aca="false">IF($A43&lt;&gt;"Ítem","",E43*I43)</f>
        <v/>
      </c>
      <c r="P43" s="10" t="str">
        <f aca="false">IF($A43&lt;&gt;"Ítem","",E43*N(J43))</f>
        <v/>
      </c>
      <c r="Q43" s="10" t="str">
        <f aca="false">IF($A43&lt;&gt;"Ítem","",E43*N(K43))</f>
        <v/>
      </c>
      <c r="R43" s="10" t="str">
        <f aca="false">IF($A43&lt;&gt;"Ítem","",E43*N(M43))</f>
        <v/>
      </c>
      <c r="S43" s="37" t="str">
        <f aca="false">IF($A43&lt;&gt;"Ítem","",E43*N43)</f>
        <v/>
      </c>
      <c r="T43" s="10" t="str">
        <f aca="false">IF($A43&lt;&gt;"Ítem","",G43-S43)</f>
        <v/>
      </c>
      <c r="U43" s="36" t="str">
        <f aca="false">IF(OR($A43&lt;&gt;"Ítem",N(G43)=0),"",T43/G43)</f>
        <v/>
      </c>
      <c r="V43" s="81" t="str">
        <f aca="false">IF(A43="Capítulo",C43,V42)</f>
        <v/>
      </c>
      <c r="W43" s="0" t="str">
        <f aca="false">IF(A43="Capítulo",C43,"")</f>
        <v/>
      </c>
    </row>
    <row r="44" customFormat="false" ht="16.5" hidden="false" customHeight="true" outlineLevel="0" collapsed="false">
      <c r="A44" s="15"/>
      <c r="B44" s="15"/>
      <c r="C44" s="79"/>
      <c r="D44" s="15"/>
      <c r="E44" s="80"/>
      <c r="F44" s="16"/>
      <c r="G44" s="10" t="str">
        <f aca="false">IF($A44&lt;&gt;"Ítem","",E44*F44)</f>
        <v/>
      </c>
      <c r="H44" s="16"/>
      <c r="I44" s="10" t="str">
        <f aca="false">IF($A44&lt;&gt;"Ítem","",N(H44)*IF(p_IVAMat="Sí",1+p_IVA,1))</f>
        <v/>
      </c>
      <c r="J44" s="16"/>
      <c r="K44" s="16"/>
      <c r="L44" s="15"/>
      <c r="M44" s="16"/>
      <c r="N44" s="10" t="str">
        <f aca="false">IF($A44&lt;&gt;"Ítem","",I44+N(J44)+N(K44)+N(M44))</f>
        <v/>
      </c>
      <c r="O44" s="10" t="str">
        <f aca="false">IF($A44&lt;&gt;"Ítem","",E44*I44)</f>
        <v/>
      </c>
      <c r="P44" s="10" t="str">
        <f aca="false">IF($A44&lt;&gt;"Ítem","",E44*N(J44))</f>
        <v/>
      </c>
      <c r="Q44" s="10" t="str">
        <f aca="false">IF($A44&lt;&gt;"Ítem","",E44*N(K44))</f>
        <v/>
      </c>
      <c r="R44" s="10" t="str">
        <f aca="false">IF($A44&lt;&gt;"Ítem","",E44*N(M44))</f>
        <v/>
      </c>
      <c r="S44" s="37" t="str">
        <f aca="false">IF($A44&lt;&gt;"Ítem","",E44*N44)</f>
        <v/>
      </c>
      <c r="T44" s="10" t="str">
        <f aca="false">IF($A44&lt;&gt;"Ítem","",G44-S44)</f>
        <v/>
      </c>
      <c r="U44" s="36" t="str">
        <f aca="false">IF(OR($A44&lt;&gt;"Ítem",N(G44)=0),"",T44/G44)</f>
        <v/>
      </c>
      <c r="V44" s="81" t="str">
        <f aca="false">IF(A44="Capítulo",C44,V43)</f>
        <v/>
      </c>
      <c r="W44" s="0" t="str">
        <f aca="false">IF(A44="Capítulo",C44,"")</f>
        <v/>
      </c>
    </row>
    <row r="45" customFormat="false" ht="16.5" hidden="false" customHeight="true" outlineLevel="0" collapsed="false">
      <c r="A45" s="15"/>
      <c r="B45" s="15"/>
      <c r="C45" s="79"/>
      <c r="D45" s="15"/>
      <c r="E45" s="80"/>
      <c r="F45" s="16"/>
      <c r="G45" s="10" t="str">
        <f aca="false">IF($A45&lt;&gt;"Ítem","",E45*F45)</f>
        <v/>
      </c>
      <c r="H45" s="16"/>
      <c r="I45" s="10" t="str">
        <f aca="false">IF($A45&lt;&gt;"Ítem","",N(H45)*IF(p_IVAMat="Sí",1+p_IVA,1))</f>
        <v/>
      </c>
      <c r="J45" s="16"/>
      <c r="K45" s="16"/>
      <c r="L45" s="15"/>
      <c r="M45" s="16"/>
      <c r="N45" s="10" t="str">
        <f aca="false">IF($A45&lt;&gt;"Ítem","",I45+N(J45)+N(K45)+N(M45))</f>
        <v/>
      </c>
      <c r="O45" s="10" t="str">
        <f aca="false">IF($A45&lt;&gt;"Ítem","",E45*I45)</f>
        <v/>
      </c>
      <c r="P45" s="10" t="str">
        <f aca="false">IF($A45&lt;&gt;"Ítem","",E45*N(J45))</f>
        <v/>
      </c>
      <c r="Q45" s="10" t="str">
        <f aca="false">IF($A45&lt;&gt;"Ítem","",E45*N(K45))</f>
        <v/>
      </c>
      <c r="R45" s="10" t="str">
        <f aca="false">IF($A45&lt;&gt;"Ítem","",E45*N(M45))</f>
        <v/>
      </c>
      <c r="S45" s="37" t="str">
        <f aca="false">IF($A45&lt;&gt;"Ítem","",E45*N45)</f>
        <v/>
      </c>
      <c r="T45" s="10" t="str">
        <f aca="false">IF($A45&lt;&gt;"Ítem","",G45-S45)</f>
        <v/>
      </c>
      <c r="U45" s="36" t="str">
        <f aca="false">IF(OR($A45&lt;&gt;"Ítem",N(G45)=0),"",T45/G45)</f>
        <v/>
      </c>
      <c r="V45" s="81" t="str">
        <f aca="false">IF(A45="Capítulo",C45,V44)</f>
        <v/>
      </c>
      <c r="W45" s="0" t="str">
        <f aca="false">IF(A45="Capítulo",C45,"")</f>
        <v/>
      </c>
    </row>
    <row r="46" customFormat="false" ht="16.5" hidden="false" customHeight="true" outlineLevel="0" collapsed="false">
      <c r="A46" s="15"/>
      <c r="B46" s="15"/>
      <c r="C46" s="79"/>
      <c r="D46" s="15"/>
      <c r="E46" s="80"/>
      <c r="F46" s="16"/>
      <c r="G46" s="10" t="str">
        <f aca="false">IF($A46&lt;&gt;"Ítem","",E46*F46)</f>
        <v/>
      </c>
      <c r="H46" s="16"/>
      <c r="I46" s="10" t="str">
        <f aca="false">IF($A46&lt;&gt;"Ítem","",N(H46)*IF(p_IVAMat="Sí",1+p_IVA,1))</f>
        <v/>
      </c>
      <c r="J46" s="16"/>
      <c r="K46" s="16"/>
      <c r="L46" s="15"/>
      <c r="M46" s="16"/>
      <c r="N46" s="10" t="str">
        <f aca="false">IF($A46&lt;&gt;"Ítem","",I46+N(J46)+N(K46)+N(M46))</f>
        <v/>
      </c>
      <c r="O46" s="10" t="str">
        <f aca="false">IF($A46&lt;&gt;"Ítem","",E46*I46)</f>
        <v/>
      </c>
      <c r="P46" s="10" t="str">
        <f aca="false">IF($A46&lt;&gt;"Ítem","",E46*N(J46))</f>
        <v/>
      </c>
      <c r="Q46" s="10" t="str">
        <f aca="false">IF($A46&lt;&gt;"Ítem","",E46*N(K46))</f>
        <v/>
      </c>
      <c r="R46" s="10" t="str">
        <f aca="false">IF($A46&lt;&gt;"Ítem","",E46*N(M46))</f>
        <v/>
      </c>
      <c r="S46" s="37" t="str">
        <f aca="false">IF($A46&lt;&gt;"Ítem","",E46*N46)</f>
        <v/>
      </c>
      <c r="T46" s="10" t="str">
        <f aca="false">IF($A46&lt;&gt;"Ítem","",G46-S46)</f>
        <v/>
      </c>
      <c r="U46" s="36" t="str">
        <f aca="false">IF(OR($A46&lt;&gt;"Ítem",N(G46)=0),"",T46/G46)</f>
        <v/>
      </c>
      <c r="V46" s="81" t="str">
        <f aca="false">IF(A46="Capítulo",C46,V45)</f>
        <v/>
      </c>
      <c r="W46" s="0" t="str">
        <f aca="false">IF(A46="Capítulo",C46,"")</f>
        <v/>
      </c>
    </row>
    <row r="47" customFormat="false" ht="16.5" hidden="false" customHeight="true" outlineLevel="0" collapsed="false">
      <c r="A47" s="15"/>
      <c r="B47" s="15"/>
      <c r="C47" s="79"/>
      <c r="D47" s="15"/>
      <c r="E47" s="80"/>
      <c r="F47" s="16"/>
      <c r="G47" s="10" t="str">
        <f aca="false">IF($A47&lt;&gt;"Ítem","",E47*F47)</f>
        <v/>
      </c>
      <c r="H47" s="16"/>
      <c r="I47" s="10" t="str">
        <f aca="false">IF($A47&lt;&gt;"Ítem","",N(H47)*IF(p_IVAMat="Sí",1+p_IVA,1))</f>
        <v/>
      </c>
      <c r="J47" s="16"/>
      <c r="K47" s="16"/>
      <c r="L47" s="15"/>
      <c r="M47" s="16"/>
      <c r="N47" s="10" t="str">
        <f aca="false">IF($A47&lt;&gt;"Ítem","",I47+N(J47)+N(K47)+N(M47))</f>
        <v/>
      </c>
      <c r="O47" s="10" t="str">
        <f aca="false">IF($A47&lt;&gt;"Ítem","",E47*I47)</f>
        <v/>
      </c>
      <c r="P47" s="10" t="str">
        <f aca="false">IF($A47&lt;&gt;"Ítem","",E47*N(J47))</f>
        <v/>
      </c>
      <c r="Q47" s="10" t="str">
        <f aca="false">IF($A47&lt;&gt;"Ítem","",E47*N(K47))</f>
        <v/>
      </c>
      <c r="R47" s="10" t="str">
        <f aca="false">IF($A47&lt;&gt;"Ítem","",E47*N(M47))</f>
        <v/>
      </c>
      <c r="S47" s="37" t="str">
        <f aca="false">IF($A47&lt;&gt;"Ítem","",E47*N47)</f>
        <v/>
      </c>
      <c r="T47" s="10" t="str">
        <f aca="false">IF($A47&lt;&gt;"Ítem","",G47-S47)</f>
        <v/>
      </c>
      <c r="U47" s="36" t="str">
        <f aca="false">IF(OR($A47&lt;&gt;"Ítem",N(G47)=0),"",T47/G47)</f>
        <v/>
      </c>
      <c r="V47" s="81" t="str">
        <f aca="false">IF(A47="Capítulo",C47,V46)</f>
        <v/>
      </c>
      <c r="W47" s="0" t="str">
        <f aca="false">IF(A47="Capítulo",C47,"")</f>
        <v/>
      </c>
    </row>
    <row r="48" customFormat="false" ht="16.5" hidden="false" customHeight="true" outlineLevel="0" collapsed="false">
      <c r="A48" s="15"/>
      <c r="B48" s="15"/>
      <c r="C48" s="79"/>
      <c r="D48" s="15"/>
      <c r="E48" s="80"/>
      <c r="F48" s="16"/>
      <c r="G48" s="10" t="str">
        <f aca="false">IF($A48&lt;&gt;"Ítem","",E48*F48)</f>
        <v/>
      </c>
      <c r="H48" s="16"/>
      <c r="I48" s="10" t="str">
        <f aca="false">IF($A48&lt;&gt;"Ítem","",N(H48)*IF(p_IVAMat="Sí",1+p_IVA,1))</f>
        <v/>
      </c>
      <c r="J48" s="16"/>
      <c r="K48" s="16"/>
      <c r="L48" s="15"/>
      <c r="M48" s="16"/>
      <c r="N48" s="10" t="str">
        <f aca="false">IF($A48&lt;&gt;"Ítem","",I48+N(J48)+N(K48)+N(M48))</f>
        <v/>
      </c>
      <c r="O48" s="10" t="str">
        <f aca="false">IF($A48&lt;&gt;"Ítem","",E48*I48)</f>
        <v/>
      </c>
      <c r="P48" s="10" t="str">
        <f aca="false">IF($A48&lt;&gt;"Ítem","",E48*N(J48))</f>
        <v/>
      </c>
      <c r="Q48" s="10" t="str">
        <f aca="false">IF($A48&lt;&gt;"Ítem","",E48*N(K48))</f>
        <v/>
      </c>
      <c r="R48" s="10" t="str">
        <f aca="false">IF($A48&lt;&gt;"Ítem","",E48*N(M48))</f>
        <v/>
      </c>
      <c r="S48" s="37" t="str">
        <f aca="false">IF($A48&lt;&gt;"Ítem","",E48*N48)</f>
        <v/>
      </c>
      <c r="T48" s="10" t="str">
        <f aca="false">IF($A48&lt;&gt;"Ítem","",G48-S48)</f>
        <v/>
      </c>
      <c r="U48" s="36" t="str">
        <f aca="false">IF(OR($A48&lt;&gt;"Ítem",N(G48)=0),"",T48/G48)</f>
        <v/>
      </c>
      <c r="V48" s="81" t="str">
        <f aca="false">IF(A48="Capítulo",C48,V47)</f>
        <v/>
      </c>
      <c r="W48" s="0" t="str">
        <f aca="false">IF(A48="Capítulo",C48,"")</f>
        <v/>
      </c>
    </row>
    <row r="49" customFormat="false" ht="16.5" hidden="false" customHeight="true" outlineLevel="0" collapsed="false">
      <c r="A49" s="15"/>
      <c r="B49" s="15"/>
      <c r="C49" s="79"/>
      <c r="D49" s="15"/>
      <c r="E49" s="80"/>
      <c r="F49" s="16"/>
      <c r="G49" s="10" t="str">
        <f aca="false">IF($A49&lt;&gt;"Ítem","",E49*F49)</f>
        <v/>
      </c>
      <c r="H49" s="16"/>
      <c r="I49" s="10" t="str">
        <f aca="false">IF($A49&lt;&gt;"Ítem","",N(H49)*IF(p_IVAMat="Sí",1+p_IVA,1))</f>
        <v/>
      </c>
      <c r="J49" s="16"/>
      <c r="K49" s="16"/>
      <c r="L49" s="15"/>
      <c r="M49" s="16"/>
      <c r="N49" s="10" t="str">
        <f aca="false">IF($A49&lt;&gt;"Ítem","",I49+N(J49)+N(K49)+N(M49))</f>
        <v/>
      </c>
      <c r="O49" s="10" t="str">
        <f aca="false">IF($A49&lt;&gt;"Ítem","",E49*I49)</f>
        <v/>
      </c>
      <c r="P49" s="10" t="str">
        <f aca="false">IF($A49&lt;&gt;"Ítem","",E49*N(J49))</f>
        <v/>
      </c>
      <c r="Q49" s="10" t="str">
        <f aca="false">IF($A49&lt;&gt;"Ítem","",E49*N(K49))</f>
        <v/>
      </c>
      <c r="R49" s="10" t="str">
        <f aca="false">IF($A49&lt;&gt;"Ítem","",E49*N(M49))</f>
        <v/>
      </c>
      <c r="S49" s="37" t="str">
        <f aca="false">IF($A49&lt;&gt;"Ítem","",E49*N49)</f>
        <v/>
      </c>
      <c r="T49" s="10" t="str">
        <f aca="false">IF($A49&lt;&gt;"Ítem","",G49-S49)</f>
        <v/>
      </c>
      <c r="U49" s="36" t="str">
        <f aca="false">IF(OR($A49&lt;&gt;"Ítem",N(G49)=0),"",T49/G49)</f>
        <v/>
      </c>
      <c r="V49" s="81" t="str">
        <f aca="false">IF(A49="Capítulo",C49,V48)</f>
        <v/>
      </c>
      <c r="W49" s="0" t="str">
        <f aca="false">IF(A49="Capítulo",C49,"")</f>
        <v/>
      </c>
    </row>
    <row r="50" customFormat="false" ht="16.5" hidden="false" customHeight="true" outlineLevel="0" collapsed="false">
      <c r="A50" s="15"/>
      <c r="B50" s="15"/>
      <c r="C50" s="79"/>
      <c r="D50" s="15"/>
      <c r="E50" s="80"/>
      <c r="F50" s="16"/>
      <c r="G50" s="10" t="str">
        <f aca="false">IF($A50&lt;&gt;"Ítem","",E50*F50)</f>
        <v/>
      </c>
      <c r="H50" s="16"/>
      <c r="I50" s="10" t="str">
        <f aca="false">IF($A50&lt;&gt;"Ítem","",N(H50)*IF(p_IVAMat="Sí",1+p_IVA,1))</f>
        <v/>
      </c>
      <c r="J50" s="16"/>
      <c r="K50" s="16"/>
      <c r="L50" s="15"/>
      <c r="M50" s="16"/>
      <c r="N50" s="10" t="str">
        <f aca="false">IF($A50&lt;&gt;"Ítem","",I50+N(J50)+N(K50)+N(M50))</f>
        <v/>
      </c>
      <c r="O50" s="10" t="str">
        <f aca="false">IF($A50&lt;&gt;"Ítem","",E50*I50)</f>
        <v/>
      </c>
      <c r="P50" s="10" t="str">
        <f aca="false">IF($A50&lt;&gt;"Ítem","",E50*N(J50))</f>
        <v/>
      </c>
      <c r="Q50" s="10" t="str">
        <f aca="false">IF($A50&lt;&gt;"Ítem","",E50*N(K50))</f>
        <v/>
      </c>
      <c r="R50" s="10" t="str">
        <f aca="false">IF($A50&lt;&gt;"Ítem","",E50*N(M50))</f>
        <v/>
      </c>
      <c r="S50" s="37" t="str">
        <f aca="false">IF($A50&lt;&gt;"Ítem","",E50*N50)</f>
        <v/>
      </c>
      <c r="T50" s="10" t="str">
        <f aca="false">IF($A50&lt;&gt;"Ítem","",G50-S50)</f>
        <v/>
      </c>
      <c r="U50" s="36" t="str">
        <f aca="false">IF(OR($A50&lt;&gt;"Ítem",N(G50)=0),"",T50/G50)</f>
        <v/>
      </c>
      <c r="V50" s="81" t="str">
        <f aca="false">IF(A50="Capítulo",C50,V49)</f>
        <v/>
      </c>
      <c r="W50" s="0" t="str">
        <f aca="false">IF(A50="Capítulo",C50,"")</f>
        <v/>
      </c>
    </row>
    <row r="51" customFormat="false" ht="16.5" hidden="false" customHeight="true" outlineLevel="0" collapsed="false">
      <c r="A51" s="15"/>
      <c r="B51" s="15"/>
      <c r="C51" s="79"/>
      <c r="D51" s="15"/>
      <c r="E51" s="80"/>
      <c r="F51" s="16"/>
      <c r="G51" s="10" t="str">
        <f aca="false">IF($A51&lt;&gt;"Ítem","",E51*F51)</f>
        <v/>
      </c>
      <c r="H51" s="16"/>
      <c r="I51" s="10" t="str">
        <f aca="false">IF($A51&lt;&gt;"Ítem","",N(H51)*IF(p_IVAMat="Sí",1+p_IVA,1))</f>
        <v/>
      </c>
      <c r="J51" s="16"/>
      <c r="K51" s="16"/>
      <c r="L51" s="15"/>
      <c r="M51" s="16"/>
      <c r="N51" s="10" t="str">
        <f aca="false">IF($A51&lt;&gt;"Ítem","",I51+N(J51)+N(K51)+N(M51))</f>
        <v/>
      </c>
      <c r="O51" s="10" t="str">
        <f aca="false">IF($A51&lt;&gt;"Ítem","",E51*I51)</f>
        <v/>
      </c>
      <c r="P51" s="10" t="str">
        <f aca="false">IF($A51&lt;&gt;"Ítem","",E51*N(J51))</f>
        <v/>
      </c>
      <c r="Q51" s="10" t="str">
        <f aca="false">IF($A51&lt;&gt;"Ítem","",E51*N(K51))</f>
        <v/>
      </c>
      <c r="R51" s="10" t="str">
        <f aca="false">IF($A51&lt;&gt;"Ítem","",E51*N(M51))</f>
        <v/>
      </c>
      <c r="S51" s="37" t="str">
        <f aca="false">IF($A51&lt;&gt;"Ítem","",E51*N51)</f>
        <v/>
      </c>
      <c r="T51" s="10" t="str">
        <f aca="false">IF($A51&lt;&gt;"Ítem","",G51-S51)</f>
        <v/>
      </c>
      <c r="U51" s="36" t="str">
        <f aca="false">IF(OR($A51&lt;&gt;"Ítem",N(G51)=0),"",T51/G51)</f>
        <v/>
      </c>
      <c r="V51" s="81" t="str">
        <f aca="false">IF(A51="Capítulo",C51,V50)</f>
        <v/>
      </c>
      <c r="W51" s="0" t="str">
        <f aca="false">IF(A51="Capítulo",C51,"")</f>
        <v/>
      </c>
    </row>
    <row r="52" customFormat="false" ht="16.5" hidden="false" customHeight="true" outlineLevel="0" collapsed="false">
      <c r="A52" s="15"/>
      <c r="B52" s="15"/>
      <c r="C52" s="79"/>
      <c r="D52" s="15"/>
      <c r="E52" s="80"/>
      <c r="F52" s="16"/>
      <c r="G52" s="10" t="str">
        <f aca="false">IF($A52&lt;&gt;"Ítem","",E52*F52)</f>
        <v/>
      </c>
      <c r="H52" s="16"/>
      <c r="I52" s="10" t="str">
        <f aca="false">IF($A52&lt;&gt;"Ítem","",N(H52)*IF(p_IVAMat="Sí",1+p_IVA,1))</f>
        <v/>
      </c>
      <c r="J52" s="16"/>
      <c r="K52" s="16"/>
      <c r="L52" s="15"/>
      <c r="M52" s="16"/>
      <c r="N52" s="10" t="str">
        <f aca="false">IF($A52&lt;&gt;"Ítem","",I52+N(J52)+N(K52)+N(M52))</f>
        <v/>
      </c>
      <c r="O52" s="10" t="str">
        <f aca="false">IF($A52&lt;&gt;"Ítem","",E52*I52)</f>
        <v/>
      </c>
      <c r="P52" s="10" t="str">
        <f aca="false">IF($A52&lt;&gt;"Ítem","",E52*N(J52))</f>
        <v/>
      </c>
      <c r="Q52" s="10" t="str">
        <f aca="false">IF($A52&lt;&gt;"Ítem","",E52*N(K52))</f>
        <v/>
      </c>
      <c r="R52" s="10" t="str">
        <f aca="false">IF($A52&lt;&gt;"Ítem","",E52*N(M52))</f>
        <v/>
      </c>
      <c r="S52" s="37" t="str">
        <f aca="false">IF($A52&lt;&gt;"Ítem","",E52*N52)</f>
        <v/>
      </c>
      <c r="T52" s="10" t="str">
        <f aca="false">IF($A52&lt;&gt;"Ítem","",G52-S52)</f>
        <v/>
      </c>
      <c r="U52" s="36" t="str">
        <f aca="false">IF(OR($A52&lt;&gt;"Ítem",N(G52)=0),"",T52/G52)</f>
        <v/>
      </c>
      <c r="V52" s="81" t="str">
        <f aca="false">IF(A52="Capítulo",C52,V51)</f>
        <v/>
      </c>
      <c r="W52" s="0" t="str">
        <f aca="false">IF(A52="Capítulo",C52,"")</f>
        <v/>
      </c>
    </row>
    <row r="53" customFormat="false" ht="16.5" hidden="false" customHeight="true" outlineLevel="0" collapsed="false">
      <c r="A53" s="15"/>
      <c r="B53" s="15"/>
      <c r="C53" s="79"/>
      <c r="D53" s="15"/>
      <c r="E53" s="80"/>
      <c r="F53" s="16"/>
      <c r="G53" s="10" t="str">
        <f aca="false">IF($A53&lt;&gt;"Ítem","",E53*F53)</f>
        <v/>
      </c>
      <c r="H53" s="16"/>
      <c r="I53" s="10" t="str">
        <f aca="false">IF($A53&lt;&gt;"Ítem","",N(H53)*IF(p_IVAMat="Sí",1+p_IVA,1))</f>
        <v/>
      </c>
      <c r="J53" s="16"/>
      <c r="K53" s="16"/>
      <c r="L53" s="15"/>
      <c r="M53" s="16"/>
      <c r="N53" s="10" t="str">
        <f aca="false">IF($A53&lt;&gt;"Ítem","",I53+N(J53)+N(K53)+N(M53))</f>
        <v/>
      </c>
      <c r="O53" s="10" t="str">
        <f aca="false">IF($A53&lt;&gt;"Ítem","",E53*I53)</f>
        <v/>
      </c>
      <c r="P53" s="10" t="str">
        <f aca="false">IF($A53&lt;&gt;"Ítem","",E53*N(J53))</f>
        <v/>
      </c>
      <c r="Q53" s="10" t="str">
        <f aca="false">IF($A53&lt;&gt;"Ítem","",E53*N(K53))</f>
        <v/>
      </c>
      <c r="R53" s="10" t="str">
        <f aca="false">IF($A53&lt;&gt;"Ítem","",E53*N(M53))</f>
        <v/>
      </c>
      <c r="S53" s="37" t="str">
        <f aca="false">IF($A53&lt;&gt;"Ítem","",E53*N53)</f>
        <v/>
      </c>
      <c r="T53" s="10" t="str">
        <f aca="false">IF($A53&lt;&gt;"Ítem","",G53-S53)</f>
        <v/>
      </c>
      <c r="U53" s="36" t="str">
        <f aca="false">IF(OR($A53&lt;&gt;"Ítem",N(G53)=0),"",T53/G53)</f>
        <v/>
      </c>
      <c r="V53" s="81" t="str">
        <f aca="false">IF(A53="Capítulo",C53,V52)</f>
        <v/>
      </c>
      <c r="W53" s="0" t="str">
        <f aca="false">IF(A53="Capítulo",C53,"")</f>
        <v/>
      </c>
    </row>
    <row r="54" customFormat="false" ht="16.5" hidden="false" customHeight="true" outlineLevel="0" collapsed="false">
      <c r="A54" s="15"/>
      <c r="B54" s="15"/>
      <c r="C54" s="79"/>
      <c r="D54" s="15"/>
      <c r="E54" s="80"/>
      <c r="F54" s="16"/>
      <c r="G54" s="10" t="str">
        <f aca="false">IF($A54&lt;&gt;"Ítem","",E54*F54)</f>
        <v/>
      </c>
      <c r="H54" s="16"/>
      <c r="I54" s="10" t="str">
        <f aca="false">IF($A54&lt;&gt;"Ítem","",N(H54)*IF(p_IVAMat="Sí",1+p_IVA,1))</f>
        <v/>
      </c>
      <c r="J54" s="16"/>
      <c r="K54" s="16"/>
      <c r="L54" s="15"/>
      <c r="M54" s="16"/>
      <c r="N54" s="10" t="str">
        <f aca="false">IF($A54&lt;&gt;"Ítem","",I54+N(J54)+N(K54)+N(M54))</f>
        <v/>
      </c>
      <c r="O54" s="10" t="str">
        <f aca="false">IF($A54&lt;&gt;"Ítem","",E54*I54)</f>
        <v/>
      </c>
      <c r="P54" s="10" t="str">
        <f aca="false">IF($A54&lt;&gt;"Ítem","",E54*N(J54))</f>
        <v/>
      </c>
      <c r="Q54" s="10" t="str">
        <f aca="false">IF($A54&lt;&gt;"Ítem","",E54*N(K54))</f>
        <v/>
      </c>
      <c r="R54" s="10" t="str">
        <f aca="false">IF($A54&lt;&gt;"Ítem","",E54*N(M54))</f>
        <v/>
      </c>
      <c r="S54" s="37" t="str">
        <f aca="false">IF($A54&lt;&gt;"Ítem","",E54*N54)</f>
        <v/>
      </c>
      <c r="T54" s="10" t="str">
        <f aca="false">IF($A54&lt;&gt;"Ítem","",G54-S54)</f>
        <v/>
      </c>
      <c r="U54" s="36" t="str">
        <f aca="false">IF(OR($A54&lt;&gt;"Ítem",N(G54)=0),"",T54/G54)</f>
        <v/>
      </c>
      <c r="V54" s="81" t="str">
        <f aca="false">IF(A54="Capítulo",C54,V53)</f>
        <v/>
      </c>
      <c r="W54" s="0" t="str">
        <f aca="false">IF(A54="Capítulo",C54,"")</f>
        <v/>
      </c>
    </row>
    <row r="55" customFormat="false" ht="16.5" hidden="false" customHeight="true" outlineLevel="0" collapsed="false">
      <c r="A55" s="15"/>
      <c r="B55" s="15"/>
      <c r="C55" s="79"/>
      <c r="D55" s="15"/>
      <c r="E55" s="80"/>
      <c r="F55" s="16"/>
      <c r="G55" s="10" t="str">
        <f aca="false">IF($A55&lt;&gt;"Ítem","",E55*F55)</f>
        <v/>
      </c>
      <c r="H55" s="16"/>
      <c r="I55" s="10" t="str">
        <f aca="false">IF($A55&lt;&gt;"Ítem","",N(H55)*IF(p_IVAMat="Sí",1+p_IVA,1))</f>
        <v/>
      </c>
      <c r="J55" s="16"/>
      <c r="K55" s="16"/>
      <c r="L55" s="15"/>
      <c r="M55" s="16"/>
      <c r="N55" s="10" t="str">
        <f aca="false">IF($A55&lt;&gt;"Ítem","",I55+N(J55)+N(K55)+N(M55))</f>
        <v/>
      </c>
      <c r="O55" s="10" t="str">
        <f aca="false">IF($A55&lt;&gt;"Ítem","",E55*I55)</f>
        <v/>
      </c>
      <c r="P55" s="10" t="str">
        <f aca="false">IF($A55&lt;&gt;"Ítem","",E55*N(J55))</f>
        <v/>
      </c>
      <c r="Q55" s="10" t="str">
        <f aca="false">IF($A55&lt;&gt;"Ítem","",E55*N(K55))</f>
        <v/>
      </c>
      <c r="R55" s="10" t="str">
        <f aca="false">IF($A55&lt;&gt;"Ítem","",E55*N(M55))</f>
        <v/>
      </c>
      <c r="S55" s="37" t="str">
        <f aca="false">IF($A55&lt;&gt;"Ítem","",E55*N55)</f>
        <v/>
      </c>
      <c r="T55" s="10" t="str">
        <f aca="false">IF($A55&lt;&gt;"Ítem","",G55-S55)</f>
        <v/>
      </c>
      <c r="U55" s="36" t="str">
        <f aca="false">IF(OR($A55&lt;&gt;"Ítem",N(G55)=0),"",T55/G55)</f>
        <v/>
      </c>
      <c r="V55" s="81" t="str">
        <f aca="false">IF(A55="Capítulo",C55,V54)</f>
        <v/>
      </c>
      <c r="W55" s="0" t="str">
        <f aca="false">IF(A55="Capítulo",C55,"")</f>
        <v/>
      </c>
    </row>
    <row r="56" customFormat="false" ht="16.5" hidden="false" customHeight="true" outlineLevel="0" collapsed="false">
      <c r="A56" s="15"/>
      <c r="B56" s="15"/>
      <c r="C56" s="79"/>
      <c r="D56" s="15"/>
      <c r="E56" s="80"/>
      <c r="F56" s="16"/>
      <c r="G56" s="10" t="str">
        <f aca="false">IF($A56&lt;&gt;"Ítem","",E56*F56)</f>
        <v/>
      </c>
      <c r="H56" s="16"/>
      <c r="I56" s="10" t="str">
        <f aca="false">IF($A56&lt;&gt;"Ítem","",N(H56)*IF(p_IVAMat="Sí",1+p_IVA,1))</f>
        <v/>
      </c>
      <c r="J56" s="16"/>
      <c r="K56" s="16"/>
      <c r="L56" s="15"/>
      <c r="M56" s="16"/>
      <c r="N56" s="10" t="str">
        <f aca="false">IF($A56&lt;&gt;"Ítem","",I56+N(J56)+N(K56)+N(M56))</f>
        <v/>
      </c>
      <c r="O56" s="10" t="str">
        <f aca="false">IF($A56&lt;&gt;"Ítem","",E56*I56)</f>
        <v/>
      </c>
      <c r="P56" s="10" t="str">
        <f aca="false">IF($A56&lt;&gt;"Ítem","",E56*N(J56))</f>
        <v/>
      </c>
      <c r="Q56" s="10" t="str">
        <f aca="false">IF($A56&lt;&gt;"Ítem","",E56*N(K56))</f>
        <v/>
      </c>
      <c r="R56" s="10" t="str">
        <f aca="false">IF($A56&lt;&gt;"Ítem","",E56*N(M56))</f>
        <v/>
      </c>
      <c r="S56" s="37" t="str">
        <f aca="false">IF($A56&lt;&gt;"Ítem","",E56*N56)</f>
        <v/>
      </c>
      <c r="T56" s="10" t="str">
        <f aca="false">IF($A56&lt;&gt;"Ítem","",G56-S56)</f>
        <v/>
      </c>
      <c r="U56" s="36" t="str">
        <f aca="false">IF(OR($A56&lt;&gt;"Ítem",N(G56)=0),"",T56/G56)</f>
        <v/>
      </c>
      <c r="V56" s="81" t="str">
        <f aca="false">IF(A56="Capítulo",C56,V55)</f>
        <v/>
      </c>
      <c r="W56" s="0" t="str">
        <f aca="false">IF(A56="Capítulo",C56,"")</f>
        <v/>
      </c>
    </row>
    <row r="57" customFormat="false" ht="16.5" hidden="false" customHeight="true" outlineLevel="0" collapsed="false">
      <c r="A57" s="15"/>
      <c r="B57" s="15"/>
      <c r="C57" s="79"/>
      <c r="D57" s="15"/>
      <c r="E57" s="80"/>
      <c r="F57" s="16"/>
      <c r="G57" s="10" t="str">
        <f aca="false">IF($A57&lt;&gt;"Ítem","",E57*F57)</f>
        <v/>
      </c>
      <c r="H57" s="16"/>
      <c r="I57" s="10" t="str">
        <f aca="false">IF($A57&lt;&gt;"Ítem","",N(H57)*IF(p_IVAMat="Sí",1+p_IVA,1))</f>
        <v/>
      </c>
      <c r="J57" s="16"/>
      <c r="K57" s="16"/>
      <c r="L57" s="15"/>
      <c r="M57" s="16"/>
      <c r="N57" s="10" t="str">
        <f aca="false">IF($A57&lt;&gt;"Ítem","",I57+N(J57)+N(K57)+N(M57))</f>
        <v/>
      </c>
      <c r="O57" s="10" t="str">
        <f aca="false">IF($A57&lt;&gt;"Ítem","",E57*I57)</f>
        <v/>
      </c>
      <c r="P57" s="10" t="str">
        <f aca="false">IF($A57&lt;&gt;"Ítem","",E57*N(J57))</f>
        <v/>
      </c>
      <c r="Q57" s="10" t="str">
        <f aca="false">IF($A57&lt;&gt;"Ítem","",E57*N(K57))</f>
        <v/>
      </c>
      <c r="R57" s="10" t="str">
        <f aca="false">IF($A57&lt;&gt;"Ítem","",E57*N(M57))</f>
        <v/>
      </c>
      <c r="S57" s="37" t="str">
        <f aca="false">IF($A57&lt;&gt;"Ítem","",E57*N57)</f>
        <v/>
      </c>
      <c r="T57" s="10" t="str">
        <f aca="false">IF($A57&lt;&gt;"Ítem","",G57-S57)</f>
        <v/>
      </c>
      <c r="U57" s="36" t="str">
        <f aca="false">IF(OR($A57&lt;&gt;"Ítem",N(G57)=0),"",T57/G57)</f>
        <v/>
      </c>
      <c r="V57" s="81" t="str">
        <f aca="false">IF(A57="Capítulo",C57,V56)</f>
        <v/>
      </c>
      <c r="W57" s="0" t="str">
        <f aca="false">IF(A57="Capítulo",C57,"")</f>
        <v/>
      </c>
    </row>
    <row r="58" customFormat="false" ht="16.5" hidden="false" customHeight="true" outlineLevel="0" collapsed="false">
      <c r="A58" s="15"/>
      <c r="B58" s="15"/>
      <c r="C58" s="79"/>
      <c r="D58" s="15"/>
      <c r="E58" s="80"/>
      <c r="F58" s="16"/>
      <c r="G58" s="10" t="str">
        <f aca="false">IF($A58&lt;&gt;"Ítem","",E58*F58)</f>
        <v/>
      </c>
      <c r="H58" s="16"/>
      <c r="I58" s="10" t="str">
        <f aca="false">IF($A58&lt;&gt;"Ítem","",N(H58)*IF(p_IVAMat="Sí",1+p_IVA,1))</f>
        <v/>
      </c>
      <c r="J58" s="16"/>
      <c r="K58" s="16"/>
      <c r="L58" s="15"/>
      <c r="M58" s="16"/>
      <c r="N58" s="10" t="str">
        <f aca="false">IF($A58&lt;&gt;"Ítem","",I58+N(J58)+N(K58)+N(M58))</f>
        <v/>
      </c>
      <c r="O58" s="10" t="str">
        <f aca="false">IF($A58&lt;&gt;"Ítem","",E58*I58)</f>
        <v/>
      </c>
      <c r="P58" s="10" t="str">
        <f aca="false">IF($A58&lt;&gt;"Ítem","",E58*N(J58))</f>
        <v/>
      </c>
      <c r="Q58" s="10" t="str">
        <f aca="false">IF($A58&lt;&gt;"Ítem","",E58*N(K58))</f>
        <v/>
      </c>
      <c r="R58" s="10" t="str">
        <f aca="false">IF($A58&lt;&gt;"Ítem","",E58*N(M58))</f>
        <v/>
      </c>
      <c r="S58" s="37" t="str">
        <f aca="false">IF($A58&lt;&gt;"Ítem","",E58*N58)</f>
        <v/>
      </c>
      <c r="T58" s="10" t="str">
        <f aca="false">IF($A58&lt;&gt;"Ítem","",G58-S58)</f>
        <v/>
      </c>
      <c r="U58" s="36" t="str">
        <f aca="false">IF(OR($A58&lt;&gt;"Ítem",N(G58)=0),"",T58/G58)</f>
        <v/>
      </c>
      <c r="V58" s="81" t="str">
        <f aca="false">IF(A58="Capítulo",C58,V57)</f>
        <v/>
      </c>
      <c r="W58" s="0" t="str">
        <f aca="false">IF(A58="Capítulo",C58,"")</f>
        <v/>
      </c>
    </row>
    <row r="59" customFormat="false" ht="16.5" hidden="false" customHeight="true" outlineLevel="0" collapsed="false">
      <c r="A59" s="15"/>
      <c r="B59" s="15"/>
      <c r="C59" s="79"/>
      <c r="D59" s="15"/>
      <c r="E59" s="80"/>
      <c r="F59" s="16"/>
      <c r="G59" s="10" t="str">
        <f aca="false">IF($A59&lt;&gt;"Ítem","",E59*F59)</f>
        <v/>
      </c>
      <c r="H59" s="16"/>
      <c r="I59" s="10" t="str">
        <f aca="false">IF($A59&lt;&gt;"Ítem","",N(H59)*IF(p_IVAMat="Sí",1+p_IVA,1))</f>
        <v/>
      </c>
      <c r="J59" s="16"/>
      <c r="K59" s="16"/>
      <c r="L59" s="15"/>
      <c r="M59" s="16"/>
      <c r="N59" s="10" t="str">
        <f aca="false">IF($A59&lt;&gt;"Ítem","",I59+N(J59)+N(K59)+N(M59))</f>
        <v/>
      </c>
      <c r="O59" s="10" t="str">
        <f aca="false">IF($A59&lt;&gt;"Ítem","",E59*I59)</f>
        <v/>
      </c>
      <c r="P59" s="10" t="str">
        <f aca="false">IF($A59&lt;&gt;"Ítem","",E59*N(J59))</f>
        <v/>
      </c>
      <c r="Q59" s="10" t="str">
        <f aca="false">IF($A59&lt;&gt;"Ítem","",E59*N(K59))</f>
        <v/>
      </c>
      <c r="R59" s="10" t="str">
        <f aca="false">IF($A59&lt;&gt;"Ítem","",E59*N(M59))</f>
        <v/>
      </c>
      <c r="S59" s="37" t="str">
        <f aca="false">IF($A59&lt;&gt;"Ítem","",E59*N59)</f>
        <v/>
      </c>
      <c r="T59" s="10" t="str">
        <f aca="false">IF($A59&lt;&gt;"Ítem","",G59-S59)</f>
        <v/>
      </c>
      <c r="U59" s="36" t="str">
        <f aca="false">IF(OR($A59&lt;&gt;"Ítem",N(G59)=0),"",T59/G59)</f>
        <v/>
      </c>
      <c r="V59" s="81" t="str">
        <f aca="false">IF(A59="Capítulo",C59,V58)</f>
        <v/>
      </c>
      <c r="W59" s="0" t="str">
        <f aca="false">IF(A59="Capítulo",C59,"")</f>
        <v/>
      </c>
    </row>
    <row r="60" customFormat="false" ht="16.5" hidden="false" customHeight="true" outlineLevel="0" collapsed="false">
      <c r="A60" s="15"/>
      <c r="B60" s="15"/>
      <c r="C60" s="79"/>
      <c r="D60" s="15"/>
      <c r="E60" s="80"/>
      <c r="F60" s="16"/>
      <c r="G60" s="10" t="str">
        <f aca="false">IF($A60&lt;&gt;"Ítem","",E60*F60)</f>
        <v/>
      </c>
      <c r="H60" s="16"/>
      <c r="I60" s="10" t="str">
        <f aca="false">IF($A60&lt;&gt;"Ítem","",N(H60)*IF(p_IVAMat="Sí",1+p_IVA,1))</f>
        <v/>
      </c>
      <c r="J60" s="16"/>
      <c r="K60" s="16"/>
      <c r="L60" s="15"/>
      <c r="M60" s="16"/>
      <c r="N60" s="10" t="str">
        <f aca="false">IF($A60&lt;&gt;"Ítem","",I60+N(J60)+N(K60)+N(M60))</f>
        <v/>
      </c>
      <c r="O60" s="10" t="str">
        <f aca="false">IF($A60&lt;&gt;"Ítem","",E60*I60)</f>
        <v/>
      </c>
      <c r="P60" s="10" t="str">
        <f aca="false">IF($A60&lt;&gt;"Ítem","",E60*N(J60))</f>
        <v/>
      </c>
      <c r="Q60" s="10" t="str">
        <f aca="false">IF($A60&lt;&gt;"Ítem","",E60*N(K60))</f>
        <v/>
      </c>
      <c r="R60" s="10" t="str">
        <f aca="false">IF($A60&lt;&gt;"Ítem","",E60*N(M60))</f>
        <v/>
      </c>
      <c r="S60" s="37" t="str">
        <f aca="false">IF($A60&lt;&gt;"Ítem","",E60*N60)</f>
        <v/>
      </c>
      <c r="T60" s="10" t="str">
        <f aca="false">IF($A60&lt;&gt;"Ítem","",G60-S60)</f>
        <v/>
      </c>
      <c r="U60" s="36" t="str">
        <f aca="false">IF(OR($A60&lt;&gt;"Ítem",N(G60)=0),"",T60/G60)</f>
        <v/>
      </c>
      <c r="V60" s="81" t="str">
        <f aca="false">IF(A60="Capítulo",C60,V59)</f>
        <v/>
      </c>
      <c r="W60" s="0" t="str">
        <f aca="false">IF(A60="Capítulo",C60,"")</f>
        <v/>
      </c>
    </row>
    <row r="61" customFormat="false" ht="16.5" hidden="false" customHeight="true" outlineLevel="0" collapsed="false">
      <c r="A61" s="15"/>
      <c r="B61" s="15"/>
      <c r="C61" s="79"/>
      <c r="D61" s="15"/>
      <c r="E61" s="80"/>
      <c r="F61" s="16"/>
      <c r="G61" s="10" t="str">
        <f aca="false">IF($A61&lt;&gt;"Ítem","",E61*F61)</f>
        <v/>
      </c>
      <c r="H61" s="16"/>
      <c r="I61" s="10" t="str">
        <f aca="false">IF($A61&lt;&gt;"Ítem","",N(H61)*IF(p_IVAMat="Sí",1+p_IVA,1))</f>
        <v/>
      </c>
      <c r="J61" s="16"/>
      <c r="K61" s="16"/>
      <c r="L61" s="15"/>
      <c r="M61" s="16"/>
      <c r="N61" s="10" t="str">
        <f aca="false">IF($A61&lt;&gt;"Ítem","",I61+N(J61)+N(K61)+N(M61))</f>
        <v/>
      </c>
      <c r="O61" s="10" t="str">
        <f aca="false">IF($A61&lt;&gt;"Ítem","",E61*I61)</f>
        <v/>
      </c>
      <c r="P61" s="10" t="str">
        <f aca="false">IF($A61&lt;&gt;"Ítem","",E61*N(J61))</f>
        <v/>
      </c>
      <c r="Q61" s="10" t="str">
        <f aca="false">IF($A61&lt;&gt;"Ítem","",E61*N(K61))</f>
        <v/>
      </c>
      <c r="R61" s="10" t="str">
        <f aca="false">IF($A61&lt;&gt;"Ítem","",E61*N(M61))</f>
        <v/>
      </c>
      <c r="S61" s="37" t="str">
        <f aca="false">IF($A61&lt;&gt;"Ítem","",E61*N61)</f>
        <v/>
      </c>
      <c r="T61" s="10" t="str">
        <f aca="false">IF($A61&lt;&gt;"Ítem","",G61-S61)</f>
        <v/>
      </c>
      <c r="U61" s="36" t="str">
        <f aca="false">IF(OR($A61&lt;&gt;"Ítem",N(G61)=0),"",T61/G61)</f>
        <v/>
      </c>
      <c r="V61" s="81" t="str">
        <f aca="false">IF(A61="Capítulo",C61,V60)</f>
        <v/>
      </c>
      <c r="W61" s="0" t="str">
        <f aca="false">IF(A61="Capítulo",C61,"")</f>
        <v/>
      </c>
    </row>
    <row r="62" customFormat="false" ht="16.5" hidden="false" customHeight="true" outlineLevel="0" collapsed="false">
      <c r="A62" s="15"/>
      <c r="B62" s="15"/>
      <c r="C62" s="79"/>
      <c r="D62" s="15"/>
      <c r="E62" s="80"/>
      <c r="F62" s="16"/>
      <c r="G62" s="10" t="str">
        <f aca="false">IF($A62&lt;&gt;"Ítem","",E62*F62)</f>
        <v/>
      </c>
      <c r="H62" s="16"/>
      <c r="I62" s="10" t="str">
        <f aca="false">IF($A62&lt;&gt;"Ítem","",N(H62)*IF(p_IVAMat="Sí",1+p_IVA,1))</f>
        <v/>
      </c>
      <c r="J62" s="16"/>
      <c r="K62" s="16"/>
      <c r="L62" s="15"/>
      <c r="M62" s="16"/>
      <c r="N62" s="10" t="str">
        <f aca="false">IF($A62&lt;&gt;"Ítem","",I62+N(J62)+N(K62)+N(M62))</f>
        <v/>
      </c>
      <c r="O62" s="10" t="str">
        <f aca="false">IF($A62&lt;&gt;"Ítem","",E62*I62)</f>
        <v/>
      </c>
      <c r="P62" s="10" t="str">
        <f aca="false">IF($A62&lt;&gt;"Ítem","",E62*N(J62))</f>
        <v/>
      </c>
      <c r="Q62" s="10" t="str">
        <f aca="false">IF($A62&lt;&gt;"Ítem","",E62*N(K62))</f>
        <v/>
      </c>
      <c r="R62" s="10" t="str">
        <f aca="false">IF($A62&lt;&gt;"Ítem","",E62*N(M62))</f>
        <v/>
      </c>
      <c r="S62" s="37" t="str">
        <f aca="false">IF($A62&lt;&gt;"Ítem","",E62*N62)</f>
        <v/>
      </c>
      <c r="T62" s="10" t="str">
        <f aca="false">IF($A62&lt;&gt;"Ítem","",G62-S62)</f>
        <v/>
      </c>
      <c r="U62" s="36" t="str">
        <f aca="false">IF(OR($A62&lt;&gt;"Ítem",N(G62)=0),"",T62/G62)</f>
        <v/>
      </c>
      <c r="V62" s="81" t="str">
        <f aca="false">IF(A62="Capítulo",C62,V61)</f>
        <v/>
      </c>
      <c r="W62" s="0" t="str">
        <f aca="false">IF(A62="Capítulo",C62,"")</f>
        <v/>
      </c>
    </row>
    <row r="63" customFormat="false" ht="16.5" hidden="false" customHeight="true" outlineLevel="0" collapsed="false">
      <c r="A63" s="15"/>
      <c r="B63" s="15"/>
      <c r="C63" s="79"/>
      <c r="D63" s="15"/>
      <c r="E63" s="80"/>
      <c r="F63" s="16"/>
      <c r="G63" s="10" t="str">
        <f aca="false">IF($A63&lt;&gt;"Ítem","",E63*F63)</f>
        <v/>
      </c>
      <c r="H63" s="16"/>
      <c r="I63" s="10" t="str">
        <f aca="false">IF($A63&lt;&gt;"Ítem","",N(H63)*IF(p_IVAMat="Sí",1+p_IVA,1))</f>
        <v/>
      </c>
      <c r="J63" s="16"/>
      <c r="K63" s="16"/>
      <c r="L63" s="15"/>
      <c r="M63" s="16"/>
      <c r="N63" s="10" t="str">
        <f aca="false">IF($A63&lt;&gt;"Ítem","",I63+N(J63)+N(K63)+N(M63))</f>
        <v/>
      </c>
      <c r="O63" s="10" t="str">
        <f aca="false">IF($A63&lt;&gt;"Ítem","",E63*I63)</f>
        <v/>
      </c>
      <c r="P63" s="10" t="str">
        <f aca="false">IF($A63&lt;&gt;"Ítem","",E63*N(J63))</f>
        <v/>
      </c>
      <c r="Q63" s="10" t="str">
        <f aca="false">IF($A63&lt;&gt;"Ítem","",E63*N(K63))</f>
        <v/>
      </c>
      <c r="R63" s="10" t="str">
        <f aca="false">IF($A63&lt;&gt;"Ítem","",E63*N(M63))</f>
        <v/>
      </c>
      <c r="S63" s="37" t="str">
        <f aca="false">IF($A63&lt;&gt;"Ítem","",E63*N63)</f>
        <v/>
      </c>
      <c r="T63" s="10" t="str">
        <f aca="false">IF($A63&lt;&gt;"Ítem","",G63-S63)</f>
        <v/>
      </c>
      <c r="U63" s="36" t="str">
        <f aca="false">IF(OR($A63&lt;&gt;"Ítem",N(G63)=0),"",T63/G63)</f>
        <v/>
      </c>
      <c r="V63" s="81" t="str">
        <f aca="false">IF(A63="Capítulo",C63,V62)</f>
        <v/>
      </c>
      <c r="W63" s="0" t="str">
        <f aca="false">IF(A63="Capítulo",C63,"")</f>
        <v/>
      </c>
    </row>
    <row r="64" customFormat="false" ht="16.5" hidden="false" customHeight="true" outlineLevel="0" collapsed="false">
      <c r="A64" s="15"/>
      <c r="B64" s="15"/>
      <c r="C64" s="79"/>
      <c r="D64" s="15"/>
      <c r="E64" s="80"/>
      <c r="F64" s="16"/>
      <c r="G64" s="10" t="str">
        <f aca="false">IF($A64&lt;&gt;"Ítem","",E64*F64)</f>
        <v/>
      </c>
      <c r="H64" s="16"/>
      <c r="I64" s="10" t="str">
        <f aca="false">IF($A64&lt;&gt;"Ítem","",N(H64)*IF(p_IVAMat="Sí",1+p_IVA,1))</f>
        <v/>
      </c>
      <c r="J64" s="16"/>
      <c r="K64" s="16"/>
      <c r="L64" s="15"/>
      <c r="M64" s="16"/>
      <c r="N64" s="10" t="str">
        <f aca="false">IF($A64&lt;&gt;"Ítem","",I64+N(J64)+N(K64)+N(M64))</f>
        <v/>
      </c>
      <c r="O64" s="10" t="str">
        <f aca="false">IF($A64&lt;&gt;"Ítem","",E64*I64)</f>
        <v/>
      </c>
      <c r="P64" s="10" t="str">
        <f aca="false">IF($A64&lt;&gt;"Ítem","",E64*N(J64))</f>
        <v/>
      </c>
      <c r="Q64" s="10" t="str">
        <f aca="false">IF($A64&lt;&gt;"Ítem","",E64*N(K64))</f>
        <v/>
      </c>
      <c r="R64" s="10" t="str">
        <f aca="false">IF($A64&lt;&gt;"Ítem","",E64*N(M64))</f>
        <v/>
      </c>
      <c r="S64" s="37" t="str">
        <f aca="false">IF($A64&lt;&gt;"Ítem","",E64*N64)</f>
        <v/>
      </c>
      <c r="T64" s="10" t="str">
        <f aca="false">IF($A64&lt;&gt;"Ítem","",G64-S64)</f>
        <v/>
      </c>
      <c r="U64" s="36" t="str">
        <f aca="false">IF(OR($A64&lt;&gt;"Ítem",N(G64)=0),"",T64/G64)</f>
        <v/>
      </c>
      <c r="V64" s="81" t="str">
        <f aca="false">IF(A64="Capítulo",C64,V63)</f>
        <v/>
      </c>
      <c r="W64" s="0" t="str">
        <f aca="false">IF(A64="Capítulo",C64,"")</f>
        <v/>
      </c>
    </row>
    <row r="65" customFormat="false" ht="16.5" hidden="false" customHeight="true" outlineLevel="0" collapsed="false">
      <c r="A65" s="15"/>
      <c r="B65" s="15"/>
      <c r="C65" s="79"/>
      <c r="D65" s="15"/>
      <c r="E65" s="80"/>
      <c r="F65" s="16"/>
      <c r="G65" s="10" t="str">
        <f aca="false">IF($A65&lt;&gt;"Ítem","",E65*F65)</f>
        <v/>
      </c>
      <c r="H65" s="16"/>
      <c r="I65" s="10" t="str">
        <f aca="false">IF($A65&lt;&gt;"Ítem","",N(H65)*IF(p_IVAMat="Sí",1+p_IVA,1))</f>
        <v/>
      </c>
      <c r="J65" s="16"/>
      <c r="K65" s="16"/>
      <c r="L65" s="15"/>
      <c r="M65" s="16"/>
      <c r="N65" s="10" t="str">
        <f aca="false">IF($A65&lt;&gt;"Ítem","",I65+N(J65)+N(K65)+N(M65))</f>
        <v/>
      </c>
      <c r="O65" s="10" t="str">
        <f aca="false">IF($A65&lt;&gt;"Ítem","",E65*I65)</f>
        <v/>
      </c>
      <c r="P65" s="10" t="str">
        <f aca="false">IF($A65&lt;&gt;"Ítem","",E65*N(J65))</f>
        <v/>
      </c>
      <c r="Q65" s="10" t="str">
        <f aca="false">IF($A65&lt;&gt;"Ítem","",E65*N(K65))</f>
        <v/>
      </c>
      <c r="R65" s="10" t="str">
        <f aca="false">IF($A65&lt;&gt;"Ítem","",E65*N(M65))</f>
        <v/>
      </c>
      <c r="S65" s="37" t="str">
        <f aca="false">IF($A65&lt;&gt;"Ítem","",E65*N65)</f>
        <v/>
      </c>
      <c r="T65" s="10" t="str">
        <f aca="false">IF($A65&lt;&gt;"Ítem","",G65-S65)</f>
        <v/>
      </c>
      <c r="U65" s="36" t="str">
        <f aca="false">IF(OR($A65&lt;&gt;"Ítem",N(G65)=0),"",T65/G65)</f>
        <v/>
      </c>
      <c r="V65" s="81" t="str">
        <f aca="false">IF(A65="Capítulo",C65,V64)</f>
        <v/>
      </c>
      <c r="W65" s="0" t="str">
        <f aca="false">IF(A65="Capítulo",C65,"")</f>
        <v/>
      </c>
    </row>
    <row r="66" customFormat="false" ht="16.5" hidden="false" customHeight="true" outlineLevel="0" collapsed="false">
      <c r="A66" s="15"/>
      <c r="B66" s="15"/>
      <c r="C66" s="79"/>
      <c r="D66" s="15"/>
      <c r="E66" s="80"/>
      <c r="F66" s="16"/>
      <c r="G66" s="10" t="str">
        <f aca="false">IF($A66&lt;&gt;"Ítem","",E66*F66)</f>
        <v/>
      </c>
      <c r="H66" s="16"/>
      <c r="I66" s="10" t="str">
        <f aca="false">IF($A66&lt;&gt;"Ítem","",N(H66)*IF(p_IVAMat="Sí",1+p_IVA,1))</f>
        <v/>
      </c>
      <c r="J66" s="16"/>
      <c r="K66" s="16"/>
      <c r="L66" s="15"/>
      <c r="M66" s="16"/>
      <c r="N66" s="10" t="str">
        <f aca="false">IF($A66&lt;&gt;"Ítem","",I66+N(J66)+N(K66)+N(M66))</f>
        <v/>
      </c>
      <c r="O66" s="10" t="str">
        <f aca="false">IF($A66&lt;&gt;"Ítem","",E66*I66)</f>
        <v/>
      </c>
      <c r="P66" s="10" t="str">
        <f aca="false">IF($A66&lt;&gt;"Ítem","",E66*N(J66))</f>
        <v/>
      </c>
      <c r="Q66" s="10" t="str">
        <f aca="false">IF($A66&lt;&gt;"Ítem","",E66*N(K66))</f>
        <v/>
      </c>
      <c r="R66" s="10" t="str">
        <f aca="false">IF($A66&lt;&gt;"Ítem","",E66*N(M66))</f>
        <v/>
      </c>
      <c r="S66" s="37" t="str">
        <f aca="false">IF($A66&lt;&gt;"Ítem","",E66*N66)</f>
        <v/>
      </c>
      <c r="T66" s="10" t="str">
        <f aca="false">IF($A66&lt;&gt;"Ítem","",G66-S66)</f>
        <v/>
      </c>
      <c r="U66" s="36" t="str">
        <f aca="false">IF(OR($A66&lt;&gt;"Ítem",N(G66)=0),"",T66/G66)</f>
        <v/>
      </c>
      <c r="V66" s="81" t="str">
        <f aca="false">IF(A66="Capítulo",C66,V65)</f>
        <v/>
      </c>
      <c r="W66" s="0" t="str">
        <f aca="false">IF(A66="Capítulo",C66,"")</f>
        <v/>
      </c>
    </row>
    <row r="67" customFormat="false" ht="16.5" hidden="false" customHeight="true" outlineLevel="0" collapsed="false">
      <c r="A67" s="15"/>
      <c r="B67" s="15"/>
      <c r="C67" s="79"/>
      <c r="D67" s="15"/>
      <c r="E67" s="80"/>
      <c r="F67" s="16"/>
      <c r="G67" s="10" t="str">
        <f aca="false">IF($A67&lt;&gt;"Ítem","",E67*F67)</f>
        <v/>
      </c>
      <c r="H67" s="16"/>
      <c r="I67" s="10" t="str">
        <f aca="false">IF($A67&lt;&gt;"Ítem","",N(H67)*IF(p_IVAMat="Sí",1+p_IVA,1))</f>
        <v/>
      </c>
      <c r="J67" s="16"/>
      <c r="K67" s="16"/>
      <c r="L67" s="15"/>
      <c r="M67" s="16"/>
      <c r="N67" s="10" t="str">
        <f aca="false">IF($A67&lt;&gt;"Ítem","",I67+N(J67)+N(K67)+N(M67))</f>
        <v/>
      </c>
      <c r="O67" s="10" t="str">
        <f aca="false">IF($A67&lt;&gt;"Ítem","",E67*I67)</f>
        <v/>
      </c>
      <c r="P67" s="10" t="str">
        <f aca="false">IF($A67&lt;&gt;"Ítem","",E67*N(J67))</f>
        <v/>
      </c>
      <c r="Q67" s="10" t="str">
        <f aca="false">IF($A67&lt;&gt;"Ítem","",E67*N(K67))</f>
        <v/>
      </c>
      <c r="R67" s="10" t="str">
        <f aca="false">IF($A67&lt;&gt;"Ítem","",E67*N(M67))</f>
        <v/>
      </c>
      <c r="S67" s="37" t="str">
        <f aca="false">IF($A67&lt;&gt;"Ítem","",E67*N67)</f>
        <v/>
      </c>
      <c r="T67" s="10" t="str">
        <f aca="false">IF($A67&lt;&gt;"Ítem","",G67-S67)</f>
        <v/>
      </c>
      <c r="U67" s="36" t="str">
        <f aca="false">IF(OR($A67&lt;&gt;"Ítem",N(G67)=0),"",T67/G67)</f>
        <v/>
      </c>
      <c r="V67" s="81" t="str">
        <f aca="false">IF(A67="Capítulo",C67,V66)</f>
        <v/>
      </c>
      <c r="W67" s="0" t="str">
        <f aca="false">IF(A67="Capítulo",C67,"")</f>
        <v/>
      </c>
    </row>
    <row r="68" customFormat="false" ht="16.5" hidden="false" customHeight="true" outlineLevel="0" collapsed="false">
      <c r="A68" s="15"/>
      <c r="B68" s="15"/>
      <c r="C68" s="79"/>
      <c r="D68" s="15"/>
      <c r="E68" s="80"/>
      <c r="F68" s="16"/>
      <c r="G68" s="10" t="str">
        <f aca="false">IF($A68&lt;&gt;"Ítem","",E68*F68)</f>
        <v/>
      </c>
      <c r="H68" s="16"/>
      <c r="I68" s="10" t="str">
        <f aca="false">IF($A68&lt;&gt;"Ítem","",N(H68)*IF(p_IVAMat="Sí",1+p_IVA,1))</f>
        <v/>
      </c>
      <c r="J68" s="16"/>
      <c r="K68" s="16"/>
      <c r="L68" s="15"/>
      <c r="M68" s="16"/>
      <c r="N68" s="10" t="str">
        <f aca="false">IF($A68&lt;&gt;"Ítem","",I68+N(J68)+N(K68)+N(M68))</f>
        <v/>
      </c>
      <c r="O68" s="10" t="str">
        <f aca="false">IF($A68&lt;&gt;"Ítem","",E68*I68)</f>
        <v/>
      </c>
      <c r="P68" s="10" t="str">
        <f aca="false">IF($A68&lt;&gt;"Ítem","",E68*N(J68))</f>
        <v/>
      </c>
      <c r="Q68" s="10" t="str">
        <f aca="false">IF($A68&lt;&gt;"Ítem","",E68*N(K68))</f>
        <v/>
      </c>
      <c r="R68" s="10" t="str">
        <f aca="false">IF($A68&lt;&gt;"Ítem","",E68*N(M68))</f>
        <v/>
      </c>
      <c r="S68" s="37" t="str">
        <f aca="false">IF($A68&lt;&gt;"Ítem","",E68*N68)</f>
        <v/>
      </c>
      <c r="T68" s="10" t="str">
        <f aca="false">IF($A68&lt;&gt;"Ítem","",G68-S68)</f>
        <v/>
      </c>
      <c r="U68" s="36" t="str">
        <f aca="false">IF(OR($A68&lt;&gt;"Ítem",N(G68)=0),"",T68/G68)</f>
        <v/>
      </c>
      <c r="V68" s="81" t="str">
        <f aca="false">IF(A68="Capítulo",C68,V67)</f>
        <v/>
      </c>
      <c r="W68" s="0" t="str">
        <f aca="false">IF(A68="Capítulo",C68,"")</f>
        <v/>
      </c>
    </row>
    <row r="69" customFormat="false" ht="16.5" hidden="false" customHeight="true" outlineLevel="0" collapsed="false">
      <c r="A69" s="15"/>
      <c r="B69" s="15"/>
      <c r="C69" s="79"/>
      <c r="D69" s="15"/>
      <c r="E69" s="80"/>
      <c r="F69" s="16"/>
      <c r="G69" s="10" t="str">
        <f aca="false">IF($A69&lt;&gt;"Ítem","",E69*F69)</f>
        <v/>
      </c>
      <c r="H69" s="16"/>
      <c r="I69" s="10" t="str">
        <f aca="false">IF($A69&lt;&gt;"Ítem","",N(H69)*IF(p_IVAMat="Sí",1+p_IVA,1))</f>
        <v/>
      </c>
      <c r="J69" s="16"/>
      <c r="K69" s="16"/>
      <c r="L69" s="15"/>
      <c r="M69" s="16"/>
      <c r="N69" s="10" t="str">
        <f aca="false">IF($A69&lt;&gt;"Ítem","",I69+N(J69)+N(K69)+N(M69))</f>
        <v/>
      </c>
      <c r="O69" s="10" t="str">
        <f aca="false">IF($A69&lt;&gt;"Ítem","",E69*I69)</f>
        <v/>
      </c>
      <c r="P69" s="10" t="str">
        <f aca="false">IF($A69&lt;&gt;"Ítem","",E69*N(J69))</f>
        <v/>
      </c>
      <c r="Q69" s="10" t="str">
        <f aca="false">IF($A69&lt;&gt;"Ítem","",E69*N(K69))</f>
        <v/>
      </c>
      <c r="R69" s="10" t="str">
        <f aca="false">IF($A69&lt;&gt;"Ítem","",E69*N(M69))</f>
        <v/>
      </c>
      <c r="S69" s="37" t="str">
        <f aca="false">IF($A69&lt;&gt;"Ítem","",E69*N69)</f>
        <v/>
      </c>
      <c r="T69" s="10" t="str">
        <f aca="false">IF($A69&lt;&gt;"Ítem","",G69-S69)</f>
        <v/>
      </c>
      <c r="U69" s="36" t="str">
        <f aca="false">IF(OR($A69&lt;&gt;"Ítem",N(G69)=0),"",T69/G69)</f>
        <v/>
      </c>
      <c r="V69" s="81" t="str">
        <f aca="false">IF(A69="Capítulo",C69,V68)</f>
        <v/>
      </c>
      <c r="W69" s="0" t="str">
        <f aca="false">IF(A69="Capítulo",C69,"")</f>
        <v/>
      </c>
    </row>
    <row r="70" customFormat="false" ht="16.5" hidden="false" customHeight="true" outlineLevel="0" collapsed="false">
      <c r="A70" s="15"/>
      <c r="B70" s="15"/>
      <c r="C70" s="79"/>
      <c r="D70" s="15"/>
      <c r="E70" s="80"/>
      <c r="F70" s="16"/>
      <c r="G70" s="10" t="str">
        <f aca="false">IF($A70&lt;&gt;"Ítem","",E70*F70)</f>
        <v/>
      </c>
      <c r="H70" s="16"/>
      <c r="I70" s="10" t="str">
        <f aca="false">IF($A70&lt;&gt;"Ítem","",N(H70)*IF(p_IVAMat="Sí",1+p_IVA,1))</f>
        <v/>
      </c>
      <c r="J70" s="16"/>
      <c r="K70" s="16"/>
      <c r="L70" s="15"/>
      <c r="M70" s="16"/>
      <c r="N70" s="10" t="str">
        <f aca="false">IF($A70&lt;&gt;"Ítem","",I70+N(J70)+N(K70)+N(M70))</f>
        <v/>
      </c>
      <c r="O70" s="10" t="str">
        <f aca="false">IF($A70&lt;&gt;"Ítem","",E70*I70)</f>
        <v/>
      </c>
      <c r="P70" s="10" t="str">
        <f aca="false">IF($A70&lt;&gt;"Ítem","",E70*N(J70))</f>
        <v/>
      </c>
      <c r="Q70" s="10" t="str">
        <f aca="false">IF($A70&lt;&gt;"Ítem","",E70*N(K70))</f>
        <v/>
      </c>
      <c r="R70" s="10" t="str">
        <f aca="false">IF($A70&lt;&gt;"Ítem","",E70*N(M70))</f>
        <v/>
      </c>
      <c r="S70" s="37" t="str">
        <f aca="false">IF($A70&lt;&gt;"Ítem","",E70*N70)</f>
        <v/>
      </c>
      <c r="T70" s="10" t="str">
        <f aca="false">IF($A70&lt;&gt;"Ítem","",G70-S70)</f>
        <v/>
      </c>
      <c r="U70" s="36" t="str">
        <f aca="false">IF(OR($A70&lt;&gt;"Ítem",N(G70)=0),"",T70/G70)</f>
        <v/>
      </c>
      <c r="V70" s="81" t="str">
        <f aca="false">IF(A70="Capítulo",C70,V69)</f>
        <v/>
      </c>
      <c r="W70" s="0" t="str">
        <f aca="false">IF(A70="Capítulo",C70,"")</f>
        <v/>
      </c>
    </row>
    <row r="71" customFormat="false" ht="16.5" hidden="false" customHeight="true" outlineLevel="0" collapsed="false">
      <c r="A71" s="15"/>
      <c r="B71" s="15"/>
      <c r="C71" s="79"/>
      <c r="D71" s="15"/>
      <c r="E71" s="80"/>
      <c r="F71" s="16"/>
      <c r="G71" s="10" t="str">
        <f aca="false">IF($A71&lt;&gt;"Ítem","",E71*F71)</f>
        <v/>
      </c>
      <c r="H71" s="16"/>
      <c r="I71" s="10" t="str">
        <f aca="false">IF($A71&lt;&gt;"Ítem","",N(H71)*IF(p_IVAMat="Sí",1+p_IVA,1))</f>
        <v/>
      </c>
      <c r="J71" s="16"/>
      <c r="K71" s="16"/>
      <c r="L71" s="15"/>
      <c r="M71" s="16"/>
      <c r="N71" s="10" t="str">
        <f aca="false">IF($A71&lt;&gt;"Ítem","",I71+N(J71)+N(K71)+N(M71))</f>
        <v/>
      </c>
      <c r="O71" s="10" t="str">
        <f aca="false">IF($A71&lt;&gt;"Ítem","",E71*I71)</f>
        <v/>
      </c>
      <c r="P71" s="10" t="str">
        <f aca="false">IF($A71&lt;&gt;"Ítem","",E71*N(J71))</f>
        <v/>
      </c>
      <c r="Q71" s="10" t="str">
        <f aca="false">IF($A71&lt;&gt;"Ítem","",E71*N(K71))</f>
        <v/>
      </c>
      <c r="R71" s="10" t="str">
        <f aca="false">IF($A71&lt;&gt;"Ítem","",E71*N(M71))</f>
        <v/>
      </c>
      <c r="S71" s="37" t="str">
        <f aca="false">IF($A71&lt;&gt;"Ítem","",E71*N71)</f>
        <v/>
      </c>
      <c r="T71" s="10" t="str">
        <f aca="false">IF($A71&lt;&gt;"Ítem","",G71-S71)</f>
        <v/>
      </c>
      <c r="U71" s="36" t="str">
        <f aca="false">IF(OR($A71&lt;&gt;"Ítem",N(G71)=0),"",T71/G71)</f>
        <v/>
      </c>
      <c r="V71" s="81" t="str">
        <f aca="false">IF(A71="Capítulo",C71,V70)</f>
        <v/>
      </c>
      <c r="W71" s="0" t="str">
        <f aca="false">IF(A71="Capítulo",C71,"")</f>
        <v/>
      </c>
    </row>
    <row r="72" customFormat="false" ht="16.5" hidden="false" customHeight="true" outlineLevel="0" collapsed="false">
      <c r="A72" s="15"/>
      <c r="B72" s="15"/>
      <c r="C72" s="79"/>
      <c r="D72" s="15"/>
      <c r="E72" s="80"/>
      <c r="F72" s="16"/>
      <c r="G72" s="10" t="str">
        <f aca="false">IF($A72&lt;&gt;"Ítem","",E72*F72)</f>
        <v/>
      </c>
      <c r="H72" s="16"/>
      <c r="I72" s="10" t="str">
        <f aca="false">IF($A72&lt;&gt;"Ítem","",N(H72)*IF(p_IVAMat="Sí",1+p_IVA,1))</f>
        <v/>
      </c>
      <c r="J72" s="16"/>
      <c r="K72" s="16"/>
      <c r="L72" s="15"/>
      <c r="M72" s="16"/>
      <c r="N72" s="10" t="str">
        <f aca="false">IF($A72&lt;&gt;"Ítem","",I72+N(J72)+N(K72)+N(M72))</f>
        <v/>
      </c>
      <c r="O72" s="10" t="str">
        <f aca="false">IF($A72&lt;&gt;"Ítem","",E72*I72)</f>
        <v/>
      </c>
      <c r="P72" s="10" t="str">
        <f aca="false">IF($A72&lt;&gt;"Ítem","",E72*N(J72))</f>
        <v/>
      </c>
      <c r="Q72" s="10" t="str">
        <f aca="false">IF($A72&lt;&gt;"Ítem","",E72*N(K72))</f>
        <v/>
      </c>
      <c r="R72" s="10" t="str">
        <f aca="false">IF($A72&lt;&gt;"Ítem","",E72*N(M72))</f>
        <v/>
      </c>
      <c r="S72" s="37" t="str">
        <f aca="false">IF($A72&lt;&gt;"Ítem","",E72*N72)</f>
        <v/>
      </c>
      <c r="T72" s="10" t="str">
        <f aca="false">IF($A72&lt;&gt;"Ítem","",G72-S72)</f>
        <v/>
      </c>
      <c r="U72" s="36" t="str">
        <f aca="false">IF(OR($A72&lt;&gt;"Ítem",N(G72)=0),"",T72/G72)</f>
        <v/>
      </c>
      <c r="V72" s="81" t="str">
        <f aca="false">IF(A72="Capítulo",C72,V71)</f>
        <v/>
      </c>
      <c r="W72" s="0" t="str">
        <f aca="false">IF(A72="Capítulo",C72,"")</f>
        <v/>
      </c>
    </row>
    <row r="73" customFormat="false" ht="16.5" hidden="false" customHeight="true" outlineLevel="0" collapsed="false">
      <c r="A73" s="15"/>
      <c r="B73" s="15"/>
      <c r="C73" s="79"/>
      <c r="D73" s="15"/>
      <c r="E73" s="80"/>
      <c r="F73" s="16"/>
      <c r="G73" s="10" t="str">
        <f aca="false">IF($A73&lt;&gt;"Ítem","",E73*F73)</f>
        <v/>
      </c>
      <c r="H73" s="16"/>
      <c r="I73" s="10" t="str">
        <f aca="false">IF($A73&lt;&gt;"Ítem","",N(H73)*IF(p_IVAMat="Sí",1+p_IVA,1))</f>
        <v/>
      </c>
      <c r="J73" s="16"/>
      <c r="K73" s="16"/>
      <c r="L73" s="15"/>
      <c r="M73" s="16"/>
      <c r="N73" s="10" t="str">
        <f aca="false">IF($A73&lt;&gt;"Ítem","",I73+N(J73)+N(K73)+N(M73))</f>
        <v/>
      </c>
      <c r="O73" s="10" t="str">
        <f aca="false">IF($A73&lt;&gt;"Ítem","",E73*I73)</f>
        <v/>
      </c>
      <c r="P73" s="10" t="str">
        <f aca="false">IF($A73&lt;&gt;"Ítem","",E73*N(J73))</f>
        <v/>
      </c>
      <c r="Q73" s="10" t="str">
        <f aca="false">IF($A73&lt;&gt;"Ítem","",E73*N(K73))</f>
        <v/>
      </c>
      <c r="R73" s="10" t="str">
        <f aca="false">IF($A73&lt;&gt;"Ítem","",E73*N(M73))</f>
        <v/>
      </c>
      <c r="S73" s="37" t="str">
        <f aca="false">IF($A73&lt;&gt;"Ítem","",E73*N73)</f>
        <v/>
      </c>
      <c r="T73" s="10" t="str">
        <f aca="false">IF($A73&lt;&gt;"Ítem","",G73-S73)</f>
        <v/>
      </c>
      <c r="U73" s="36" t="str">
        <f aca="false">IF(OR($A73&lt;&gt;"Ítem",N(G73)=0),"",T73/G73)</f>
        <v/>
      </c>
      <c r="V73" s="81" t="str">
        <f aca="false">IF(A73="Capítulo",C73,V72)</f>
        <v/>
      </c>
      <c r="W73" s="0" t="str">
        <f aca="false">IF(A73="Capítulo",C73,"")</f>
        <v/>
      </c>
    </row>
    <row r="74" customFormat="false" ht="16.5" hidden="false" customHeight="true" outlineLevel="0" collapsed="false">
      <c r="A74" s="15"/>
      <c r="B74" s="15"/>
      <c r="C74" s="79"/>
      <c r="D74" s="15"/>
      <c r="E74" s="80"/>
      <c r="F74" s="16"/>
      <c r="G74" s="10" t="str">
        <f aca="false">IF($A74&lt;&gt;"Ítem","",E74*F74)</f>
        <v/>
      </c>
      <c r="H74" s="16"/>
      <c r="I74" s="10" t="str">
        <f aca="false">IF($A74&lt;&gt;"Ítem","",N(H74)*IF(p_IVAMat="Sí",1+p_IVA,1))</f>
        <v/>
      </c>
      <c r="J74" s="16"/>
      <c r="K74" s="16"/>
      <c r="L74" s="15"/>
      <c r="M74" s="16"/>
      <c r="N74" s="10" t="str">
        <f aca="false">IF($A74&lt;&gt;"Ítem","",I74+N(J74)+N(K74)+N(M74))</f>
        <v/>
      </c>
      <c r="O74" s="10" t="str">
        <f aca="false">IF($A74&lt;&gt;"Ítem","",E74*I74)</f>
        <v/>
      </c>
      <c r="P74" s="10" t="str">
        <f aca="false">IF($A74&lt;&gt;"Ítem","",E74*N(J74))</f>
        <v/>
      </c>
      <c r="Q74" s="10" t="str">
        <f aca="false">IF($A74&lt;&gt;"Ítem","",E74*N(K74))</f>
        <v/>
      </c>
      <c r="R74" s="10" t="str">
        <f aca="false">IF($A74&lt;&gt;"Ítem","",E74*N(M74))</f>
        <v/>
      </c>
      <c r="S74" s="37" t="str">
        <f aca="false">IF($A74&lt;&gt;"Ítem","",E74*N74)</f>
        <v/>
      </c>
      <c r="T74" s="10" t="str">
        <f aca="false">IF($A74&lt;&gt;"Ítem","",G74-S74)</f>
        <v/>
      </c>
      <c r="U74" s="36" t="str">
        <f aca="false">IF(OR($A74&lt;&gt;"Ítem",N(G74)=0),"",T74/G74)</f>
        <v/>
      </c>
      <c r="V74" s="81" t="str">
        <f aca="false">IF(A74="Capítulo",C74,V73)</f>
        <v/>
      </c>
      <c r="W74" s="0" t="str">
        <f aca="false">IF(A74="Capítulo",C74,"")</f>
        <v/>
      </c>
    </row>
    <row r="75" customFormat="false" ht="16.5" hidden="false" customHeight="true" outlineLevel="0" collapsed="false">
      <c r="A75" s="15"/>
      <c r="B75" s="15"/>
      <c r="C75" s="79"/>
      <c r="D75" s="15"/>
      <c r="E75" s="80"/>
      <c r="F75" s="16"/>
      <c r="G75" s="10" t="str">
        <f aca="false">IF($A75&lt;&gt;"Ítem","",E75*F75)</f>
        <v/>
      </c>
      <c r="H75" s="16"/>
      <c r="I75" s="10" t="str">
        <f aca="false">IF($A75&lt;&gt;"Ítem","",N(H75)*IF(p_IVAMat="Sí",1+p_IVA,1))</f>
        <v/>
      </c>
      <c r="J75" s="16"/>
      <c r="K75" s="16"/>
      <c r="L75" s="15"/>
      <c r="M75" s="16"/>
      <c r="N75" s="10" t="str">
        <f aca="false">IF($A75&lt;&gt;"Ítem","",I75+N(J75)+N(K75)+N(M75))</f>
        <v/>
      </c>
      <c r="O75" s="10" t="str">
        <f aca="false">IF($A75&lt;&gt;"Ítem","",E75*I75)</f>
        <v/>
      </c>
      <c r="P75" s="10" t="str">
        <f aca="false">IF($A75&lt;&gt;"Ítem","",E75*N(J75))</f>
        <v/>
      </c>
      <c r="Q75" s="10" t="str">
        <f aca="false">IF($A75&lt;&gt;"Ítem","",E75*N(K75))</f>
        <v/>
      </c>
      <c r="R75" s="10" t="str">
        <f aca="false">IF($A75&lt;&gt;"Ítem","",E75*N(M75))</f>
        <v/>
      </c>
      <c r="S75" s="37" t="str">
        <f aca="false">IF($A75&lt;&gt;"Ítem","",E75*N75)</f>
        <v/>
      </c>
      <c r="T75" s="10" t="str">
        <f aca="false">IF($A75&lt;&gt;"Ítem","",G75-S75)</f>
        <v/>
      </c>
      <c r="U75" s="36" t="str">
        <f aca="false">IF(OR($A75&lt;&gt;"Ítem",N(G75)=0),"",T75/G75)</f>
        <v/>
      </c>
      <c r="V75" s="81" t="str">
        <f aca="false">IF(A75="Capítulo",C75,V74)</f>
        <v/>
      </c>
      <c r="W75" s="0" t="str">
        <f aca="false">IF(A75="Capítulo",C75,"")</f>
        <v/>
      </c>
    </row>
    <row r="76" customFormat="false" ht="16.5" hidden="false" customHeight="true" outlineLevel="0" collapsed="false">
      <c r="A76" s="15"/>
      <c r="B76" s="15"/>
      <c r="C76" s="79"/>
      <c r="D76" s="15"/>
      <c r="E76" s="80"/>
      <c r="F76" s="16"/>
      <c r="G76" s="10" t="str">
        <f aca="false">IF($A76&lt;&gt;"Ítem","",E76*F76)</f>
        <v/>
      </c>
      <c r="H76" s="16"/>
      <c r="I76" s="10" t="str">
        <f aca="false">IF($A76&lt;&gt;"Ítem","",N(H76)*IF(p_IVAMat="Sí",1+p_IVA,1))</f>
        <v/>
      </c>
      <c r="J76" s="16"/>
      <c r="K76" s="16"/>
      <c r="L76" s="15"/>
      <c r="M76" s="16"/>
      <c r="N76" s="10" t="str">
        <f aca="false">IF($A76&lt;&gt;"Ítem","",I76+N(J76)+N(K76)+N(M76))</f>
        <v/>
      </c>
      <c r="O76" s="10" t="str">
        <f aca="false">IF($A76&lt;&gt;"Ítem","",E76*I76)</f>
        <v/>
      </c>
      <c r="P76" s="10" t="str">
        <f aca="false">IF($A76&lt;&gt;"Ítem","",E76*N(J76))</f>
        <v/>
      </c>
      <c r="Q76" s="10" t="str">
        <f aca="false">IF($A76&lt;&gt;"Ítem","",E76*N(K76))</f>
        <v/>
      </c>
      <c r="R76" s="10" t="str">
        <f aca="false">IF($A76&lt;&gt;"Ítem","",E76*N(M76))</f>
        <v/>
      </c>
      <c r="S76" s="37" t="str">
        <f aca="false">IF($A76&lt;&gt;"Ítem","",E76*N76)</f>
        <v/>
      </c>
      <c r="T76" s="10" t="str">
        <f aca="false">IF($A76&lt;&gt;"Ítem","",G76-S76)</f>
        <v/>
      </c>
      <c r="U76" s="36" t="str">
        <f aca="false">IF(OR($A76&lt;&gt;"Ítem",N(G76)=0),"",T76/G76)</f>
        <v/>
      </c>
      <c r="V76" s="81" t="str">
        <f aca="false">IF(A76="Capítulo",C76,V75)</f>
        <v/>
      </c>
      <c r="W76" s="0" t="str">
        <f aca="false">IF(A76="Capítulo",C76,"")</f>
        <v/>
      </c>
    </row>
    <row r="77" customFormat="false" ht="16.5" hidden="false" customHeight="true" outlineLevel="0" collapsed="false">
      <c r="A77" s="15"/>
      <c r="B77" s="15"/>
      <c r="C77" s="79"/>
      <c r="D77" s="15"/>
      <c r="E77" s="80"/>
      <c r="F77" s="16"/>
      <c r="G77" s="10" t="str">
        <f aca="false">IF($A77&lt;&gt;"Ítem","",E77*F77)</f>
        <v/>
      </c>
      <c r="H77" s="16"/>
      <c r="I77" s="10" t="str">
        <f aca="false">IF($A77&lt;&gt;"Ítem","",N(H77)*IF(p_IVAMat="Sí",1+p_IVA,1))</f>
        <v/>
      </c>
      <c r="J77" s="16"/>
      <c r="K77" s="16"/>
      <c r="L77" s="15"/>
      <c r="M77" s="16"/>
      <c r="N77" s="10" t="str">
        <f aca="false">IF($A77&lt;&gt;"Ítem","",I77+N(J77)+N(K77)+N(M77))</f>
        <v/>
      </c>
      <c r="O77" s="10" t="str">
        <f aca="false">IF($A77&lt;&gt;"Ítem","",E77*I77)</f>
        <v/>
      </c>
      <c r="P77" s="10" t="str">
        <f aca="false">IF($A77&lt;&gt;"Ítem","",E77*N(J77))</f>
        <v/>
      </c>
      <c r="Q77" s="10" t="str">
        <f aca="false">IF($A77&lt;&gt;"Ítem","",E77*N(K77))</f>
        <v/>
      </c>
      <c r="R77" s="10" t="str">
        <f aca="false">IF($A77&lt;&gt;"Ítem","",E77*N(M77))</f>
        <v/>
      </c>
      <c r="S77" s="37" t="str">
        <f aca="false">IF($A77&lt;&gt;"Ítem","",E77*N77)</f>
        <v/>
      </c>
      <c r="T77" s="10" t="str">
        <f aca="false">IF($A77&lt;&gt;"Ítem","",G77-S77)</f>
        <v/>
      </c>
      <c r="U77" s="36" t="str">
        <f aca="false">IF(OR($A77&lt;&gt;"Ítem",N(G77)=0),"",T77/G77)</f>
        <v/>
      </c>
      <c r="V77" s="81" t="str">
        <f aca="false">IF(A77="Capítulo",C77,V76)</f>
        <v/>
      </c>
      <c r="W77" s="0" t="str">
        <f aca="false">IF(A77="Capítulo",C77,"")</f>
        <v/>
      </c>
    </row>
    <row r="78" customFormat="false" ht="16.5" hidden="false" customHeight="true" outlineLevel="0" collapsed="false">
      <c r="A78" s="15"/>
      <c r="B78" s="15"/>
      <c r="C78" s="79"/>
      <c r="D78" s="15"/>
      <c r="E78" s="80"/>
      <c r="F78" s="16"/>
      <c r="G78" s="10" t="str">
        <f aca="false">IF($A78&lt;&gt;"Ítem","",E78*F78)</f>
        <v/>
      </c>
      <c r="H78" s="16"/>
      <c r="I78" s="10" t="str">
        <f aca="false">IF($A78&lt;&gt;"Ítem","",N(H78)*IF(p_IVAMat="Sí",1+p_IVA,1))</f>
        <v/>
      </c>
      <c r="J78" s="16"/>
      <c r="K78" s="16"/>
      <c r="L78" s="15"/>
      <c r="M78" s="16"/>
      <c r="N78" s="10" t="str">
        <f aca="false">IF($A78&lt;&gt;"Ítem","",I78+N(J78)+N(K78)+N(M78))</f>
        <v/>
      </c>
      <c r="O78" s="10" t="str">
        <f aca="false">IF($A78&lt;&gt;"Ítem","",E78*I78)</f>
        <v/>
      </c>
      <c r="P78" s="10" t="str">
        <f aca="false">IF($A78&lt;&gt;"Ítem","",E78*N(J78))</f>
        <v/>
      </c>
      <c r="Q78" s="10" t="str">
        <f aca="false">IF($A78&lt;&gt;"Ítem","",E78*N(K78))</f>
        <v/>
      </c>
      <c r="R78" s="10" t="str">
        <f aca="false">IF($A78&lt;&gt;"Ítem","",E78*N(M78))</f>
        <v/>
      </c>
      <c r="S78" s="37" t="str">
        <f aca="false">IF($A78&lt;&gt;"Ítem","",E78*N78)</f>
        <v/>
      </c>
      <c r="T78" s="10" t="str">
        <f aca="false">IF($A78&lt;&gt;"Ítem","",G78-S78)</f>
        <v/>
      </c>
      <c r="U78" s="36" t="str">
        <f aca="false">IF(OR($A78&lt;&gt;"Ítem",N(G78)=0),"",T78/G78)</f>
        <v/>
      </c>
      <c r="V78" s="81" t="str">
        <f aca="false">IF(A78="Capítulo",C78,V77)</f>
        <v/>
      </c>
      <c r="W78" s="0" t="str">
        <f aca="false">IF(A78="Capítulo",C78,"")</f>
        <v/>
      </c>
    </row>
    <row r="79" customFormat="false" ht="16.5" hidden="false" customHeight="true" outlineLevel="0" collapsed="false">
      <c r="A79" s="15"/>
      <c r="B79" s="15"/>
      <c r="C79" s="79"/>
      <c r="D79" s="15"/>
      <c r="E79" s="80"/>
      <c r="F79" s="16"/>
      <c r="G79" s="10" t="str">
        <f aca="false">IF($A79&lt;&gt;"Ítem","",E79*F79)</f>
        <v/>
      </c>
      <c r="H79" s="16"/>
      <c r="I79" s="10" t="str">
        <f aca="false">IF($A79&lt;&gt;"Ítem","",N(H79)*IF(p_IVAMat="Sí",1+p_IVA,1))</f>
        <v/>
      </c>
      <c r="J79" s="16"/>
      <c r="K79" s="16"/>
      <c r="L79" s="15"/>
      <c r="M79" s="16"/>
      <c r="N79" s="10" t="str">
        <f aca="false">IF($A79&lt;&gt;"Ítem","",I79+N(J79)+N(K79)+N(M79))</f>
        <v/>
      </c>
      <c r="O79" s="10" t="str">
        <f aca="false">IF($A79&lt;&gt;"Ítem","",E79*I79)</f>
        <v/>
      </c>
      <c r="P79" s="10" t="str">
        <f aca="false">IF($A79&lt;&gt;"Ítem","",E79*N(J79))</f>
        <v/>
      </c>
      <c r="Q79" s="10" t="str">
        <f aca="false">IF($A79&lt;&gt;"Ítem","",E79*N(K79))</f>
        <v/>
      </c>
      <c r="R79" s="10" t="str">
        <f aca="false">IF($A79&lt;&gt;"Ítem","",E79*N(M79))</f>
        <v/>
      </c>
      <c r="S79" s="37" t="str">
        <f aca="false">IF($A79&lt;&gt;"Ítem","",E79*N79)</f>
        <v/>
      </c>
      <c r="T79" s="10" t="str">
        <f aca="false">IF($A79&lt;&gt;"Ítem","",G79-S79)</f>
        <v/>
      </c>
      <c r="U79" s="36" t="str">
        <f aca="false">IF(OR($A79&lt;&gt;"Ítem",N(G79)=0),"",T79/G79)</f>
        <v/>
      </c>
      <c r="V79" s="81" t="str">
        <f aca="false">IF(A79="Capítulo",C79,V78)</f>
        <v/>
      </c>
      <c r="W79" s="0" t="str">
        <f aca="false">IF(A79="Capítulo",C79,"")</f>
        <v/>
      </c>
    </row>
    <row r="80" customFormat="false" ht="16.5" hidden="false" customHeight="true" outlineLevel="0" collapsed="false">
      <c r="A80" s="15"/>
      <c r="B80" s="15"/>
      <c r="C80" s="79"/>
      <c r="D80" s="15"/>
      <c r="E80" s="80"/>
      <c r="F80" s="16"/>
      <c r="G80" s="10" t="str">
        <f aca="false">IF($A80&lt;&gt;"Ítem","",E80*F80)</f>
        <v/>
      </c>
      <c r="H80" s="16"/>
      <c r="I80" s="10" t="str">
        <f aca="false">IF($A80&lt;&gt;"Ítem","",N(H80)*IF(p_IVAMat="Sí",1+p_IVA,1))</f>
        <v/>
      </c>
      <c r="J80" s="16"/>
      <c r="K80" s="16"/>
      <c r="L80" s="15"/>
      <c r="M80" s="16"/>
      <c r="N80" s="10" t="str">
        <f aca="false">IF($A80&lt;&gt;"Ítem","",I80+N(J80)+N(K80)+N(M80))</f>
        <v/>
      </c>
      <c r="O80" s="10" t="str">
        <f aca="false">IF($A80&lt;&gt;"Ítem","",E80*I80)</f>
        <v/>
      </c>
      <c r="P80" s="10" t="str">
        <f aca="false">IF($A80&lt;&gt;"Ítem","",E80*N(J80))</f>
        <v/>
      </c>
      <c r="Q80" s="10" t="str">
        <f aca="false">IF($A80&lt;&gt;"Ítem","",E80*N(K80))</f>
        <v/>
      </c>
      <c r="R80" s="10" t="str">
        <f aca="false">IF($A80&lt;&gt;"Ítem","",E80*N(M80))</f>
        <v/>
      </c>
      <c r="S80" s="37" t="str">
        <f aca="false">IF($A80&lt;&gt;"Ítem","",E80*N80)</f>
        <v/>
      </c>
      <c r="T80" s="10" t="str">
        <f aca="false">IF($A80&lt;&gt;"Ítem","",G80-S80)</f>
        <v/>
      </c>
      <c r="U80" s="36" t="str">
        <f aca="false">IF(OR($A80&lt;&gt;"Ítem",N(G80)=0),"",T80/G80)</f>
        <v/>
      </c>
      <c r="V80" s="81" t="str">
        <f aca="false">IF(A80="Capítulo",C80,V79)</f>
        <v/>
      </c>
      <c r="W80" s="0" t="str">
        <f aca="false">IF(A80="Capítulo",C80,"")</f>
        <v/>
      </c>
    </row>
    <row r="81" customFormat="false" ht="16.5" hidden="false" customHeight="true" outlineLevel="0" collapsed="false">
      <c r="A81" s="15"/>
      <c r="B81" s="15"/>
      <c r="C81" s="79"/>
      <c r="D81" s="15"/>
      <c r="E81" s="80"/>
      <c r="F81" s="16"/>
      <c r="G81" s="10" t="str">
        <f aca="false">IF($A81&lt;&gt;"Ítem","",E81*F81)</f>
        <v/>
      </c>
      <c r="H81" s="16"/>
      <c r="I81" s="10" t="str">
        <f aca="false">IF($A81&lt;&gt;"Ítem","",N(H81)*IF(p_IVAMat="Sí",1+p_IVA,1))</f>
        <v/>
      </c>
      <c r="J81" s="16"/>
      <c r="K81" s="16"/>
      <c r="L81" s="15"/>
      <c r="M81" s="16"/>
      <c r="N81" s="10" t="str">
        <f aca="false">IF($A81&lt;&gt;"Ítem","",I81+N(J81)+N(K81)+N(M81))</f>
        <v/>
      </c>
      <c r="O81" s="10" t="str">
        <f aca="false">IF($A81&lt;&gt;"Ítem","",E81*I81)</f>
        <v/>
      </c>
      <c r="P81" s="10" t="str">
        <f aca="false">IF($A81&lt;&gt;"Ítem","",E81*N(J81))</f>
        <v/>
      </c>
      <c r="Q81" s="10" t="str">
        <f aca="false">IF($A81&lt;&gt;"Ítem","",E81*N(K81))</f>
        <v/>
      </c>
      <c r="R81" s="10" t="str">
        <f aca="false">IF($A81&lt;&gt;"Ítem","",E81*N(M81))</f>
        <v/>
      </c>
      <c r="S81" s="37" t="str">
        <f aca="false">IF($A81&lt;&gt;"Ítem","",E81*N81)</f>
        <v/>
      </c>
      <c r="T81" s="10" t="str">
        <f aca="false">IF($A81&lt;&gt;"Ítem","",G81-S81)</f>
        <v/>
      </c>
      <c r="U81" s="36" t="str">
        <f aca="false">IF(OR($A81&lt;&gt;"Ítem",N(G81)=0),"",T81/G81)</f>
        <v/>
      </c>
      <c r="V81" s="81" t="str">
        <f aca="false">IF(A81="Capítulo",C81,V80)</f>
        <v/>
      </c>
      <c r="W81" s="0" t="str">
        <f aca="false">IF(A81="Capítulo",C81,"")</f>
        <v/>
      </c>
    </row>
    <row r="82" customFormat="false" ht="16.5" hidden="false" customHeight="true" outlineLevel="0" collapsed="false">
      <c r="A82" s="15"/>
      <c r="B82" s="15"/>
      <c r="C82" s="79"/>
      <c r="D82" s="15"/>
      <c r="E82" s="80"/>
      <c r="F82" s="16"/>
      <c r="G82" s="10" t="str">
        <f aca="false">IF($A82&lt;&gt;"Ítem","",E82*F82)</f>
        <v/>
      </c>
      <c r="H82" s="16"/>
      <c r="I82" s="10" t="str">
        <f aca="false">IF($A82&lt;&gt;"Ítem","",N(H82)*IF(p_IVAMat="Sí",1+p_IVA,1))</f>
        <v/>
      </c>
      <c r="J82" s="16"/>
      <c r="K82" s="16"/>
      <c r="L82" s="15"/>
      <c r="M82" s="16"/>
      <c r="N82" s="10" t="str">
        <f aca="false">IF($A82&lt;&gt;"Ítem","",I82+N(J82)+N(K82)+N(M82))</f>
        <v/>
      </c>
      <c r="O82" s="10" t="str">
        <f aca="false">IF($A82&lt;&gt;"Ítem","",E82*I82)</f>
        <v/>
      </c>
      <c r="P82" s="10" t="str">
        <f aca="false">IF($A82&lt;&gt;"Ítem","",E82*N(J82))</f>
        <v/>
      </c>
      <c r="Q82" s="10" t="str">
        <f aca="false">IF($A82&lt;&gt;"Ítem","",E82*N(K82))</f>
        <v/>
      </c>
      <c r="R82" s="10" t="str">
        <f aca="false">IF($A82&lt;&gt;"Ítem","",E82*N(M82))</f>
        <v/>
      </c>
      <c r="S82" s="37" t="str">
        <f aca="false">IF($A82&lt;&gt;"Ítem","",E82*N82)</f>
        <v/>
      </c>
      <c r="T82" s="10" t="str">
        <f aca="false">IF($A82&lt;&gt;"Ítem","",G82-S82)</f>
        <v/>
      </c>
      <c r="U82" s="36" t="str">
        <f aca="false">IF(OR($A82&lt;&gt;"Ítem",N(G82)=0),"",T82/G82)</f>
        <v/>
      </c>
      <c r="V82" s="81" t="str">
        <f aca="false">IF(A82="Capítulo",C82,V81)</f>
        <v/>
      </c>
      <c r="W82" s="0" t="str">
        <f aca="false">IF(A82="Capítulo",C82,"")</f>
        <v/>
      </c>
    </row>
    <row r="83" customFormat="false" ht="16.5" hidden="false" customHeight="true" outlineLevel="0" collapsed="false">
      <c r="A83" s="15"/>
      <c r="B83" s="15"/>
      <c r="C83" s="79"/>
      <c r="D83" s="15"/>
      <c r="E83" s="80"/>
      <c r="F83" s="16"/>
      <c r="G83" s="10" t="str">
        <f aca="false">IF($A83&lt;&gt;"Ítem","",E83*F83)</f>
        <v/>
      </c>
      <c r="H83" s="16"/>
      <c r="I83" s="10" t="str">
        <f aca="false">IF($A83&lt;&gt;"Ítem","",N(H83)*IF(p_IVAMat="Sí",1+p_IVA,1))</f>
        <v/>
      </c>
      <c r="J83" s="16"/>
      <c r="K83" s="16"/>
      <c r="L83" s="15"/>
      <c r="M83" s="16"/>
      <c r="N83" s="10" t="str">
        <f aca="false">IF($A83&lt;&gt;"Ítem","",I83+N(J83)+N(K83)+N(M83))</f>
        <v/>
      </c>
      <c r="O83" s="10" t="str">
        <f aca="false">IF($A83&lt;&gt;"Ítem","",E83*I83)</f>
        <v/>
      </c>
      <c r="P83" s="10" t="str">
        <f aca="false">IF($A83&lt;&gt;"Ítem","",E83*N(J83))</f>
        <v/>
      </c>
      <c r="Q83" s="10" t="str">
        <f aca="false">IF($A83&lt;&gt;"Ítem","",E83*N(K83))</f>
        <v/>
      </c>
      <c r="R83" s="10" t="str">
        <f aca="false">IF($A83&lt;&gt;"Ítem","",E83*N(M83))</f>
        <v/>
      </c>
      <c r="S83" s="37" t="str">
        <f aca="false">IF($A83&lt;&gt;"Ítem","",E83*N83)</f>
        <v/>
      </c>
      <c r="T83" s="10" t="str">
        <f aca="false">IF($A83&lt;&gt;"Ítem","",G83-S83)</f>
        <v/>
      </c>
      <c r="U83" s="36" t="str">
        <f aca="false">IF(OR($A83&lt;&gt;"Ítem",N(G83)=0),"",T83/G83)</f>
        <v/>
      </c>
      <c r="V83" s="81" t="str">
        <f aca="false">IF(A83="Capítulo",C83,V82)</f>
        <v/>
      </c>
      <c r="W83" s="0" t="str">
        <f aca="false">IF(A83="Capítulo",C83,"")</f>
        <v/>
      </c>
    </row>
    <row r="84" customFormat="false" ht="16.5" hidden="false" customHeight="true" outlineLevel="0" collapsed="false">
      <c r="A84" s="15"/>
      <c r="B84" s="15"/>
      <c r="C84" s="79"/>
      <c r="D84" s="15"/>
      <c r="E84" s="80"/>
      <c r="F84" s="16"/>
      <c r="G84" s="10" t="str">
        <f aca="false">IF($A84&lt;&gt;"Ítem","",E84*F84)</f>
        <v/>
      </c>
      <c r="H84" s="16"/>
      <c r="I84" s="10" t="str">
        <f aca="false">IF($A84&lt;&gt;"Ítem","",N(H84)*IF(p_IVAMat="Sí",1+p_IVA,1))</f>
        <v/>
      </c>
      <c r="J84" s="16"/>
      <c r="K84" s="16"/>
      <c r="L84" s="15"/>
      <c r="M84" s="16"/>
      <c r="N84" s="10" t="str">
        <f aca="false">IF($A84&lt;&gt;"Ítem","",I84+N(J84)+N(K84)+N(M84))</f>
        <v/>
      </c>
      <c r="O84" s="10" t="str">
        <f aca="false">IF($A84&lt;&gt;"Ítem","",E84*I84)</f>
        <v/>
      </c>
      <c r="P84" s="10" t="str">
        <f aca="false">IF($A84&lt;&gt;"Ítem","",E84*N(J84))</f>
        <v/>
      </c>
      <c r="Q84" s="10" t="str">
        <f aca="false">IF($A84&lt;&gt;"Ítem","",E84*N(K84))</f>
        <v/>
      </c>
      <c r="R84" s="10" t="str">
        <f aca="false">IF($A84&lt;&gt;"Ítem","",E84*N(M84))</f>
        <v/>
      </c>
      <c r="S84" s="37" t="str">
        <f aca="false">IF($A84&lt;&gt;"Ítem","",E84*N84)</f>
        <v/>
      </c>
      <c r="T84" s="10" t="str">
        <f aca="false">IF($A84&lt;&gt;"Ítem","",G84-S84)</f>
        <v/>
      </c>
      <c r="U84" s="36" t="str">
        <f aca="false">IF(OR($A84&lt;&gt;"Ítem",N(G84)=0),"",T84/G84)</f>
        <v/>
      </c>
      <c r="V84" s="81" t="str">
        <f aca="false">IF(A84="Capítulo",C84,V83)</f>
        <v/>
      </c>
      <c r="W84" s="0" t="str">
        <f aca="false">IF(A84="Capítulo",C84,"")</f>
        <v/>
      </c>
    </row>
    <row r="85" customFormat="false" ht="16.5" hidden="false" customHeight="true" outlineLevel="0" collapsed="false">
      <c r="A85" s="15"/>
      <c r="B85" s="15"/>
      <c r="C85" s="79"/>
      <c r="D85" s="15"/>
      <c r="E85" s="80"/>
      <c r="F85" s="16"/>
      <c r="G85" s="10" t="str">
        <f aca="false">IF($A85&lt;&gt;"Ítem","",E85*F85)</f>
        <v/>
      </c>
      <c r="H85" s="16"/>
      <c r="I85" s="10" t="str">
        <f aca="false">IF($A85&lt;&gt;"Ítem","",N(H85)*IF(p_IVAMat="Sí",1+p_IVA,1))</f>
        <v/>
      </c>
      <c r="J85" s="16"/>
      <c r="K85" s="16"/>
      <c r="L85" s="15"/>
      <c r="M85" s="16"/>
      <c r="N85" s="10" t="str">
        <f aca="false">IF($A85&lt;&gt;"Ítem","",I85+N(J85)+N(K85)+N(M85))</f>
        <v/>
      </c>
      <c r="O85" s="10" t="str">
        <f aca="false">IF($A85&lt;&gt;"Ítem","",E85*I85)</f>
        <v/>
      </c>
      <c r="P85" s="10" t="str">
        <f aca="false">IF($A85&lt;&gt;"Ítem","",E85*N(J85))</f>
        <v/>
      </c>
      <c r="Q85" s="10" t="str">
        <f aca="false">IF($A85&lt;&gt;"Ítem","",E85*N(K85))</f>
        <v/>
      </c>
      <c r="R85" s="10" t="str">
        <f aca="false">IF($A85&lt;&gt;"Ítem","",E85*N(M85))</f>
        <v/>
      </c>
      <c r="S85" s="37" t="str">
        <f aca="false">IF($A85&lt;&gt;"Ítem","",E85*N85)</f>
        <v/>
      </c>
      <c r="T85" s="10" t="str">
        <f aca="false">IF($A85&lt;&gt;"Ítem","",G85-S85)</f>
        <v/>
      </c>
      <c r="U85" s="36" t="str">
        <f aca="false">IF(OR($A85&lt;&gt;"Ítem",N(G85)=0),"",T85/G85)</f>
        <v/>
      </c>
      <c r="V85" s="81" t="str">
        <f aca="false">IF(A85="Capítulo",C85,V84)</f>
        <v/>
      </c>
      <c r="W85" s="0" t="str">
        <f aca="false">IF(A85="Capítulo",C85,"")</f>
        <v/>
      </c>
    </row>
    <row r="86" customFormat="false" ht="16.5" hidden="false" customHeight="true" outlineLevel="0" collapsed="false">
      <c r="A86" s="15"/>
      <c r="B86" s="15"/>
      <c r="C86" s="79"/>
      <c r="D86" s="15"/>
      <c r="E86" s="80"/>
      <c r="F86" s="16"/>
      <c r="G86" s="10" t="str">
        <f aca="false">IF($A86&lt;&gt;"Ítem","",E86*F86)</f>
        <v/>
      </c>
      <c r="H86" s="16"/>
      <c r="I86" s="10" t="str">
        <f aca="false">IF($A86&lt;&gt;"Ítem","",N(H86)*IF(p_IVAMat="Sí",1+p_IVA,1))</f>
        <v/>
      </c>
      <c r="J86" s="16"/>
      <c r="K86" s="16"/>
      <c r="L86" s="15"/>
      <c r="M86" s="16"/>
      <c r="N86" s="10" t="str">
        <f aca="false">IF($A86&lt;&gt;"Ítem","",I86+N(J86)+N(K86)+N(M86))</f>
        <v/>
      </c>
      <c r="O86" s="10" t="str">
        <f aca="false">IF($A86&lt;&gt;"Ítem","",E86*I86)</f>
        <v/>
      </c>
      <c r="P86" s="10" t="str">
        <f aca="false">IF($A86&lt;&gt;"Ítem","",E86*N(J86))</f>
        <v/>
      </c>
      <c r="Q86" s="10" t="str">
        <f aca="false">IF($A86&lt;&gt;"Ítem","",E86*N(K86))</f>
        <v/>
      </c>
      <c r="R86" s="10" t="str">
        <f aca="false">IF($A86&lt;&gt;"Ítem","",E86*N(M86))</f>
        <v/>
      </c>
      <c r="S86" s="37" t="str">
        <f aca="false">IF($A86&lt;&gt;"Ítem","",E86*N86)</f>
        <v/>
      </c>
      <c r="T86" s="10" t="str">
        <f aca="false">IF($A86&lt;&gt;"Ítem","",G86-S86)</f>
        <v/>
      </c>
      <c r="U86" s="36" t="str">
        <f aca="false">IF(OR($A86&lt;&gt;"Ítem",N(G86)=0),"",T86/G86)</f>
        <v/>
      </c>
      <c r="V86" s="81" t="str">
        <f aca="false">IF(A86="Capítulo",C86,V85)</f>
        <v/>
      </c>
      <c r="W86" s="0" t="str">
        <f aca="false">IF(A86="Capítulo",C86,"")</f>
        <v/>
      </c>
    </row>
    <row r="87" customFormat="false" ht="16.5" hidden="false" customHeight="true" outlineLevel="0" collapsed="false">
      <c r="A87" s="15"/>
      <c r="B87" s="15"/>
      <c r="C87" s="79"/>
      <c r="D87" s="15"/>
      <c r="E87" s="80"/>
      <c r="F87" s="16"/>
      <c r="G87" s="10" t="str">
        <f aca="false">IF($A87&lt;&gt;"Ítem","",E87*F87)</f>
        <v/>
      </c>
      <c r="H87" s="16"/>
      <c r="I87" s="10" t="str">
        <f aca="false">IF($A87&lt;&gt;"Ítem","",N(H87)*IF(p_IVAMat="Sí",1+p_IVA,1))</f>
        <v/>
      </c>
      <c r="J87" s="16"/>
      <c r="K87" s="16"/>
      <c r="L87" s="15"/>
      <c r="M87" s="16"/>
      <c r="N87" s="10" t="str">
        <f aca="false">IF($A87&lt;&gt;"Ítem","",I87+N(J87)+N(K87)+N(M87))</f>
        <v/>
      </c>
      <c r="O87" s="10" t="str">
        <f aca="false">IF($A87&lt;&gt;"Ítem","",E87*I87)</f>
        <v/>
      </c>
      <c r="P87" s="10" t="str">
        <f aca="false">IF($A87&lt;&gt;"Ítem","",E87*N(J87))</f>
        <v/>
      </c>
      <c r="Q87" s="10" t="str">
        <f aca="false">IF($A87&lt;&gt;"Ítem","",E87*N(K87))</f>
        <v/>
      </c>
      <c r="R87" s="10" t="str">
        <f aca="false">IF($A87&lt;&gt;"Ítem","",E87*N(M87))</f>
        <v/>
      </c>
      <c r="S87" s="37" t="str">
        <f aca="false">IF($A87&lt;&gt;"Ítem","",E87*N87)</f>
        <v/>
      </c>
      <c r="T87" s="10" t="str">
        <f aca="false">IF($A87&lt;&gt;"Ítem","",G87-S87)</f>
        <v/>
      </c>
      <c r="U87" s="36" t="str">
        <f aca="false">IF(OR($A87&lt;&gt;"Ítem",N(G87)=0),"",T87/G87)</f>
        <v/>
      </c>
      <c r="V87" s="81" t="str">
        <f aca="false">IF(A87="Capítulo",C87,V86)</f>
        <v/>
      </c>
      <c r="W87" s="0" t="str">
        <f aca="false">IF(A87="Capítulo",C87,"")</f>
        <v/>
      </c>
    </row>
    <row r="88" customFormat="false" ht="16.5" hidden="false" customHeight="true" outlineLevel="0" collapsed="false">
      <c r="A88" s="15"/>
      <c r="B88" s="15"/>
      <c r="C88" s="79"/>
      <c r="D88" s="15"/>
      <c r="E88" s="80"/>
      <c r="F88" s="16"/>
      <c r="G88" s="10" t="str">
        <f aca="false">IF($A88&lt;&gt;"Ítem","",E88*F88)</f>
        <v/>
      </c>
      <c r="H88" s="16"/>
      <c r="I88" s="10" t="str">
        <f aca="false">IF($A88&lt;&gt;"Ítem","",N(H88)*IF(p_IVAMat="Sí",1+p_IVA,1))</f>
        <v/>
      </c>
      <c r="J88" s="16"/>
      <c r="K88" s="16"/>
      <c r="L88" s="15"/>
      <c r="M88" s="16"/>
      <c r="N88" s="10" t="str">
        <f aca="false">IF($A88&lt;&gt;"Ítem","",I88+N(J88)+N(K88)+N(M88))</f>
        <v/>
      </c>
      <c r="O88" s="10" t="str">
        <f aca="false">IF($A88&lt;&gt;"Ítem","",E88*I88)</f>
        <v/>
      </c>
      <c r="P88" s="10" t="str">
        <f aca="false">IF($A88&lt;&gt;"Ítem","",E88*N(J88))</f>
        <v/>
      </c>
      <c r="Q88" s="10" t="str">
        <f aca="false">IF($A88&lt;&gt;"Ítem","",E88*N(K88))</f>
        <v/>
      </c>
      <c r="R88" s="10" t="str">
        <f aca="false">IF($A88&lt;&gt;"Ítem","",E88*N(M88))</f>
        <v/>
      </c>
      <c r="S88" s="37" t="str">
        <f aca="false">IF($A88&lt;&gt;"Ítem","",E88*N88)</f>
        <v/>
      </c>
      <c r="T88" s="10" t="str">
        <f aca="false">IF($A88&lt;&gt;"Ítem","",G88-S88)</f>
        <v/>
      </c>
      <c r="U88" s="36" t="str">
        <f aca="false">IF(OR($A88&lt;&gt;"Ítem",N(G88)=0),"",T88/G88)</f>
        <v/>
      </c>
      <c r="V88" s="81" t="str">
        <f aca="false">IF(A88="Capítulo",C88,V87)</f>
        <v/>
      </c>
      <c r="W88" s="0" t="str">
        <f aca="false">IF(A88="Capítulo",C88,"")</f>
        <v/>
      </c>
    </row>
    <row r="89" customFormat="false" ht="16.5" hidden="false" customHeight="true" outlineLevel="0" collapsed="false">
      <c r="A89" s="15"/>
      <c r="B89" s="15"/>
      <c r="C89" s="79"/>
      <c r="D89" s="15"/>
      <c r="E89" s="80"/>
      <c r="F89" s="16"/>
      <c r="G89" s="10" t="str">
        <f aca="false">IF($A89&lt;&gt;"Ítem","",E89*F89)</f>
        <v/>
      </c>
      <c r="H89" s="16"/>
      <c r="I89" s="10" t="str">
        <f aca="false">IF($A89&lt;&gt;"Ítem","",N(H89)*IF(p_IVAMat="Sí",1+p_IVA,1))</f>
        <v/>
      </c>
      <c r="J89" s="16"/>
      <c r="K89" s="16"/>
      <c r="L89" s="15"/>
      <c r="M89" s="16"/>
      <c r="N89" s="10" t="str">
        <f aca="false">IF($A89&lt;&gt;"Ítem","",I89+N(J89)+N(K89)+N(M89))</f>
        <v/>
      </c>
      <c r="O89" s="10" t="str">
        <f aca="false">IF($A89&lt;&gt;"Ítem","",E89*I89)</f>
        <v/>
      </c>
      <c r="P89" s="10" t="str">
        <f aca="false">IF($A89&lt;&gt;"Ítem","",E89*N(J89))</f>
        <v/>
      </c>
      <c r="Q89" s="10" t="str">
        <f aca="false">IF($A89&lt;&gt;"Ítem","",E89*N(K89))</f>
        <v/>
      </c>
      <c r="R89" s="10" t="str">
        <f aca="false">IF($A89&lt;&gt;"Ítem","",E89*N(M89))</f>
        <v/>
      </c>
      <c r="S89" s="37" t="str">
        <f aca="false">IF($A89&lt;&gt;"Ítem","",E89*N89)</f>
        <v/>
      </c>
      <c r="T89" s="10" t="str">
        <f aca="false">IF($A89&lt;&gt;"Ítem","",G89-S89)</f>
        <v/>
      </c>
      <c r="U89" s="36" t="str">
        <f aca="false">IF(OR($A89&lt;&gt;"Ítem",N(G89)=0),"",T89/G89)</f>
        <v/>
      </c>
      <c r="V89" s="81" t="str">
        <f aca="false">IF(A89="Capítulo",C89,V88)</f>
        <v/>
      </c>
      <c r="W89" s="0" t="str">
        <f aca="false">IF(A89="Capítulo",C89,"")</f>
        <v/>
      </c>
    </row>
    <row r="90" customFormat="false" ht="16.5" hidden="false" customHeight="true" outlineLevel="0" collapsed="false">
      <c r="A90" s="15"/>
      <c r="B90" s="15"/>
      <c r="C90" s="79"/>
      <c r="D90" s="15"/>
      <c r="E90" s="80"/>
      <c r="F90" s="16"/>
      <c r="G90" s="10" t="str">
        <f aca="false">IF($A90&lt;&gt;"Ítem","",E90*F90)</f>
        <v/>
      </c>
      <c r="H90" s="16"/>
      <c r="I90" s="10" t="str">
        <f aca="false">IF($A90&lt;&gt;"Ítem","",N(H90)*IF(p_IVAMat="Sí",1+p_IVA,1))</f>
        <v/>
      </c>
      <c r="J90" s="16"/>
      <c r="K90" s="16"/>
      <c r="L90" s="15"/>
      <c r="M90" s="16"/>
      <c r="N90" s="10" t="str">
        <f aca="false">IF($A90&lt;&gt;"Ítem","",I90+N(J90)+N(K90)+N(M90))</f>
        <v/>
      </c>
      <c r="O90" s="10" t="str">
        <f aca="false">IF($A90&lt;&gt;"Ítem","",E90*I90)</f>
        <v/>
      </c>
      <c r="P90" s="10" t="str">
        <f aca="false">IF($A90&lt;&gt;"Ítem","",E90*N(J90))</f>
        <v/>
      </c>
      <c r="Q90" s="10" t="str">
        <f aca="false">IF($A90&lt;&gt;"Ítem","",E90*N(K90))</f>
        <v/>
      </c>
      <c r="R90" s="10" t="str">
        <f aca="false">IF($A90&lt;&gt;"Ítem","",E90*N(M90))</f>
        <v/>
      </c>
      <c r="S90" s="37" t="str">
        <f aca="false">IF($A90&lt;&gt;"Ítem","",E90*N90)</f>
        <v/>
      </c>
      <c r="T90" s="10" t="str">
        <f aca="false">IF($A90&lt;&gt;"Ítem","",G90-S90)</f>
        <v/>
      </c>
      <c r="U90" s="36" t="str">
        <f aca="false">IF(OR($A90&lt;&gt;"Ítem",N(G90)=0),"",T90/G90)</f>
        <v/>
      </c>
      <c r="V90" s="81" t="str">
        <f aca="false">IF(A90="Capítulo",C90,V89)</f>
        <v/>
      </c>
      <c r="W90" s="0" t="str">
        <f aca="false">IF(A90="Capítulo",C90,"")</f>
        <v/>
      </c>
    </row>
    <row r="91" customFormat="false" ht="16.5" hidden="false" customHeight="true" outlineLevel="0" collapsed="false">
      <c r="A91" s="15"/>
      <c r="B91" s="15"/>
      <c r="C91" s="79"/>
      <c r="D91" s="15"/>
      <c r="E91" s="80"/>
      <c r="F91" s="16"/>
      <c r="G91" s="10" t="str">
        <f aca="false">IF($A91&lt;&gt;"Ítem","",E91*F91)</f>
        <v/>
      </c>
      <c r="H91" s="16"/>
      <c r="I91" s="10" t="str">
        <f aca="false">IF($A91&lt;&gt;"Ítem","",N(H91)*IF(p_IVAMat="Sí",1+p_IVA,1))</f>
        <v/>
      </c>
      <c r="J91" s="16"/>
      <c r="K91" s="16"/>
      <c r="L91" s="15"/>
      <c r="M91" s="16"/>
      <c r="N91" s="10" t="str">
        <f aca="false">IF($A91&lt;&gt;"Ítem","",I91+N(J91)+N(K91)+N(M91))</f>
        <v/>
      </c>
      <c r="O91" s="10" t="str">
        <f aca="false">IF($A91&lt;&gt;"Ítem","",E91*I91)</f>
        <v/>
      </c>
      <c r="P91" s="10" t="str">
        <f aca="false">IF($A91&lt;&gt;"Ítem","",E91*N(J91))</f>
        <v/>
      </c>
      <c r="Q91" s="10" t="str">
        <f aca="false">IF($A91&lt;&gt;"Ítem","",E91*N(K91))</f>
        <v/>
      </c>
      <c r="R91" s="10" t="str">
        <f aca="false">IF($A91&lt;&gt;"Ítem","",E91*N(M91))</f>
        <v/>
      </c>
      <c r="S91" s="37" t="str">
        <f aca="false">IF($A91&lt;&gt;"Ítem","",E91*N91)</f>
        <v/>
      </c>
      <c r="T91" s="10" t="str">
        <f aca="false">IF($A91&lt;&gt;"Ítem","",G91-S91)</f>
        <v/>
      </c>
      <c r="U91" s="36" t="str">
        <f aca="false">IF(OR($A91&lt;&gt;"Ítem",N(G91)=0),"",T91/G91)</f>
        <v/>
      </c>
      <c r="V91" s="81" t="str">
        <f aca="false">IF(A91="Capítulo",C91,V90)</f>
        <v/>
      </c>
      <c r="W91" s="0" t="str">
        <f aca="false">IF(A91="Capítulo",C91,"")</f>
        <v/>
      </c>
    </row>
    <row r="92" customFormat="false" ht="16.5" hidden="false" customHeight="true" outlineLevel="0" collapsed="false">
      <c r="A92" s="15"/>
      <c r="B92" s="15"/>
      <c r="C92" s="79"/>
      <c r="D92" s="15"/>
      <c r="E92" s="80"/>
      <c r="F92" s="16"/>
      <c r="G92" s="10" t="str">
        <f aca="false">IF($A92&lt;&gt;"Ítem","",E92*F92)</f>
        <v/>
      </c>
      <c r="H92" s="16"/>
      <c r="I92" s="10" t="str">
        <f aca="false">IF($A92&lt;&gt;"Ítem","",N(H92)*IF(p_IVAMat="Sí",1+p_IVA,1))</f>
        <v/>
      </c>
      <c r="J92" s="16"/>
      <c r="K92" s="16"/>
      <c r="L92" s="15"/>
      <c r="M92" s="16"/>
      <c r="N92" s="10" t="str">
        <f aca="false">IF($A92&lt;&gt;"Ítem","",I92+N(J92)+N(K92)+N(M92))</f>
        <v/>
      </c>
      <c r="O92" s="10" t="str">
        <f aca="false">IF($A92&lt;&gt;"Ítem","",E92*I92)</f>
        <v/>
      </c>
      <c r="P92" s="10" t="str">
        <f aca="false">IF($A92&lt;&gt;"Ítem","",E92*N(J92))</f>
        <v/>
      </c>
      <c r="Q92" s="10" t="str">
        <f aca="false">IF($A92&lt;&gt;"Ítem","",E92*N(K92))</f>
        <v/>
      </c>
      <c r="R92" s="10" t="str">
        <f aca="false">IF($A92&lt;&gt;"Ítem","",E92*N(M92))</f>
        <v/>
      </c>
      <c r="S92" s="37" t="str">
        <f aca="false">IF($A92&lt;&gt;"Ítem","",E92*N92)</f>
        <v/>
      </c>
      <c r="T92" s="10" t="str">
        <f aca="false">IF($A92&lt;&gt;"Ítem","",G92-S92)</f>
        <v/>
      </c>
      <c r="U92" s="36" t="str">
        <f aca="false">IF(OR($A92&lt;&gt;"Ítem",N(G92)=0),"",T92/G92)</f>
        <v/>
      </c>
      <c r="V92" s="81" t="str">
        <f aca="false">IF(A92="Capítulo",C92,V91)</f>
        <v/>
      </c>
      <c r="W92" s="0" t="str">
        <f aca="false">IF(A92="Capítulo",C92,"")</f>
        <v/>
      </c>
    </row>
    <row r="93" customFormat="false" ht="16.5" hidden="false" customHeight="true" outlineLevel="0" collapsed="false">
      <c r="A93" s="15"/>
      <c r="B93" s="15"/>
      <c r="C93" s="79"/>
      <c r="D93" s="15"/>
      <c r="E93" s="80"/>
      <c r="F93" s="16"/>
      <c r="G93" s="10" t="str">
        <f aca="false">IF($A93&lt;&gt;"Ítem","",E93*F93)</f>
        <v/>
      </c>
      <c r="H93" s="16"/>
      <c r="I93" s="10" t="str">
        <f aca="false">IF($A93&lt;&gt;"Ítem","",N(H93)*IF(p_IVAMat="Sí",1+p_IVA,1))</f>
        <v/>
      </c>
      <c r="J93" s="16"/>
      <c r="K93" s="16"/>
      <c r="L93" s="15"/>
      <c r="M93" s="16"/>
      <c r="N93" s="10" t="str">
        <f aca="false">IF($A93&lt;&gt;"Ítem","",I93+N(J93)+N(K93)+N(M93))</f>
        <v/>
      </c>
      <c r="O93" s="10" t="str">
        <f aca="false">IF($A93&lt;&gt;"Ítem","",E93*I93)</f>
        <v/>
      </c>
      <c r="P93" s="10" t="str">
        <f aca="false">IF($A93&lt;&gt;"Ítem","",E93*N(J93))</f>
        <v/>
      </c>
      <c r="Q93" s="10" t="str">
        <f aca="false">IF($A93&lt;&gt;"Ítem","",E93*N(K93))</f>
        <v/>
      </c>
      <c r="R93" s="10" t="str">
        <f aca="false">IF($A93&lt;&gt;"Ítem","",E93*N(M93))</f>
        <v/>
      </c>
      <c r="S93" s="37" t="str">
        <f aca="false">IF($A93&lt;&gt;"Ítem","",E93*N93)</f>
        <v/>
      </c>
      <c r="T93" s="10" t="str">
        <f aca="false">IF($A93&lt;&gt;"Ítem","",G93-S93)</f>
        <v/>
      </c>
      <c r="U93" s="36" t="str">
        <f aca="false">IF(OR($A93&lt;&gt;"Ítem",N(G93)=0),"",T93/G93)</f>
        <v/>
      </c>
      <c r="V93" s="81" t="str">
        <f aca="false">IF(A93="Capítulo",C93,V92)</f>
        <v/>
      </c>
      <c r="W93" s="0" t="str">
        <f aca="false">IF(A93="Capítulo",C93,"")</f>
        <v/>
      </c>
    </row>
    <row r="94" customFormat="false" ht="16.5" hidden="false" customHeight="true" outlineLevel="0" collapsed="false">
      <c r="A94" s="15"/>
      <c r="B94" s="15"/>
      <c r="C94" s="79"/>
      <c r="D94" s="15"/>
      <c r="E94" s="80"/>
      <c r="F94" s="16"/>
      <c r="G94" s="10" t="str">
        <f aca="false">IF($A94&lt;&gt;"Ítem","",E94*F94)</f>
        <v/>
      </c>
      <c r="H94" s="16"/>
      <c r="I94" s="10" t="str">
        <f aca="false">IF($A94&lt;&gt;"Ítem","",N(H94)*IF(p_IVAMat="Sí",1+p_IVA,1))</f>
        <v/>
      </c>
      <c r="J94" s="16"/>
      <c r="K94" s="16"/>
      <c r="L94" s="15"/>
      <c r="M94" s="16"/>
      <c r="N94" s="10" t="str">
        <f aca="false">IF($A94&lt;&gt;"Ítem","",I94+N(J94)+N(K94)+N(M94))</f>
        <v/>
      </c>
      <c r="O94" s="10" t="str">
        <f aca="false">IF($A94&lt;&gt;"Ítem","",E94*I94)</f>
        <v/>
      </c>
      <c r="P94" s="10" t="str">
        <f aca="false">IF($A94&lt;&gt;"Ítem","",E94*N(J94))</f>
        <v/>
      </c>
      <c r="Q94" s="10" t="str">
        <f aca="false">IF($A94&lt;&gt;"Ítem","",E94*N(K94))</f>
        <v/>
      </c>
      <c r="R94" s="10" t="str">
        <f aca="false">IF($A94&lt;&gt;"Ítem","",E94*N(M94))</f>
        <v/>
      </c>
      <c r="S94" s="37" t="str">
        <f aca="false">IF($A94&lt;&gt;"Ítem","",E94*N94)</f>
        <v/>
      </c>
      <c r="T94" s="10" t="str">
        <f aca="false">IF($A94&lt;&gt;"Ítem","",G94-S94)</f>
        <v/>
      </c>
      <c r="U94" s="36" t="str">
        <f aca="false">IF(OR($A94&lt;&gt;"Ítem",N(G94)=0),"",T94/G94)</f>
        <v/>
      </c>
      <c r="V94" s="81" t="str">
        <f aca="false">IF(A94="Capítulo",C94,V93)</f>
        <v/>
      </c>
      <c r="W94" s="0" t="str">
        <f aca="false">IF(A94="Capítulo",C94,"")</f>
        <v/>
      </c>
    </row>
    <row r="95" customFormat="false" ht="16.5" hidden="false" customHeight="true" outlineLevel="0" collapsed="false">
      <c r="A95" s="15"/>
      <c r="B95" s="15"/>
      <c r="C95" s="79"/>
      <c r="D95" s="15"/>
      <c r="E95" s="80"/>
      <c r="F95" s="16"/>
      <c r="G95" s="10" t="str">
        <f aca="false">IF($A95&lt;&gt;"Ítem","",E95*F95)</f>
        <v/>
      </c>
      <c r="H95" s="16"/>
      <c r="I95" s="10" t="str">
        <f aca="false">IF($A95&lt;&gt;"Ítem","",N(H95)*IF(p_IVAMat="Sí",1+p_IVA,1))</f>
        <v/>
      </c>
      <c r="J95" s="16"/>
      <c r="K95" s="16"/>
      <c r="L95" s="15"/>
      <c r="M95" s="16"/>
      <c r="N95" s="10" t="str">
        <f aca="false">IF($A95&lt;&gt;"Ítem","",I95+N(J95)+N(K95)+N(M95))</f>
        <v/>
      </c>
      <c r="O95" s="10" t="str">
        <f aca="false">IF($A95&lt;&gt;"Ítem","",E95*I95)</f>
        <v/>
      </c>
      <c r="P95" s="10" t="str">
        <f aca="false">IF($A95&lt;&gt;"Ítem","",E95*N(J95))</f>
        <v/>
      </c>
      <c r="Q95" s="10" t="str">
        <f aca="false">IF($A95&lt;&gt;"Ítem","",E95*N(K95))</f>
        <v/>
      </c>
      <c r="R95" s="10" t="str">
        <f aca="false">IF($A95&lt;&gt;"Ítem","",E95*N(M95))</f>
        <v/>
      </c>
      <c r="S95" s="37" t="str">
        <f aca="false">IF($A95&lt;&gt;"Ítem","",E95*N95)</f>
        <v/>
      </c>
      <c r="T95" s="10" t="str">
        <f aca="false">IF($A95&lt;&gt;"Ítem","",G95-S95)</f>
        <v/>
      </c>
      <c r="U95" s="36" t="str">
        <f aca="false">IF(OR($A95&lt;&gt;"Ítem",N(G95)=0),"",T95/G95)</f>
        <v/>
      </c>
      <c r="V95" s="81" t="str">
        <f aca="false">IF(A95="Capítulo",C95,V94)</f>
        <v/>
      </c>
      <c r="W95" s="0" t="str">
        <f aca="false">IF(A95="Capítulo",C95,"")</f>
        <v/>
      </c>
    </row>
    <row r="96" customFormat="false" ht="16.5" hidden="false" customHeight="true" outlineLevel="0" collapsed="false">
      <c r="A96" s="15"/>
      <c r="B96" s="15"/>
      <c r="C96" s="79"/>
      <c r="D96" s="15"/>
      <c r="E96" s="80"/>
      <c r="F96" s="16"/>
      <c r="G96" s="10" t="str">
        <f aca="false">IF($A96&lt;&gt;"Ítem","",E96*F96)</f>
        <v/>
      </c>
      <c r="H96" s="16"/>
      <c r="I96" s="10" t="str">
        <f aca="false">IF($A96&lt;&gt;"Ítem","",N(H96)*IF(p_IVAMat="Sí",1+p_IVA,1))</f>
        <v/>
      </c>
      <c r="J96" s="16"/>
      <c r="K96" s="16"/>
      <c r="L96" s="15"/>
      <c r="M96" s="16"/>
      <c r="N96" s="10" t="str">
        <f aca="false">IF($A96&lt;&gt;"Ítem","",I96+N(J96)+N(K96)+N(M96))</f>
        <v/>
      </c>
      <c r="O96" s="10" t="str">
        <f aca="false">IF($A96&lt;&gt;"Ítem","",E96*I96)</f>
        <v/>
      </c>
      <c r="P96" s="10" t="str">
        <f aca="false">IF($A96&lt;&gt;"Ítem","",E96*N(J96))</f>
        <v/>
      </c>
      <c r="Q96" s="10" t="str">
        <f aca="false">IF($A96&lt;&gt;"Ítem","",E96*N(K96))</f>
        <v/>
      </c>
      <c r="R96" s="10" t="str">
        <f aca="false">IF($A96&lt;&gt;"Ítem","",E96*N(M96))</f>
        <v/>
      </c>
      <c r="S96" s="37" t="str">
        <f aca="false">IF($A96&lt;&gt;"Ítem","",E96*N96)</f>
        <v/>
      </c>
      <c r="T96" s="10" t="str">
        <f aca="false">IF($A96&lt;&gt;"Ítem","",G96-S96)</f>
        <v/>
      </c>
      <c r="U96" s="36" t="str">
        <f aca="false">IF(OR($A96&lt;&gt;"Ítem",N(G96)=0),"",T96/G96)</f>
        <v/>
      </c>
      <c r="V96" s="81" t="str">
        <f aca="false">IF(A96="Capítulo",C96,V95)</f>
        <v/>
      </c>
      <c r="W96" s="0" t="str">
        <f aca="false">IF(A96="Capítulo",C96,"")</f>
        <v/>
      </c>
    </row>
    <row r="97" customFormat="false" ht="16.5" hidden="false" customHeight="true" outlineLevel="0" collapsed="false">
      <c r="A97" s="15"/>
      <c r="B97" s="15"/>
      <c r="C97" s="79"/>
      <c r="D97" s="15"/>
      <c r="E97" s="80"/>
      <c r="F97" s="16"/>
      <c r="G97" s="10" t="str">
        <f aca="false">IF($A97&lt;&gt;"Ítem","",E97*F97)</f>
        <v/>
      </c>
      <c r="H97" s="16"/>
      <c r="I97" s="10" t="str">
        <f aca="false">IF($A97&lt;&gt;"Ítem","",N(H97)*IF(p_IVAMat="Sí",1+p_IVA,1))</f>
        <v/>
      </c>
      <c r="J97" s="16"/>
      <c r="K97" s="16"/>
      <c r="L97" s="15"/>
      <c r="M97" s="16"/>
      <c r="N97" s="10" t="str">
        <f aca="false">IF($A97&lt;&gt;"Ítem","",I97+N(J97)+N(K97)+N(M97))</f>
        <v/>
      </c>
      <c r="O97" s="10" t="str">
        <f aca="false">IF($A97&lt;&gt;"Ítem","",E97*I97)</f>
        <v/>
      </c>
      <c r="P97" s="10" t="str">
        <f aca="false">IF($A97&lt;&gt;"Ítem","",E97*N(J97))</f>
        <v/>
      </c>
      <c r="Q97" s="10" t="str">
        <f aca="false">IF($A97&lt;&gt;"Ítem","",E97*N(K97))</f>
        <v/>
      </c>
      <c r="R97" s="10" t="str">
        <f aca="false">IF($A97&lt;&gt;"Ítem","",E97*N(M97))</f>
        <v/>
      </c>
      <c r="S97" s="37" t="str">
        <f aca="false">IF($A97&lt;&gt;"Ítem","",E97*N97)</f>
        <v/>
      </c>
      <c r="T97" s="10" t="str">
        <f aca="false">IF($A97&lt;&gt;"Ítem","",G97-S97)</f>
        <v/>
      </c>
      <c r="U97" s="36" t="str">
        <f aca="false">IF(OR($A97&lt;&gt;"Ítem",N(G97)=0),"",T97/G97)</f>
        <v/>
      </c>
      <c r="V97" s="81" t="str">
        <f aca="false">IF(A97="Capítulo",C97,V96)</f>
        <v/>
      </c>
      <c r="W97" s="0" t="str">
        <f aca="false">IF(A97="Capítulo",C97,"")</f>
        <v/>
      </c>
    </row>
    <row r="98" customFormat="false" ht="16.5" hidden="false" customHeight="true" outlineLevel="0" collapsed="false">
      <c r="A98" s="15"/>
      <c r="B98" s="15"/>
      <c r="C98" s="79"/>
      <c r="D98" s="15"/>
      <c r="E98" s="80"/>
      <c r="F98" s="16"/>
      <c r="G98" s="10" t="str">
        <f aca="false">IF($A98&lt;&gt;"Ítem","",E98*F98)</f>
        <v/>
      </c>
      <c r="H98" s="16"/>
      <c r="I98" s="10" t="str">
        <f aca="false">IF($A98&lt;&gt;"Ítem","",N(H98)*IF(p_IVAMat="Sí",1+p_IVA,1))</f>
        <v/>
      </c>
      <c r="J98" s="16"/>
      <c r="K98" s="16"/>
      <c r="L98" s="15"/>
      <c r="M98" s="16"/>
      <c r="N98" s="10" t="str">
        <f aca="false">IF($A98&lt;&gt;"Ítem","",I98+N(J98)+N(K98)+N(M98))</f>
        <v/>
      </c>
      <c r="O98" s="10" t="str">
        <f aca="false">IF($A98&lt;&gt;"Ítem","",E98*I98)</f>
        <v/>
      </c>
      <c r="P98" s="10" t="str">
        <f aca="false">IF($A98&lt;&gt;"Ítem","",E98*N(J98))</f>
        <v/>
      </c>
      <c r="Q98" s="10" t="str">
        <f aca="false">IF($A98&lt;&gt;"Ítem","",E98*N(K98))</f>
        <v/>
      </c>
      <c r="R98" s="10" t="str">
        <f aca="false">IF($A98&lt;&gt;"Ítem","",E98*N(M98))</f>
        <v/>
      </c>
      <c r="S98" s="37" t="str">
        <f aca="false">IF($A98&lt;&gt;"Ítem","",E98*N98)</f>
        <v/>
      </c>
      <c r="T98" s="10" t="str">
        <f aca="false">IF($A98&lt;&gt;"Ítem","",G98-S98)</f>
        <v/>
      </c>
      <c r="U98" s="36" t="str">
        <f aca="false">IF(OR($A98&lt;&gt;"Ítem",N(G98)=0),"",T98/G98)</f>
        <v/>
      </c>
      <c r="V98" s="81" t="str">
        <f aca="false">IF(A98="Capítulo",C98,V97)</f>
        <v/>
      </c>
      <c r="W98" s="0" t="str">
        <f aca="false">IF(A98="Capítulo",C98,"")</f>
        <v/>
      </c>
    </row>
    <row r="99" customFormat="false" ht="16.5" hidden="false" customHeight="true" outlineLevel="0" collapsed="false">
      <c r="A99" s="15"/>
      <c r="B99" s="15"/>
      <c r="C99" s="79"/>
      <c r="D99" s="15"/>
      <c r="E99" s="80"/>
      <c r="F99" s="16"/>
      <c r="G99" s="10" t="str">
        <f aca="false">IF($A99&lt;&gt;"Ítem","",E99*F99)</f>
        <v/>
      </c>
      <c r="H99" s="16"/>
      <c r="I99" s="10" t="str">
        <f aca="false">IF($A99&lt;&gt;"Ítem","",N(H99)*IF(p_IVAMat="Sí",1+p_IVA,1))</f>
        <v/>
      </c>
      <c r="J99" s="16"/>
      <c r="K99" s="16"/>
      <c r="L99" s="15"/>
      <c r="M99" s="16"/>
      <c r="N99" s="10" t="str">
        <f aca="false">IF($A99&lt;&gt;"Ítem","",I99+N(J99)+N(K99)+N(M99))</f>
        <v/>
      </c>
      <c r="O99" s="10" t="str">
        <f aca="false">IF($A99&lt;&gt;"Ítem","",E99*I99)</f>
        <v/>
      </c>
      <c r="P99" s="10" t="str">
        <f aca="false">IF($A99&lt;&gt;"Ítem","",E99*N(J99))</f>
        <v/>
      </c>
      <c r="Q99" s="10" t="str">
        <f aca="false">IF($A99&lt;&gt;"Ítem","",E99*N(K99))</f>
        <v/>
      </c>
      <c r="R99" s="10" t="str">
        <f aca="false">IF($A99&lt;&gt;"Ítem","",E99*N(M99))</f>
        <v/>
      </c>
      <c r="S99" s="37" t="str">
        <f aca="false">IF($A99&lt;&gt;"Ítem","",E99*N99)</f>
        <v/>
      </c>
      <c r="T99" s="10" t="str">
        <f aca="false">IF($A99&lt;&gt;"Ítem","",G99-S99)</f>
        <v/>
      </c>
      <c r="U99" s="36" t="str">
        <f aca="false">IF(OR($A99&lt;&gt;"Ítem",N(G99)=0),"",T99/G99)</f>
        <v/>
      </c>
      <c r="V99" s="81" t="str">
        <f aca="false">IF(A99="Capítulo",C99,V98)</f>
        <v/>
      </c>
      <c r="W99" s="0" t="str">
        <f aca="false">IF(A99="Capítulo",C99,"")</f>
        <v/>
      </c>
    </row>
    <row r="100" customFormat="false" ht="16.5" hidden="false" customHeight="true" outlineLevel="0" collapsed="false">
      <c r="A100" s="15"/>
      <c r="B100" s="15"/>
      <c r="C100" s="79"/>
      <c r="D100" s="15"/>
      <c r="E100" s="80"/>
      <c r="F100" s="16"/>
      <c r="G100" s="10" t="str">
        <f aca="false">IF($A100&lt;&gt;"Ítem","",E100*F100)</f>
        <v/>
      </c>
      <c r="H100" s="16"/>
      <c r="I100" s="10" t="str">
        <f aca="false">IF($A100&lt;&gt;"Ítem","",N(H100)*IF(p_IVAMat="Sí",1+p_IVA,1))</f>
        <v/>
      </c>
      <c r="J100" s="16"/>
      <c r="K100" s="16"/>
      <c r="L100" s="15"/>
      <c r="M100" s="16"/>
      <c r="N100" s="10" t="str">
        <f aca="false">IF($A100&lt;&gt;"Ítem","",I100+N(J100)+N(K100)+N(M100))</f>
        <v/>
      </c>
      <c r="O100" s="10" t="str">
        <f aca="false">IF($A100&lt;&gt;"Ítem","",E100*I100)</f>
        <v/>
      </c>
      <c r="P100" s="10" t="str">
        <f aca="false">IF($A100&lt;&gt;"Ítem","",E100*N(J100))</f>
        <v/>
      </c>
      <c r="Q100" s="10" t="str">
        <f aca="false">IF($A100&lt;&gt;"Ítem","",E100*N(K100))</f>
        <v/>
      </c>
      <c r="R100" s="10" t="str">
        <f aca="false">IF($A100&lt;&gt;"Ítem","",E100*N(M100))</f>
        <v/>
      </c>
      <c r="S100" s="37" t="str">
        <f aca="false">IF($A100&lt;&gt;"Ítem","",E100*N100)</f>
        <v/>
      </c>
      <c r="T100" s="10" t="str">
        <f aca="false">IF($A100&lt;&gt;"Ítem","",G100-S100)</f>
        <v/>
      </c>
      <c r="U100" s="36" t="str">
        <f aca="false">IF(OR($A100&lt;&gt;"Ítem",N(G100)=0),"",T100/G100)</f>
        <v/>
      </c>
      <c r="V100" s="81" t="str">
        <f aca="false">IF(A100="Capítulo",C100,V99)</f>
        <v/>
      </c>
      <c r="W100" s="0" t="str">
        <f aca="false">IF(A100="Capítulo",C100,"")</f>
        <v/>
      </c>
    </row>
    <row r="101" customFormat="false" ht="16.5" hidden="false" customHeight="true" outlineLevel="0" collapsed="false">
      <c r="A101" s="15"/>
      <c r="B101" s="15"/>
      <c r="C101" s="79"/>
      <c r="D101" s="15"/>
      <c r="E101" s="80"/>
      <c r="F101" s="16"/>
      <c r="G101" s="10" t="str">
        <f aca="false">IF($A101&lt;&gt;"Ítem","",E101*F101)</f>
        <v/>
      </c>
      <c r="H101" s="16"/>
      <c r="I101" s="10" t="str">
        <f aca="false">IF($A101&lt;&gt;"Ítem","",N(H101)*IF(p_IVAMat="Sí",1+p_IVA,1))</f>
        <v/>
      </c>
      <c r="J101" s="16"/>
      <c r="K101" s="16"/>
      <c r="L101" s="15"/>
      <c r="M101" s="16"/>
      <c r="N101" s="10" t="str">
        <f aca="false">IF($A101&lt;&gt;"Ítem","",I101+N(J101)+N(K101)+N(M101))</f>
        <v/>
      </c>
      <c r="O101" s="10" t="str">
        <f aca="false">IF($A101&lt;&gt;"Ítem","",E101*I101)</f>
        <v/>
      </c>
      <c r="P101" s="10" t="str">
        <f aca="false">IF($A101&lt;&gt;"Ítem","",E101*N(J101))</f>
        <v/>
      </c>
      <c r="Q101" s="10" t="str">
        <f aca="false">IF($A101&lt;&gt;"Ítem","",E101*N(K101))</f>
        <v/>
      </c>
      <c r="R101" s="10" t="str">
        <f aca="false">IF($A101&lt;&gt;"Ítem","",E101*N(M101))</f>
        <v/>
      </c>
      <c r="S101" s="37" t="str">
        <f aca="false">IF($A101&lt;&gt;"Ítem","",E101*N101)</f>
        <v/>
      </c>
      <c r="T101" s="10" t="str">
        <f aca="false">IF($A101&lt;&gt;"Ítem","",G101-S101)</f>
        <v/>
      </c>
      <c r="U101" s="36" t="str">
        <f aca="false">IF(OR($A101&lt;&gt;"Ítem",N(G101)=0),"",T101/G101)</f>
        <v/>
      </c>
      <c r="V101" s="81" t="str">
        <f aca="false">IF(A101="Capítulo",C101,V100)</f>
        <v/>
      </c>
      <c r="W101" s="0" t="str">
        <f aca="false">IF(A101="Capítulo",C101,"")</f>
        <v/>
      </c>
    </row>
    <row r="102" customFormat="false" ht="16.5" hidden="false" customHeight="true" outlineLevel="0" collapsed="false">
      <c r="A102" s="15"/>
      <c r="B102" s="15"/>
      <c r="C102" s="79"/>
      <c r="D102" s="15"/>
      <c r="E102" s="80"/>
      <c r="F102" s="16"/>
      <c r="G102" s="10" t="str">
        <f aca="false">IF($A102&lt;&gt;"Ítem","",E102*F102)</f>
        <v/>
      </c>
      <c r="H102" s="16"/>
      <c r="I102" s="10" t="str">
        <f aca="false">IF($A102&lt;&gt;"Ítem","",N(H102)*IF(p_IVAMat="Sí",1+p_IVA,1))</f>
        <v/>
      </c>
      <c r="J102" s="16"/>
      <c r="K102" s="16"/>
      <c r="L102" s="15"/>
      <c r="M102" s="16"/>
      <c r="N102" s="10" t="str">
        <f aca="false">IF($A102&lt;&gt;"Ítem","",I102+N(J102)+N(K102)+N(M102))</f>
        <v/>
      </c>
      <c r="O102" s="10" t="str">
        <f aca="false">IF($A102&lt;&gt;"Ítem","",E102*I102)</f>
        <v/>
      </c>
      <c r="P102" s="10" t="str">
        <f aca="false">IF($A102&lt;&gt;"Ítem","",E102*N(J102))</f>
        <v/>
      </c>
      <c r="Q102" s="10" t="str">
        <f aca="false">IF($A102&lt;&gt;"Ítem","",E102*N(K102))</f>
        <v/>
      </c>
      <c r="R102" s="10" t="str">
        <f aca="false">IF($A102&lt;&gt;"Ítem","",E102*N(M102))</f>
        <v/>
      </c>
      <c r="S102" s="37" t="str">
        <f aca="false">IF($A102&lt;&gt;"Ítem","",E102*N102)</f>
        <v/>
      </c>
      <c r="T102" s="10" t="str">
        <f aca="false">IF($A102&lt;&gt;"Ítem","",G102-S102)</f>
        <v/>
      </c>
      <c r="U102" s="36" t="str">
        <f aca="false">IF(OR($A102&lt;&gt;"Ítem",N(G102)=0),"",T102/G102)</f>
        <v/>
      </c>
      <c r="V102" s="81" t="str">
        <f aca="false">IF(A102="Capítulo",C102,V101)</f>
        <v/>
      </c>
      <c r="W102" s="0" t="str">
        <f aca="false">IF(A102="Capítulo",C102,"")</f>
        <v/>
      </c>
    </row>
    <row r="103" customFormat="false" ht="16.5" hidden="false" customHeight="true" outlineLevel="0" collapsed="false">
      <c r="A103" s="15"/>
      <c r="B103" s="15"/>
      <c r="C103" s="79"/>
      <c r="D103" s="15"/>
      <c r="E103" s="80"/>
      <c r="F103" s="16"/>
      <c r="G103" s="10" t="str">
        <f aca="false">IF($A103&lt;&gt;"Ítem","",E103*F103)</f>
        <v/>
      </c>
      <c r="H103" s="16"/>
      <c r="I103" s="10" t="str">
        <f aca="false">IF($A103&lt;&gt;"Ítem","",N(H103)*IF(p_IVAMat="Sí",1+p_IVA,1))</f>
        <v/>
      </c>
      <c r="J103" s="16"/>
      <c r="K103" s="16"/>
      <c r="L103" s="15"/>
      <c r="M103" s="16"/>
      <c r="N103" s="10" t="str">
        <f aca="false">IF($A103&lt;&gt;"Ítem","",I103+N(J103)+N(K103)+N(M103))</f>
        <v/>
      </c>
      <c r="O103" s="10" t="str">
        <f aca="false">IF($A103&lt;&gt;"Ítem","",E103*I103)</f>
        <v/>
      </c>
      <c r="P103" s="10" t="str">
        <f aca="false">IF($A103&lt;&gt;"Ítem","",E103*N(J103))</f>
        <v/>
      </c>
      <c r="Q103" s="10" t="str">
        <f aca="false">IF($A103&lt;&gt;"Ítem","",E103*N(K103))</f>
        <v/>
      </c>
      <c r="R103" s="10" t="str">
        <f aca="false">IF($A103&lt;&gt;"Ítem","",E103*N(M103))</f>
        <v/>
      </c>
      <c r="S103" s="37" t="str">
        <f aca="false">IF($A103&lt;&gt;"Ítem","",E103*N103)</f>
        <v/>
      </c>
      <c r="T103" s="10" t="str">
        <f aca="false">IF($A103&lt;&gt;"Ítem","",G103-S103)</f>
        <v/>
      </c>
      <c r="U103" s="36" t="str">
        <f aca="false">IF(OR($A103&lt;&gt;"Ítem",N(G103)=0),"",T103/G103)</f>
        <v/>
      </c>
      <c r="V103" s="81" t="str">
        <f aca="false">IF(A103="Capítulo",C103,V102)</f>
        <v/>
      </c>
      <c r="W103" s="0" t="str">
        <f aca="false">IF(A103="Capítulo",C103,"")</f>
        <v/>
      </c>
    </row>
    <row r="104" customFormat="false" ht="16.5" hidden="false" customHeight="true" outlineLevel="0" collapsed="false">
      <c r="A104" s="15"/>
      <c r="B104" s="15"/>
      <c r="C104" s="79"/>
      <c r="D104" s="15"/>
      <c r="E104" s="80"/>
      <c r="F104" s="16"/>
      <c r="G104" s="10" t="str">
        <f aca="false">IF($A104&lt;&gt;"Ítem","",E104*F104)</f>
        <v/>
      </c>
      <c r="H104" s="16"/>
      <c r="I104" s="10" t="str">
        <f aca="false">IF($A104&lt;&gt;"Ítem","",N(H104)*IF(p_IVAMat="Sí",1+p_IVA,1))</f>
        <v/>
      </c>
      <c r="J104" s="16"/>
      <c r="K104" s="16"/>
      <c r="L104" s="15"/>
      <c r="M104" s="16"/>
      <c r="N104" s="10" t="str">
        <f aca="false">IF($A104&lt;&gt;"Ítem","",I104+N(J104)+N(K104)+N(M104))</f>
        <v/>
      </c>
      <c r="O104" s="10" t="str">
        <f aca="false">IF($A104&lt;&gt;"Ítem","",E104*I104)</f>
        <v/>
      </c>
      <c r="P104" s="10" t="str">
        <f aca="false">IF($A104&lt;&gt;"Ítem","",E104*N(J104))</f>
        <v/>
      </c>
      <c r="Q104" s="10" t="str">
        <f aca="false">IF($A104&lt;&gt;"Ítem","",E104*N(K104))</f>
        <v/>
      </c>
      <c r="R104" s="10" t="str">
        <f aca="false">IF($A104&lt;&gt;"Ítem","",E104*N(M104))</f>
        <v/>
      </c>
      <c r="S104" s="37" t="str">
        <f aca="false">IF($A104&lt;&gt;"Ítem","",E104*N104)</f>
        <v/>
      </c>
      <c r="T104" s="10" t="str">
        <f aca="false">IF($A104&lt;&gt;"Ítem","",G104-S104)</f>
        <v/>
      </c>
      <c r="U104" s="36" t="str">
        <f aca="false">IF(OR($A104&lt;&gt;"Ítem",N(G104)=0),"",T104/G104)</f>
        <v/>
      </c>
      <c r="V104" s="81" t="str">
        <f aca="false">IF(A104="Capítulo",C104,V103)</f>
        <v/>
      </c>
      <c r="W104" s="0" t="str">
        <f aca="false">IF(A104="Capítulo",C104,"")</f>
        <v/>
      </c>
    </row>
    <row r="105" customFormat="false" ht="16.5" hidden="false" customHeight="true" outlineLevel="0" collapsed="false">
      <c r="A105" s="15"/>
      <c r="B105" s="15"/>
      <c r="C105" s="79"/>
      <c r="D105" s="15"/>
      <c r="E105" s="80"/>
      <c r="F105" s="16"/>
      <c r="G105" s="10" t="str">
        <f aca="false">IF($A105&lt;&gt;"Ítem","",E105*F105)</f>
        <v/>
      </c>
      <c r="H105" s="16"/>
      <c r="I105" s="10" t="str">
        <f aca="false">IF($A105&lt;&gt;"Ítem","",N(H105)*IF(p_IVAMat="Sí",1+p_IVA,1))</f>
        <v/>
      </c>
      <c r="J105" s="16"/>
      <c r="K105" s="16"/>
      <c r="L105" s="15"/>
      <c r="M105" s="16"/>
      <c r="N105" s="10" t="str">
        <f aca="false">IF($A105&lt;&gt;"Ítem","",I105+N(J105)+N(K105)+N(M105))</f>
        <v/>
      </c>
      <c r="O105" s="10" t="str">
        <f aca="false">IF($A105&lt;&gt;"Ítem","",E105*I105)</f>
        <v/>
      </c>
      <c r="P105" s="10" t="str">
        <f aca="false">IF($A105&lt;&gt;"Ítem","",E105*N(J105))</f>
        <v/>
      </c>
      <c r="Q105" s="10" t="str">
        <f aca="false">IF($A105&lt;&gt;"Ítem","",E105*N(K105))</f>
        <v/>
      </c>
      <c r="R105" s="10" t="str">
        <f aca="false">IF($A105&lt;&gt;"Ítem","",E105*N(M105))</f>
        <v/>
      </c>
      <c r="S105" s="37" t="str">
        <f aca="false">IF($A105&lt;&gt;"Ítem","",E105*N105)</f>
        <v/>
      </c>
      <c r="T105" s="10" t="str">
        <f aca="false">IF($A105&lt;&gt;"Ítem","",G105-S105)</f>
        <v/>
      </c>
      <c r="U105" s="36" t="str">
        <f aca="false">IF(OR($A105&lt;&gt;"Ítem",N(G105)=0),"",T105/G105)</f>
        <v/>
      </c>
      <c r="V105" s="81" t="str">
        <f aca="false">IF(A105="Capítulo",C105,V104)</f>
        <v/>
      </c>
      <c r="W105" s="0" t="str">
        <f aca="false">IF(A105="Capítulo",C105,"")</f>
        <v/>
      </c>
    </row>
    <row r="106" customFormat="false" ht="16.5" hidden="false" customHeight="true" outlineLevel="0" collapsed="false">
      <c r="A106" s="15"/>
      <c r="B106" s="15"/>
      <c r="C106" s="79"/>
      <c r="D106" s="15"/>
      <c r="E106" s="80"/>
      <c r="F106" s="16"/>
      <c r="G106" s="10" t="str">
        <f aca="false">IF($A106&lt;&gt;"Ítem","",E106*F106)</f>
        <v/>
      </c>
      <c r="H106" s="16"/>
      <c r="I106" s="10" t="str">
        <f aca="false">IF($A106&lt;&gt;"Ítem","",N(H106)*IF(p_IVAMat="Sí",1+p_IVA,1))</f>
        <v/>
      </c>
      <c r="J106" s="16"/>
      <c r="K106" s="16"/>
      <c r="L106" s="15"/>
      <c r="M106" s="16"/>
      <c r="N106" s="10" t="str">
        <f aca="false">IF($A106&lt;&gt;"Ítem","",I106+N(J106)+N(K106)+N(M106))</f>
        <v/>
      </c>
      <c r="O106" s="10" t="str">
        <f aca="false">IF($A106&lt;&gt;"Ítem","",E106*I106)</f>
        <v/>
      </c>
      <c r="P106" s="10" t="str">
        <f aca="false">IF($A106&lt;&gt;"Ítem","",E106*N(J106))</f>
        <v/>
      </c>
      <c r="Q106" s="10" t="str">
        <f aca="false">IF($A106&lt;&gt;"Ítem","",E106*N(K106))</f>
        <v/>
      </c>
      <c r="R106" s="10" t="str">
        <f aca="false">IF($A106&lt;&gt;"Ítem","",E106*N(M106))</f>
        <v/>
      </c>
      <c r="S106" s="37" t="str">
        <f aca="false">IF($A106&lt;&gt;"Ítem","",E106*N106)</f>
        <v/>
      </c>
      <c r="T106" s="10" t="str">
        <f aca="false">IF($A106&lt;&gt;"Ítem","",G106-S106)</f>
        <v/>
      </c>
      <c r="U106" s="36" t="str">
        <f aca="false">IF(OR($A106&lt;&gt;"Ítem",N(G106)=0),"",T106/G106)</f>
        <v/>
      </c>
      <c r="V106" s="81" t="str">
        <f aca="false">IF(A106="Capítulo",C106,V105)</f>
        <v/>
      </c>
      <c r="W106" s="0" t="str">
        <f aca="false">IF(A106="Capítulo",C106,"")</f>
        <v/>
      </c>
    </row>
    <row r="107" customFormat="false" ht="16.5" hidden="false" customHeight="true" outlineLevel="0" collapsed="false">
      <c r="A107" s="15"/>
      <c r="B107" s="15"/>
      <c r="C107" s="79"/>
      <c r="D107" s="15"/>
      <c r="E107" s="80"/>
      <c r="F107" s="16"/>
      <c r="G107" s="10" t="str">
        <f aca="false">IF($A107&lt;&gt;"Ítem","",E107*F107)</f>
        <v/>
      </c>
      <c r="H107" s="16"/>
      <c r="I107" s="10" t="str">
        <f aca="false">IF($A107&lt;&gt;"Ítem","",N(H107)*IF(p_IVAMat="Sí",1+p_IVA,1))</f>
        <v/>
      </c>
      <c r="J107" s="16"/>
      <c r="K107" s="16"/>
      <c r="L107" s="15"/>
      <c r="M107" s="16"/>
      <c r="N107" s="10" t="str">
        <f aca="false">IF($A107&lt;&gt;"Ítem","",I107+N(J107)+N(K107)+N(M107))</f>
        <v/>
      </c>
      <c r="O107" s="10" t="str">
        <f aca="false">IF($A107&lt;&gt;"Ítem","",E107*I107)</f>
        <v/>
      </c>
      <c r="P107" s="10" t="str">
        <f aca="false">IF($A107&lt;&gt;"Ítem","",E107*N(J107))</f>
        <v/>
      </c>
      <c r="Q107" s="10" t="str">
        <f aca="false">IF($A107&lt;&gt;"Ítem","",E107*N(K107))</f>
        <v/>
      </c>
      <c r="R107" s="10" t="str">
        <f aca="false">IF($A107&lt;&gt;"Ítem","",E107*N(M107))</f>
        <v/>
      </c>
      <c r="S107" s="37" t="str">
        <f aca="false">IF($A107&lt;&gt;"Ítem","",E107*N107)</f>
        <v/>
      </c>
      <c r="T107" s="10" t="str">
        <f aca="false">IF($A107&lt;&gt;"Ítem","",G107-S107)</f>
        <v/>
      </c>
      <c r="U107" s="36" t="str">
        <f aca="false">IF(OR($A107&lt;&gt;"Ítem",N(G107)=0),"",T107/G107)</f>
        <v/>
      </c>
      <c r="V107" s="81" t="str">
        <f aca="false">IF(A107="Capítulo",C107,V106)</f>
        <v/>
      </c>
      <c r="W107" s="0" t="str">
        <f aca="false">IF(A107="Capítulo",C107,"")</f>
        <v/>
      </c>
    </row>
    <row r="108" customFormat="false" ht="16.5" hidden="false" customHeight="true" outlineLevel="0" collapsed="false">
      <c r="A108" s="15"/>
      <c r="B108" s="15"/>
      <c r="C108" s="79"/>
      <c r="D108" s="15"/>
      <c r="E108" s="80"/>
      <c r="F108" s="16"/>
      <c r="G108" s="10" t="str">
        <f aca="false">IF($A108&lt;&gt;"Ítem","",E108*F108)</f>
        <v/>
      </c>
      <c r="H108" s="16"/>
      <c r="I108" s="10" t="str">
        <f aca="false">IF($A108&lt;&gt;"Ítem","",N(H108)*IF(p_IVAMat="Sí",1+p_IVA,1))</f>
        <v/>
      </c>
      <c r="J108" s="16"/>
      <c r="K108" s="16"/>
      <c r="L108" s="15"/>
      <c r="M108" s="16"/>
      <c r="N108" s="10" t="str">
        <f aca="false">IF($A108&lt;&gt;"Ítem","",I108+N(J108)+N(K108)+N(M108))</f>
        <v/>
      </c>
      <c r="O108" s="10" t="str">
        <f aca="false">IF($A108&lt;&gt;"Ítem","",E108*I108)</f>
        <v/>
      </c>
      <c r="P108" s="10" t="str">
        <f aca="false">IF($A108&lt;&gt;"Ítem","",E108*N(J108))</f>
        <v/>
      </c>
      <c r="Q108" s="10" t="str">
        <f aca="false">IF($A108&lt;&gt;"Ítem","",E108*N(K108))</f>
        <v/>
      </c>
      <c r="R108" s="10" t="str">
        <f aca="false">IF($A108&lt;&gt;"Ítem","",E108*N(M108))</f>
        <v/>
      </c>
      <c r="S108" s="37" t="str">
        <f aca="false">IF($A108&lt;&gt;"Ítem","",E108*N108)</f>
        <v/>
      </c>
      <c r="T108" s="10" t="str">
        <f aca="false">IF($A108&lt;&gt;"Ítem","",G108-S108)</f>
        <v/>
      </c>
      <c r="U108" s="36" t="str">
        <f aca="false">IF(OR($A108&lt;&gt;"Ítem",N(G108)=0),"",T108/G108)</f>
        <v/>
      </c>
      <c r="V108" s="81" t="str">
        <f aca="false">IF(A108="Capítulo",C108,V107)</f>
        <v/>
      </c>
      <c r="W108" s="0" t="str">
        <f aca="false">IF(A108="Capítulo",C108,"")</f>
        <v/>
      </c>
    </row>
    <row r="109" customFormat="false" ht="16.5" hidden="false" customHeight="true" outlineLevel="0" collapsed="false">
      <c r="A109" s="15"/>
      <c r="B109" s="15"/>
      <c r="C109" s="79"/>
      <c r="D109" s="15"/>
      <c r="E109" s="80"/>
      <c r="F109" s="16"/>
      <c r="G109" s="10" t="str">
        <f aca="false">IF($A109&lt;&gt;"Ítem","",E109*F109)</f>
        <v/>
      </c>
      <c r="H109" s="16"/>
      <c r="I109" s="10" t="str">
        <f aca="false">IF($A109&lt;&gt;"Ítem","",N(H109)*IF(p_IVAMat="Sí",1+p_IVA,1))</f>
        <v/>
      </c>
      <c r="J109" s="16"/>
      <c r="K109" s="16"/>
      <c r="L109" s="15"/>
      <c r="M109" s="16"/>
      <c r="N109" s="10" t="str">
        <f aca="false">IF($A109&lt;&gt;"Ítem","",I109+N(J109)+N(K109)+N(M109))</f>
        <v/>
      </c>
      <c r="O109" s="10" t="str">
        <f aca="false">IF($A109&lt;&gt;"Ítem","",E109*I109)</f>
        <v/>
      </c>
      <c r="P109" s="10" t="str">
        <f aca="false">IF($A109&lt;&gt;"Ítem","",E109*N(J109))</f>
        <v/>
      </c>
      <c r="Q109" s="10" t="str">
        <f aca="false">IF($A109&lt;&gt;"Ítem","",E109*N(K109))</f>
        <v/>
      </c>
      <c r="R109" s="10" t="str">
        <f aca="false">IF($A109&lt;&gt;"Ítem","",E109*N(M109))</f>
        <v/>
      </c>
      <c r="S109" s="37" t="str">
        <f aca="false">IF($A109&lt;&gt;"Ítem","",E109*N109)</f>
        <v/>
      </c>
      <c r="T109" s="10" t="str">
        <f aca="false">IF($A109&lt;&gt;"Ítem","",G109-S109)</f>
        <v/>
      </c>
      <c r="U109" s="36" t="str">
        <f aca="false">IF(OR($A109&lt;&gt;"Ítem",N(G109)=0),"",T109/G109)</f>
        <v/>
      </c>
      <c r="V109" s="81" t="str">
        <f aca="false">IF(A109="Capítulo",C109,V108)</f>
        <v/>
      </c>
      <c r="W109" s="0" t="str">
        <f aca="false">IF(A109="Capítulo",C109,"")</f>
        <v/>
      </c>
    </row>
    <row r="110" customFormat="false" ht="16.5" hidden="false" customHeight="true" outlineLevel="0" collapsed="false">
      <c r="A110" s="15"/>
      <c r="B110" s="15"/>
      <c r="C110" s="79"/>
      <c r="D110" s="15"/>
      <c r="E110" s="80"/>
      <c r="F110" s="16"/>
      <c r="G110" s="10" t="str">
        <f aca="false">IF($A110&lt;&gt;"Ítem","",E110*F110)</f>
        <v/>
      </c>
      <c r="H110" s="16"/>
      <c r="I110" s="10" t="str">
        <f aca="false">IF($A110&lt;&gt;"Ítem","",N(H110)*IF(p_IVAMat="Sí",1+p_IVA,1))</f>
        <v/>
      </c>
      <c r="J110" s="16"/>
      <c r="K110" s="16"/>
      <c r="L110" s="15"/>
      <c r="M110" s="16"/>
      <c r="N110" s="10" t="str">
        <f aca="false">IF($A110&lt;&gt;"Ítem","",I110+N(J110)+N(K110)+N(M110))</f>
        <v/>
      </c>
      <c r="O110" s="10" t="str">
        <f aca="false">IF($A110&lt;&gt;"Ítem","",E110*I110)</f>
        <v/>
      </c>
      <c r="P110" s="10" t="str">
        <f aca="false">IF($A110&lt;&gt;"Ítem","",E110*N(J110))</f>
        <v/>
      </c>
      <c r="Q110" s="10" t="str">
        <f aca="false">IF($A110&lt;&gt;"Ítem","",E110*N(K110))</f>
        <v/>
      </c>
      <c r="R110" s="10" t="str">
        <f aca="false">IF($A110&lt;&gt;"Ítem","",E110*N(M110))</f>
        <v/>
      </c>
      <c r="S110" s="37" t="str">
        <f aca="false">IF($A110&lt;&gt;"Ítem","",E110*N110)</f>
        <v/>
      </c>
      <c r="T110" s="10" t="str">
        <f aca="false">IF($A110&lt;&gt;"Ítem","",G110-S110)</f>
        <v/>
      </c>
      <c r="U110" s="36" t="str">
        <f aca="false">IF(OR($A110&lt;&gt;"Ítem",N(G110)=0),"",T110/G110)</f>
        <v/>
      </c>
      <c r="V110" s="81" t="str">
        <f aca="false">IF(A110="Capítulo",C110,V109)</f>
        <v/>
      </c>
      <c r="W110" s="0" t="str">
        <f aca="false">IF(A110="Capítulo",C110,"")</f>
        <v/>
      </c>
    </row>
    <row r="111" customFormat="false" ht="16.5" hidden="false" customHeight="true" outlineLevel="0" collapsed="false">
      <c r="A111" s="15"/>
      <c r="B111" s="15"/>
      <c r="C111" s="79"/>
      <c r="D111" s="15"/>
      <c r="E111" s="80"/>
      <c r="F111" s="16"/>
      <c r="G111" s="10" t="str">
        <f aca="false">IF($A111&lt;&gt;"Ítem","",E111*F111)</f>
        <v/>
      </c>
      <c r="H111" s="16"/>
      <c r="I111" s="10" t="str">
        <f aca="false">IF($A111&lt;&gt;"Ítem","",N(H111)*IF(p_IVAMat="Sí",1+p_IVA,1))</f>
        <v/>
      </c>
      <c r="J111" s="16"/>
      <c r="K111" s="16"/>
      <c r="L111" s="15"/>
      <c r="M111" s="16"/>
      <c r="N111" s="10" t="str">
        <f aca="false">IF($A111&lt;&gt;"Ítem","",I111+N(J111)+N(K111)+N(M111))</f>
        <v/>
      </c>
      <c r="O111" s="10" t="str">
        <f aca="false">IF($A111&lt;&gt;"Ítem","",E111*I111)</f>
        <v/>
      </c>
      <c r="P111" s="10" t="str">
        <f aca="false">IF($A111&lt;&gt;"Ítem","",E111*N(J111))</f>
        <v/>
      </c>
      <c r="Q111" s="10" t="str">
        <f aca="false">IF($A111&lt;&gt;"Ítem","",E111*N(K111))</f>
        <v/>
      </c>
      <c r="R111" s="10" t="str">
        <f aca="false">IF($A111&lt;&gt;"Ítem","",E111*N(M111))</f>
        <v/>
      </c>
      <c r="S111" s="37" t="str">
        <f aca="false">IF($A111&lt;&gt;"Ítem","",E111*N111)</f>
        <v/>
      </c>
      <c r="T111" s="10" t="str">
        <f aca="false">IF($A111&lt;&gt;"Ítem","",G111-S111)</f>
        <v/>
      </c>
      <c r="U111" s="36" t="str">
        <f aca="false">IF(OR($A111&lt;&gt;"Ítem",N(G111)=0),"",T111/G111)</f>
        <v/>
      </c>
      <c r="V111" s="81" t="str">
        <f aca="false">IF(A111="Capítulo",C111,V110)</f>
        <v/>
      </c>
      <c r="W111" s="0" t="str">
        <f aca="false">IF(A111="Capítulo",C111,"")</f>
        <v/>
      </c>
    </row>
    <row r="112" customFormat="false" ht="16.5" hidden="false" customHeight="true" outlineLevel="0" collapsed="false">
      <c r="A112" s="15"/>
      <c r="B112" s="15"/>
      <c r="C112" s="79"/>
      <c r="D112" s="15"/>
      <c r="E112" s="80"/>
      <c r="F112" s="16"/>
      <c r="G112" s="10" t="str">
        <f aca="false">IF($A112&lt;&gt;"Ítem","",E112*F112)</f>
        <v/>
      </c>
      <c r="H112" s="16"/>
      <c r="I112" s="10" t="str">
        <f aca="false">IF($A112&lt;&gt;"Ítem","",N(H112)*IF(p_IVAMat="Sí",1+p_IVA,1))</f>
        <v/>
      </c>
      <c r="J112" s="16"/>
      <c r="K112" s="16"/>
      <c r="L112" s="15"/>
      <c r="M112" s="16"/>
      <c r="N112" s="10" t="str">
        <f aca="false">IF($A112&lt;&gt;"Ítem","",I112+N(J112)+N(K112)+N(M112))</f>
        <v/>
      </c>
      <c r="O112" s="10" t="str">
        <f aca="false">IF($A112&lt;&gt;"Ítem","",E112*I112)</f>
        <v/>
      </c>
      <c r="P112" s="10" t="str">
        <f aca="false">IF($A112&lt;&gt;"Ítem","",E112*N(J112))</f>
        <v/>
      </c>
      <c r="Q112" s="10" t="str">
        <f aca="false">IF($A112&lt;&gt;"Ítem","",E112*N(K112))</f>
        <v/>
      </c>
      <c r="R112" s="10" t="str">
        <f aca="false">IF($A112&lt;&gt;"Ítem","",E112*N(M112))</f>
        <v/>
      </c>
      <c r="S112" s="37" t="str">
        <f aca="false">IF($A112&lt;&gt;"Ítem","",E112*N112)</f>
        <v/>
      </c>
      <c r="T112" s="10" t="str">
        <f aca="false">IF($A112&lt;&gt;"Ítem","",G112-S112)</f>
        <v/>
      </c>
      <c r="U112" s="36" t="str">
        <f aca="false">IF(OR($A112&lt;&gt;"Ítem",N(G112)=0),"",T112/G112)</f>
        <v/>
      </c>
      <c r="V112" s="81" t="str">
        <f aca="false">IF(A112="Capítulo",C112,V111)</f>
        <v/>
      </c>
      <c r="W112" s="0" t="str">
        <f aca="false">IF(A112="Capítulo",C112,"")</f>
        <v/>
      </c>
    </row>
    <row r="113" customFormat="false" ht="16.5" hidden="false" customHeight="true" outlineLevel="0" collapsed="false">
      <c r="A113" s="15"/>
      <c r="B113" s="15"/>
      <c r="C113" s="79"/>
      <c r="D113" s="15"/>
      <c r="E113" s="80"/>
      <c r="F113" s="16"/>
      <c r="G113" s="10" t="str">
        <f aca="false">IF($A113&lt;&gt;"Ítem","",E113*F113)</f>
        <v/>
      </c>
      <c r="H113" s="16"/>
      <c r="I113" s="10" t="str">
        <f aca="false">IF($A113&lt;&gt;"Ítem","",N(H113)*IF(p_IVAMat="Sí",1+p_IVA,1))</f>
        <v/>
      </c>
      <c r="J113" s="16"/>
      <c r="K113" s="16"/>
      <c r="L113" s="15"/>
      <c r="M113" s="16"/>
      <c r="N113" s="10" t="str">
        <f aca="false">IF($A113&lt;&gt;"Ítem","",I113+N(J113)+N(K113)+N(M113))</f>
        <v/>
      </c>
      <c r="O113" s="10" t="str">
        <f aca="false">IF($A113&lt;&gt;"Ítem","",E113*I113)</f>
        <v/>
      </c>
      <c r="P113" s="10" t="str">
        <f aca="false">IF($A113&lt;&gt;"Ítem","",E113*N(J113))</f>
        <v/>
      </c>
      <c r="Q113" s="10" t="str">
        <f aca="false">IF($A113&lt;&gt;"Ítem","",E113*N(K113))</f>
        <v/>
      </c>
      <c r="R113" s="10" t="str">
        <f aca="false">IF($A113&lt;&gt;"Ítem","",E113*N(M113))</f>
        <v/>
      </c>
      <c r="S113" s="37" t="str">
        <f aca="false">IF($A113&lt;&gt;"Ítem","",E113*N113)</f>
        <v/>
      </c>
      <c r="T113" s="10" t="str">
        <f aca="false">IF($A113&lt;&gt;"Ítem","",G113-S113)</f>
        <v/>
      </c>
      <c r="U113" s="36" t="str">
        <f aca="false">IF(OR($A113&lt;&gt;"Ítem",N(G113)=0),"",T113/G113)</f>
        <v/>
      </c>
      <c r="V113" s="81" t="str">
        <f aca="false">IF(A113="Capítulo",C113,V112)</f>
        <v/>
      </c>
      <c r="W113" s="0" t="str">
        <f aca="false">IF(A113="Capítulo",C113,"")</f>
        <v/>
      </c>
    </row>
    <row r="114" customFormat="false" ht="16.5" hidden="false" customHeight="true" outlineLevel="0" collapsed="false">
      <c r="A114" s="15"/>
      <c r="B114" s="15"/>
      <c r="C114" s="79"/>
      <c r="D114" s="15"/>
      <c r="E114" s="80"/>
      <c r="F114" s="16"/>
      <c r="G114" s="10" t="str">
        <f aca="false">IF($A114&lt;&gt;"Ítem","",E114*F114)</f>
        <v/>
      </c>
      <c r="H114" s="16"/>
      <c r="I114" s="10" t="str">
        <f aca="false">IF($A114&lt;&gt;"Ítem","",N(H114)*IF(p_IVAMat="Sí",1+p_IVA,1))</f>
        <v/>
      </c>
      <c r="J114" s="16"/>
      <c r="K114" s="16"/>
      <c r="L114" s="15"/>
      <c r="M114" s="16"/>
      <c r="N114" s="10" t="str">
        <f aca="false">IF($A114&lt;&gt;"Ítem","",I114+N(J114)+N(K114)+N(M114))</f>
        <v/>
      </c>
      <c r="O114" s="10" t="str">
        <f aca="false">IF($A114&lt;&gt;"Ítem","",E114*I114)</f>
        <v/>
      </c>
      <c r="P114" s="10" t="str">
        <f aca="false">IF($A114&lt;&gt;"Ítem","",E114*N(J114))</f>
        <v/>
      </c>
      <c r="Q114" s="10" t="str">
        <f aca="false">IF($A114&lt;&gt;"Ítem","",E114*N(K114))</f>
        <v/>
      </c>
      <c r="R114" s="10" t="str">
        <f aca="false">IF($A114&lt;&gt;"Ítem","",E114*N(M114))</f>
        <v/>
      </c>
      <c r="S114" s="37" t="str">
        <f aca="false">IF($A114&lt;&gt;"Ítem","",E114*N114)</f>
        <v/>
      </c>
      <c r="T114" s="10" t="str">
        <f aca="false">IF($A114&lt;&gt;"Ítem","",G114-S114)</f>
        <v/>
      </c>
      <c r="U114" s="36" t="str">
        <f aca="false">IF(OR($A114&lt;&gt;"Ítem",N(G114)=0),"",T114/G114)</f>
        <v/>
      </c>
      <c r="V114" s="81" t="str">
        <f aca="false">IF(A114="Capítulo",C114,V113)</f>
        <v/>
      </c>
      <c r="W114" s="0" t="str">
        <f aca="false">IF(A114="Capítulo",C114,"")</f>
        <v/>
      </c>
    </row>
    <row r="115" customFormat="false" ht="16.5" hidden="false" customHeight="true" outlineLevel="0" collapsed="false">
      <c r="A115" s="15"/>
      <c r="B115" s="15"/>
      <c r="C115" s="79"/>
      <c r="D115" s="15"/>
      <c r="E115" s="80"/>
      <c r="F115" s="16"/>
      <c r="G115" s="10" t="str">
        <f aca="false">IF($A115&lt;&gt;"Ítem","",E115*F115)</f>
        <v/>
      </c>
      <c r="H115" s="16"/>
      <c r="I115" s="10" t="str">
        <f aca="false">IF($A115&lt;&gt;"Ítem","",N(H115)*IF(p_IVAMat="Sí",1+p_IVA,1))</f>
        <v/>
      </c>
      <c r="J115" s="16"/>
      <c r="K115" s="16"/>
      <c r="L115" s="15"/>
      <c r="M115" s="16"/>
      <c r="N115" s="10" t="str">
        <f aca="false">IF($A115&lt;&gt;"Ítem","",I115+N(J115)+N(K115)+N(M115))</f>
        <v/>
      </c>
      <c r="O115" s="10" t="str">
        <f aca="false">IF($A115&lt;&gt;"Ítem","",E115*I115)</f>
        <v/>
      </c>
      <c r="P115" s="10" t="str">
        <f aca="false">IF($A115&lt;&gt;"Ítem","",E115*N(J115))</f>
        <v/>
      </c>
      <c r="Q115" s="10" t="str">
        <f aca="false">IF($A115&lt;&gt;"Ítem","",E115*N(K115))</f>
        <v/>
      </c>
      <c r="R115" s="10" t="str">
        <f aca="false">IF($A115&lt;&gt;"Ítem","",E115*N(M115))</f>
        <v/>
      </c>
      <c r="S115" s="37" t="str">
        <f aca="false">IF($A115&lt;&gt;"Ítem","",E115*N115)</f>
        <v/>
      </c>
      <c r="T115" s="10" t="str">
        <f aca="false">IF($A115&lt;&gt;"Ítem","",G115-S115)</f>
        <v/>
      </c>
      <c r="U115" s="36" t="str">
        <f aca="false">IF(OR($A115&lt;&gt;"Ítem",N(G115)=0),"",T115/G115)</f>
        <v/>
      </c>
      <c r="V115" s="81" t="str">
        <f aca="false">IF(A115="Capítulo",C115,V114)</f>
        <v/>
      </c>
      <c r="W115" s="0" t="str">
        <f aca="false">IF(A115="Capítulo",C115,"")</f>
        <v/>
      </c>
    </row>
    <row r="116" customFormat="false" ht="16.5" hidden="false" customHeight="true" outlineLevel="0" collapsed="false">
      <c r="A116" s="15"/>
      <c r="B116" s="15"/>
      <c r="C116" s="79"/>
      <c r="D116" s="15"/>
      <c r="E116" s="80"/>
      <c r="F116" s="16"/>
      <c r="G116" s="10" t="str">
        <f aca="false">IF($A116&lt;&gt;"Ítem","",E116*F116)</f>
        <v/>
      </c>
      <c r="H116" s="16"/>
      <c r="I116" s="10" t="str">
        <f aca="false">IF($A116&lt;&gt;"Ítem","",N(H116)*IF(p_IVAMat="Sí",1+p_IVA,1))</f>
        <v/>
      </c>
      <c r="J116" s="16"/>
      <c r="K116" s="16"/>
      <c r="L116" s="15"/>
      <c r="M116" s="16"/>
      <c r="N116" s="10" t="str">
        <f aca="false">IF($A116&lt;&gt;"Ítem","",I116+N(J116)+N(K116)+N(M116))</f>
        <v/>
      </c>
      <c r="O116" s="10" t="str">
        <f aca="false">IF($A116&lt;&gt;"Ítem","",E116*I116)</f>
        <v/>
      </c>
      <c r="P116" s="10" t="str">
        <f aca="false">IF($A116&lt;&gt;"Ítem","",E116*N(J116))</f>
        <v/>
      </c>
      <c r="Q116" s="10" t="str">
        <f aca="false">IF($A116&lt;&gt;"Ítem","",E116*N(K116))</f>
        <v/>
      </c>
      <c r="R116" s="10" t="str">
        <f aca="false">IF($A116&lt;&gt;"Ítem","",E116*N(M116))</f>
        <v/>
      </c>
      <c r="S116" s="37" t="str">
        <f aca="false">IF($A116&lt;&gt;"Ítem","",E116*N116)</f>
        <v/>
      </c>
      <c r="T116" s="10" t="str">
        <f aca="false">IF($A116&lt;&gt;"Ítem","",G116-S116)</f>
        <v/>
      </c>
      <c r="U116" s="36" t="str">
        <f aca="false">IF(OR($A116&lt;&gt;"Ítem",N(G116)=0),"",T116/G116)</f>
        <v/>
      </c>
      <c r="V116" s="81" t="str">
        <f aca="false">IF(A116="Capítulo",C116,V115)</f>
        <v/>
      </c>
      <c r="W116" s="0" t="str">
        <f aca="false">IF(A116="Capítulo",C116,"")</f>
        <v/>
      </c>
    </row>
    <row r="117" customFormat="false" ht="16.5" hidden="false" customHeight="true" outlineLevel="0" collapsed="false">
      <c r="A117" s="15"/>
      <c r="B117" s="15"/>
      <c r="C117" s="79"/>
      <c r="D117" s="15"/>
      <c r="E117" s="80"/>
      <c r="F117" s="16"/>
      <c r="G117" s="10" t="str">
        <f aca="false">IF($A117&lt;&gt;"Ítem","",E117*F117)</f>
        <v/>
      </c>
      <c r="H117" s="16"/>
      <c r="I117" s="10" t="str">
        <f aca="false">IF($A117&lt;&gt;"Ítem","",N(H117)*IF(p_IVAMat="Sí",1+p_IVA,1))</f>
        <v/>
      </c>
      <c r="J117" s="16"/>
      <c r="K117" s="16"/>
      <c r="L117" s="15"/>
      <c r="M117" s="16"/>
      <c r="N117" s="10" t="str">
        <f aca="false">IF($A117&lt;&gt;"Ítem","",I117+N(J117)+N(K117)+N(M117))</f>
        <v/>
      </c>
      <c r="O117" s="10" t="str">
        <f aca="false">IF($A117&lt;&gt;"Ítem","",E117*I117)</f>
        <v/>
      </c>
      <c r="P117" s="10" t="str">
        <f aca="false">IF($A117&lt;&gt;"Ítem","",E117*N(J117))</f>
        <v/>
      </c>
      <c r="Q117" s="10" t="str">
        <f aca="false">IF($A117&lt;&gt;"Ítem","",E117*N(K117))</f>
        <v/>
      </c>
      <c r="R117" s="10" t="str">
        <f aca="false">IF($A117&lt;&gt;"Ítem","",E117*N(M117))</f>
        <v/>
      </c>
      <c r="S117" s="37" t="str">
        <f aca="false">IF($A117&lt;&gt;"Ítem","",E117*N117)</f>
        <v/>
      </c>
      <c r="T117" s="10" t="str">
        <f aca="false">IF($A117&lt;&gt;"Ítem","",G117-S117)</f>
        <v/>
      </c>
      <c r="U117" s="36" t="str">
        <f aca="false">IF(OR($A117&lt;&gt;"Ítem",N(G117)=0),"",T117/G117)</f>
        <v/>
      </c>
      <c r="V117" s="81" t="str">
        <f aca="false">IF(A117="Capítulo",C117,V116)</f>
        <v/>
      </c>
      <c r="W117" s="0" t="str">
        <f aca="false">IF(A117="Capítulo",C117,"")</f>
        <v/>
      </c>
    </row>
    <row r="118" customFormat="false" ht="16.5" hidden="false" customHeight="true" outlineLevel="0" collapsed="false">
      <c r="A118" s="15"/>
      <c r="B118" s="15"/>
      <c r="C118" s="79"/>
      <c r="D118" s="15"/>
      <c r="E118" s="80"/>
      <c r="F118" s="16"/>
      <c r="G118" s="10" t="str">
        <f aca="false">IF($A118&lt;&gt;"Ítem","",E118*F118)</f>
        <v/>
      </c>
      <c r="H118" s="16"/>
      <c r="I118" s="10" t="str">
        <f aca="false">IF($A118&lt;&gt;"Ítem","",N(H118)*IF(p_IVAMat="Sí",1+p_IVA,1))</f>
        <v/>
      </c>
      <c r="J118" s="16"/>
      <c r="K118" s="16"/>
      <c r="L118" s="15"/>
      <c r="M118" s="16"/>
      <c r="N118" s="10" t="str">
        <f aca="false">IF($A118&lt;&gt;"Ítem","",I118+N(J118)+N(K118)+N(M118))</f>
        <v/>
      </c>
      <c r="O118" s="10" t="str">
        <f aca="false">IF($A118&lt;&gt;"Ítem","",E118*I118)</f>
        <v/>
      </c>
      <c r="P118" s="10" t="str">
        <f aca="false">IF($A118&lt;&gt;"Ítem","",E118*N(J118))</f>
        <v/>
      </c>
      <c r="Q118" s="10" t="str">
        <f aca="false">IF($A118&lt;&gt;"Ítem","",E118*N(K118))</f>
        <v/>
      </c>
      <c r="R118" s="10" t="str">
        <f aca="false">IF($A118&lt;&gt;"Ítem","",E118*N(M118))</f>
        <v/>
      </c>
      <c r="S118" s="37" t="str">
        <f aca="false">IF($A118&lt;&gt;"Ítem","",E118*N118)</f>
        <v/>
      </c>
      <c r="T118" s="10" t="str">
        <f aca="false">IF($A118&lt;&gt;"Ítem","",G118-S118)</f>
        <v/>
      </c>
      <c r="U118" s="36" t="str">
        <f aca="false">IF(OR($A118&lt;&gt;"Ítem",N(G118)=0),"",T118/G118)</f>
        <v/>
      </c>
      <c r="V118" s="81" t="str">
        <f aca="false">IF(A118="Capítulo",C118,V117)</f>
        <v/>
      </c>
      <c r="W118" s="0" t="str">
        <f aca="false">IF(A118="Capítulo",C118,"")</f>
        <v/>
      </c>
    </row>
    <row r="119" customFormat="false" ht="16.5" hidden="false" customHeight="true" outlineLevel="0" collapsed="false">
      <c r="A119" s="15"/>
      <c r="B119" s="15"/>
      <c r="C119" s="79"/>
      <c r="D119" s="15"/>
      <c r="E119" s="80"/>
      <c r="F119" s="16"/>
      <c r="G119" s="10" t="str">
        <f aca="false">IF($A119&lt;&gt;"Ítem","",E119*F119)</f>
        <v/>
      </c>
      <c r="H119" s="16"/>
      <c r="I119" s="10" t="str">
        <f aca="false">IF($A119&lt;&gt;"Ítem","",N(H119)*IF(p_IVAMat="Sí",1+p_IVA,1))</f>
        <v/>
      </c>
      <c r="J119" s="16"/>
      <c r="K119" s="16"/>
      <c r="L119" s="15"/>
      <c r="M119" s="16"/>
      <c r="N119" s="10" t="str">
        <f aca="false">IF($A119&lt;&gt;"Ítem","",I119+N(J119)+N(K119)+N(M119))</f>
        <v/>
      </c>
      <c r="O119" s="10" t="str">
        <f aca="false">IF($A119&lt;&gt;"Ítem","",E119*I119)</f>
        <v/>
      </c>
      <c r="P119" s="10" t="str">
        <f aca="false">IF($A119&lt;&gt;"Ítem","",E119*N(J119))</f>
        <v/>
      </c>
      <c r="Q119" s="10" t="str">
        <f aca="false">IF($A119&lt;&gt;"Ítem","",E119*N(K119))</f>
        <v/>
      </c>
      <c r="R119" s="10" t="str">
        <f aca="false">IF($A119&lt;&gt;"Ítem","",E119*N(M119))</f>
        <v/>
      </c>
      <c r="S119" s="37" t="str">
        <f aca="false">IF($A119&lt;&gt;"Ítem","",E119*N119)</f>
        <v/>
      </c>
      <c r="T119" s="10" t="str">
        <f aca="false">IF($A119&lt;&gt;"Ítem","",G119-S119)</f>
        <v/>
      </c>
      <c r="U119" s="36" t="str">
        <f aca="false">IF(OR($A119&lt;&gt;"Ítem",N(G119)=0),"",T119/G119)</f>
        <v/>
      </c>
      <c r="V119" s="81" t="str">
        <f aca="false">IF(A119="Capítulo",C119,V118)</f>
        <v/>
      </c>
      <c r="W119" s="0" t="str">
        <f aca="false">IF(A119="Capítulo",C119,"")</f>
        <v/>
      </c>
    </row>
    <row r="120" customFormat="false" ht="16.5" hidden="false" customHeight="true" outlineLevel="0" collapsed="false">
      <c r="A120" s="15"/>
      <c r="B120" s="15"/>
      <c r="C120" s="79"/>
      <c r="D120" s="15"/>
      <c r="E120" s="80"/>
      <c r="F120" s="16"/>
      <c r="G120" s="10" t="str">
        <f aca="false">IF($A120&lt;&gt;"Ítem","",E120*F120)</f>
        <v/>
      </c>
      <c r="H120" s="16"/>
      <c r="I120" s="10" t="str">
        <f aca="false">IF($A120&lt;&gt;"Ítem","",N(H120)*IF(p_IVAMat="Sí",1+p_IVA,1))</f>
        <v/>
      </c>
      <c r="J120" s="16"/>
      <c r="K120" s="16"/>
      <c r="L120" s="15"/>
      <c r="M120" s="16"/>
      <c r="N120" s="10" t="str">
        <f aca="false">IF($A120&lt;&gt;"Ítem","",I120+N(J120)+N(K120)+N(M120))</f>
        <v/>
      </c>
      <c r="O120" s="10" t="str">
        <f aca="false">IF($A120&lt;&gt;"Ítem","",E120*I120)</f>
        <v/>
      </c>
      <c r="P120" s="10" t="str">
        <f aca="false">IF($A120&lt;&gt;"Ítem","",E120*N(J120))</f>
        <v/>
      </c>
      <c r="Q120" s="10" t="str">
        <f aca="false">IF($A120&lt;&gt;"Ítem","",E120*N(K120))</f>
        <v/>
      </c>
      <c r="R120" s="10" t="str">
        <f aca="false">IF($A120&lt;&gt;"Ítem","",E120*N(M120))</f>
        <v/>
      </c>
      <c r="S120" s="37" t="str">
        <f aca="false">IF($A120&lt;&gt;"Ítem","",E120*N120)</f>
        <v/>
      </c>
      <c r="T120" s="10" t="str">
        <f aca="false">IF($A120&lt;&gt;"Ítem","",G120-S120)</f>
        <v/>
      </c>
      <c r="U120" s="36" t="str">
        <f aca="false">IF(OR($A120&lt;&gt;"Ítem",N(G120)=0),"",T120/G120)</f>
        <v/>
      </c>
      <c r="V120" s="81" t="str">
        <f aca="false">IF(A120="Capítulo",C120,V119)</f>
        <v/>
      </c>
      <c r="W120" s="0" t="str">
        <f aca="false">IF(A120="Capítulo",C120,"")</f>
        <v/>
      </c>
    </row>
    <row r="121" customFormat="false" ht="16.5" hidden="false" customHeight="true" outlineLevel="0" collapsed="false">
      <c r="A121" s="15"/>
      <c r="B121" s="15"/>
      <c r="C121" s="79"/>
      <c r="D121" s="15"/>
      <c r="E121" s="80"/>
      <c r="F121" s="16"/>
      <c r="G121" s="10" t="str">
        <f aca="false">IF($A121&lt;&gt;"Ítem","",E121*F121)</f>
        <v/>
      </c>
      <c r="H121" s="16"/>
      <c r="I121" s="10" t="str">
        <f aca="false">IF($A121&lt;&gt;"Ítem","",N(H121)*IF(p_IVAMat="Sí",1+p_IVA,1))</f>
        <v/>
      </c>
      <c r="J121" s="16"/>
      <c r="K121" s="16"/>
      <c r="L121" s="15"/>
      <c r="M121" s="16"/>
      <c r="N121" s="10" t="str">
        <f aca="false">IF($A121&lt;&gt;"Ítem","",I121+N(J121)+N(K121)+N(M121))</f>
        <v/>
      </c>
      <c r="O121" s="10" t="str">
        <f aca="false">IF($A121&lt;&gt;"Ítem","",E121*I121)</f>
        <v/>
      </c>
      <c r="P121" s="10" t="str">
        <f aca="false">IF($A121&lt;&gt;"Ítem","",E121*N(J121))</f>
        <v/>
      </c>
      <c r="Q121" s="10" t="str">
        <f aca="false">IF($A121&lt;&gt;"Ítem","",E121*N(K121))</f>
        <v/>
      </c>
      <c r="R121" s="10" t="str">
        <f aca="false">IF($A121&lt;&gt;"Ítem","",E121*N(M121))</f>
        <v/>
      </c>
      <c r="S121" s="37" t="str">
        <f aca="false">IF($A121&lt;&gt;"Ítem","",E121*N121)</f>
        <v/>
      </c>
      <c r="T121" s="10" t="str">
        <f aca="false">IF($A121&lt;&gt;"Ítem","",G121-S121)</f>
        <v/>
      </c>
      <c r="U121" s="36" t="str">
        <f aca="false">IF(OR($A121&lt;&gt;"Ítem",N(G121)=0),"",T121/G121)</f>
        <v/>
      </c>
      <c r="V121" s="81" t="str">
        <f aca="false">IF(A121="Capítulo",C121,V120)</f>
        <v/>
      </c>
      <c r="W121" s="0" t="str">
        <f aca="false">IF(A121="Capítulo",C121,"")</f>
        <v/>
      </c>
    </row>
    <row r="122" customFormat="false" ht="16.5" hidden="false" customHeight="true" outlineLevel="0" collapsed="false">
      <c r="A122" s="15"/>
      <c r="B122" s="15"/>
      <c r="C122" s="79"/>
      <c r="D122" s="15"/>
      <c r="E122" s="80"/>
      <c r="F122" s="16"/>
      <c r="G122" s="10" t="str">
        <f aca="false">IF($A122&lt;&gt;"Ítem","",E122*F122)</f>
        <v/>
      </c>
      <c r="H122" s="16"/>
      <c r="I122" s="10" t="str">
        <f aca="false">IF($A122&lt;&gt;"Ítem","",N(H122)*IF(p_IVAMat="Sí",1+p_IVA,1))</f>
        <v/>
      </c>
      <c r="J122" s="16"/>
      <c r="K122" s="16"/>
      <c r="L122" s="15"/>
      <c r="M122" s="16"/>
      <c r="N122" s="10" t="str">
        <f aca="false">IF($A122&lt;&gt;"Ítem","",I122+N(J122)+N(K122)+N(M122))</f>
        <v/>
      </c>
      <c r="O122" s="10" t="str">
        <f aca="false">IF($A122&lt;&gt;"Ítem","",E122*I122)</f>
        <v/>
      </c>
      <c r="P122" s="10" t="str">
        <f aca="false">IF($A122&lt;&gt;"Ítem","",E122*N(J122))</f>
        <v/>
      </c>
      <c r="Q122" s="10" t="str">
        <f aca="false">IF($A122&lt;&gt;"Ítem","",E122*N(K122))</f>
        <v/>
      </c>
      <c r="R122" s="10" t="str">
        <f aca="false">IF($A122&lt;&gt;"Ítem","",E122*N(M122))</f>
        <v/>
      </c>
      <c r="S122" s="37" t="str">
        <f aca="false">IF($A122&lt;&gt;"Ítem","",E122*N122)</f>
        <v/>
      </c>
      <c r="T122" s="10" t="str">
        <f aca="false">IF($A122&lt;&gt;"Ítem","",G122-S122)</f>
        <v/>
      </c>
      <c r="U122" s="36" t="str">
        <f aca="false">IF(OR($A122&lt;&gt;"Ítem",N(G122)=0),"",T122/G122)</f>
        <v/>
      </c>
      <c r="V122" s="81" t="str">
        <f aca="false">IF(A122="Capítulo",C122,V121)</f>
        <v/>
      </c>
      <c r="W122" s="0" t="str">
        <f aca="false">IF(A122="Capítulo",C122,"")</f>
        <v/>
      </c>
    </row>
    <row r="123" customFormat="false" ht="16.5" hidden="false" customHeight="true" outlineLevel="0" collapsed="false">
      <c r="A123" s="15"/>
      <c r="B123" s="15"/>
      <c r="C123" s="79"/>
      <c r="D123" s="15"/>
      <c r="E123" s="80"/>
      <c r="F123" s="16"/>
      <c r="G123" s="10" t="str">
        <f aca="false">IF($A123&lt;&gt;"Ítem","",E123*F123)</f>
        <v/>
      </c>
      <c r="H123" s="16"/>
      <c r="I123" s="10" t="str">
        <f aca="false">IF($A123&lt;&gt;"Ítem","",N(H123)*IF(p_IVAMat="Sí",1+p_IVA,1))</f>
        <v/>
      </c>
      <c r="J123" s="16"/>
      <c r="K123" s="16"/>
      <c r="L123" s="15"/>
      <c r="M123" s="16"/>
      <c r="N123" s="10" t="str">
        <f aca="false">IF($A123&lt;&gt;"Ítem","",I123+N(J123)+N(K123)+N(M123))</f>
        <v/>
      </c>
      <c r="O123" s="10" t="str">
        <f aca="false">IF($A123&lt;&gt;"Ítem","",E123*I123)</f>
        <v/>
      </c>
      <c r="P123" s="10" t="str">
        <f aca="false">IF($A123&lt;&gt;"Ítem","",E123*N(J123))</f>
        <v/>
      </c>
      <c r="Q123" s="10" t="str">
        <f aca="false">IF($A123&lt;&gt;"Ítem","",E123*N(K123))</f>
        <v/>
      </c>
      <c r="R123" s="10" t="str">
        <f aca="false">IF($A123&lt;&gt;"Ítem","",E123*N(M123))</f>
        <v/>
      </c>
      <c r="S123" s="37" t="str">
        <f aca="false">IF($A123&lt;&gt;"Ítem","",E123*N123)</f>
        <v/>
      </c>
      <c r="T123" s="10" t="str">
        <f aca="false">IF($A123&lt;&gt;"Ítem","",G123-S123)</f>
        <v/>
      </c>
      <c r="U123" s="36" t="str">
        <f aca="false">IF(OR($A123&lt;&gt;"Ítem",N(G123)=0),"",T123/G123)</f>
        <v/>
      </c>
      <c r="V123" s="81" t="str">
        <f aca="false">IF(A123="Capítulo",C123,V122)</f>
        <v/>
      </c>
      <c r="W123" s="0" t="str">
        <f aca="false">IF(A123="Capítulo",C123,"")</f>
        <v/>
      </c>
    </row>
    <row r="124" customFormat="false" ht="16.5" hidden="false" customHeight="true" outlineLevel="0" collapsed="false">
      <c r="A124" s="15"/>
      <c r="B124" s="15"/>
      <c r="C124" s="79"/>
      <c r="D124" s="15"/>
      <c r="E124" s="80"/>
      <c r="F124" s="16"/>
      <c r="G124" s="10" t="str">
        <f aca="false">IF($A124&lt;&gt;"Ítem","",E124*F124)</f>
        <v/>
      </c>
      <c r="H124" s="16"/>
      <c r="I124" s="10" t="str">
        <f aca="false">IF($A124&lt;&gt;"Ítem","",N(H124)*IF(p_IVAMat="Sí",1+p_IVA,1))</f>
        <v/>
      </c>
      <c r="J124" s="16"/>
      <c r="K124" s="16"/>
      <c r="L124" s="15"/>
      <c r="M124" s="16"/>
      <c r="N124" s="10" t="str">
        <f aca="false">IF($A124&lt;&gt;"Ítem","",I124+N(J124)+N(K124)+N(M124))</f>
        <v/>
      </c>
      <c r="O124" s="10" t="str">
        <f aca="false">IF($A124&lt;&gt;"Ítem","",E124*I124)</f>
        <v/>
      </c>
      <c r="P124" s="10" t="str">
        <f aca="false">IF($A124&lt;&gt;"Ítem","",E124*N(J124))</f>
        <v/>
      </c>
      <c r="Q124" s="10" t="str">
        <f aca="false">IF($A124&lt;&gt;"Ítem","",E124*N(K124))</f>
        <v/>
      </c>
      <c r="R124" s="10" t="str">
        <f aca="false">IF($A124&lt;&gt;"Ítem","",E124*N(M124))</f>
        <v/>
      </c>
      <c r="S124" s="37" t="str">
        <f aca="false">IF($A124&lt;&gt;"Ítem","",E124*N124)</f>
        <v/>
      </c>
      <c r="T124" s="10" t="str">
        <f aca="false">IF($A124&lt;&gt;"Ítem","",G124-S124)</f>
        <v/>
      </c>
      <c r="U124" s="36" t="str">
        <f aca="false">IF(OR($A124&lt;&gt;"Ítem",N(G124)=0),"",T124/G124)</f>
        <v/>
      </c>
      <c r="V124" s="81" t="str">
        <f aca="false">IF(A124="Capítulo",C124,V123)</f>
        <v/>
      </c>
      <c r="W124" s="0" t="str">
        <f aca="false">IF(A124="Capítulo",C124,"")</f>
        <v/>
      </c>
    </row>
    <row r="125" customFormat="false" ht="16.5" hidden="false" customHeight="true" outlineLevel="0" collapsed="false">
      <c r="A125" s="15"/>
      <c r="B125" s="15"/>
      <c r="C125" s="79"/>
      <c r="D125" s="15"/>
      <c r="E125" s="80"/>
      <c r="F125" s="16"/>
      <c r="G125" s="10" t="str">
        <f aca="false">IF($A125&lt;&gt;"Ítem","",E125*F125)</f>
        <v/>
      </c>
      <c r="H125" s="16"/>
      <c r="I125" s="10" t="str">
        <f aca="false">IF($A125&lt;&gt;"Ítem","",N(H125)*IF(p_IVAMat="Sí",1+p_IVA,1))</f>
        <v/>
      </c>
      <c r="J125" s="16"/>
      <c r="K125" s="16"/>
      <c r="L125" s="15"/>
      <c r="M125" s="16"/>
      <c r="N125" s="10" t="str">
        <f aca="false">IF($A125&lt;&gt;"Ítem","",I125+N(J125)+N(K125)+N(M125))</f>
        <v/>
      </c>
      <c r="O125" s="10" t="str">
        <f aca="false">IF($A125&lt;&gt;"Ítem","",E125*I125)</f>
        <v/>
      </c>
      <c r="P125" s="10" t="str">
        <f aca="false">IF($A125&lt;&gt;"Ítem","",E125*N(J125))</f>
        <v/>
      </c>
      <c r="Q125" s="10" t="str">
        <f aca="false">IF($A125&lt;&gt;"Ítem","",E125*N(K125))</f>
        <v/>
      </c>
      <c r="R125" s="10" t="str">
        <f aca="false">IF($A125&lt;&gt;"Ítem","",E125*N(M125))</f>
        <v/>
      </c>
      <c r="S125" s="37" t="str">
        <f aca="false">IF($A125&lt;&gt;"Ítem","",E125*N125)</f>
        <v/>
      </c>
      <c r="T125" s="10" t="str">
        <f aca="false">IF($A125&lt;&gt;"Ítem","",G125-S125)</f>
        <v/>
      </c>
      <c r="U125" s="36" t="str">
        <f aca="false">IF(OR($A125&lt;&gt;"Ítem",N(G125)=0),"",T125/G125)</f>
        <v/>
      </c>
      <c r="V125" s="81" t="str">
        <f aca="false">IF(A125="Capítulo",C125,V124)</f>
        <v/>
      </c>
      <c r="W125" s="0" t="str">
        <f aca="false">IF(A125="Capítulo",C125,"")</f>
        <v/>
      </c>
    </row>
    <row r="126" customFormat="false" ht="16.5" hidden="false" customHeight="true" outlineLevel="0" collapsed="false">
      <c r="A126" s="15"/>
      <c r="B126" s="15"/>
      <c r="C126" s="79"/>
      <c r="D126" s="15"/>
      <c r="E126" s="80"/>
      <c r="F126" s="16"/>
      <c r="G126" s="10" t="str">
        <f aca="false">IF($A126&lt;&gt;"Ítem","",E126*F126)</f>
        <v/>
      </c>
      <c r="H126" s="16"/>
      <c r="I126" s="10" t="str">
        <f aca="false">IF($A126&lt;&gt;"Ítem","",N(H126)*IF(p_IVAMat="Sí",1+p_IVA,1))</f>
        <v/>
      </c>
      <c r="J126" s="16"/>
      <c r="K126" s="16"/>
      <c r="L126" s="15"/>
      <c r="M126" s="16"/>
      <c r="N126" s="10" t="str">
        <f aca="false">IF($A126&lt;&gt;"Ítem","",I126+N(J126)+N(K126)+N(M126))</f>
        <v/>
      </c>
      <c r="O126" s="10" t="str">
        <f aca="false">IF($A126&lt;&gt;"Ítem","",E126*I126)</f>
        <v/>
      </c>
      <c r="P126" s="10" t="str">
        <f aca="false">IF($A126&lt;&gt;"Ítem","",E126*N(J126))</f>
        <v/>
      </c>
      <c r="Q126" s="10" t="str">
        <f aca="false">IF($A126&lt;&gt;"Ítem","",E126*N(K126))</f>
        <v/>
      </c>
      <c r="R126" s="10" t="str">
        <f aca="false">IF($A126&lt;&gt;"Ítem","",E126*N(M126))</f>
        <v/>
      </c>
      <c r="S126" s="37" t="str">
        <f aca="false">IF($A126&lt;&gt;"Ítem","",E126*N126)</f>
        <v/>
      </c>
      <c r="T126" s="10" t="str">
        <f aca="false">IF($A126&lt;&gt;"Ítem","",G126-S126)</f>
        <v/>
      </c>
      <c r="U126" s="36" t="str">
        <f aca="false">IF(OR($A126&lt;&gt;"Ítem",N(G126)=0),"",T126/G126)</f>
        <v/>
      </c>
      <c r="V126" s="81" t="str">
        <f aca="false">IF(A126="Capítulo",C126,V125)</f>
        <v/>
      </c>
      <c r="W126" s="0" t="str">
        <f aca="false">IF(A126="Capítulo",C126,"")</f>
        <v/>
      </c>
    </row>
    <row r="127" customFormat="false" ht="16.5" hidden="false" customHeight="true" outlineLevel="0" collapsed="false">
      <c r="A127" s="15"/>
      <c r="B127" s="15"/>
      <c r="C127" s="79"/>
      <c r="D127" s="15"/>
      <c r="E127" s="80"/>
      <c r="F127" s="16"/>
      <c r="G127" s="10" t="str">
        <f aca="false">IF($A127&lt;&gt;"Ítem","",E127*F127)</f>
        <v/>
      </c>
      <c r="H127" s="16"/>
      <c r="I127" s="10" t="str">
        <f aca="false">IF($A127&lt;&gt;"Ítem","",N(H127)*IF(p_IVAMat="Sí",1+p_IVA,1))</f>
        <v/>
      </c>
      <c r="J127" s="16"/>
      <c r="K127" s="16"/>
      <c r="L127" s="15"/>
      <c r="M127" s="16"/>
      <c r="N127" s="10" t="str">
        <f aca="false">IF($A127&lt;&gt;"Ítem","",I127+N(J127)+N(K127)+N(M127))</f>
        <v/>
      </c>
      <c r="O127" s="10" t="str">
        <f aca="false">IF($A127&lt;&gt;"Ítem","",E127*I127)</f>
        <v/>
      </c>
      <c r="P127" s="10" t="str">
        <f aca="false">IF($A127&lt;&gt;"Ítem","",E127*N(J127))</f>
        <v/>
      </c>
      <c r="Q127" s="10" t="str">
        <f aca="false">IF($A127&lt;&gt;"Ítem","",E127*N(K127))</f>
        <v/>
      </c>
      <c r="R127" s="10" t="str">
        <f aca="false">IF($A127&lt;&gt;"Ítem","",E127*N(M127))</f>
        <v/>
      </c>
      <c r="S127" s="37" t="str">
        <f aca="false">IF($A127&lt;&gt;"Ítem","",E127*N127)</f>
        <v/>
      </c>
      <c r="T127" s="10" t="str">
        <f aca="false">IF($A127&lt;&gt;"Ítem","",G127-S127)</f>
        <v/>
      </c>
      <c r="U127" s="36" t="str">
        <f aca="false">IF(OR($A127&lt;&gt;"Ítem",N(G127)=0),"",T127/G127)</f>
        <v/>
      </c>
      <c r="V127" s="81" t="str">
        <f aca="false">IF(A127="Capítulo",C127,V126)</f>
        <v/>
      </c>
      <c r="W127" s="0" t="str">
        <f aca="false">IF(A127="Capítulo",C127,"")</f>
        <v/>
      </c>
    </row>
    <row r="128" customFormat="false" ht="16.5" hidden="false" customHeight="true" outlineLevel="0" collapsed="false">
      <c r="A128" s="15"/>
      <c r="B128" s="15"/>
      <c r="C128" s="79"/>
      <c r="D128" s="15"/>
      <c r="E128" s="80"/>
      <c r="F128" s="16"/>
      <c r="G128" s="10" t="str">
        <f aca="false">IF($A128&lt;&gt;"Ítem","",E128*F128)</f>
        <v/>
      </c>
      <c r="H128" s="16"/>
      <c r="I128" s="10" t="str">
        <f aca="false">IF($A128&lt;&gt;"Ítem","",N(H128)*IF(p_IVAMat="Sí",1+p_IVA,1))</f>
        <v/>
      </c>
      <c r="J128" s="16"/>
      <c r="K128" s="16"/>
      <c r="L128" s="15"/>
      <c r="M128" s="16"/>
      <c r="N128" s="10" t="str">
        <f aca="false">IF($A128&lt;&gt;"Ítem","",I128+N(J128)+N(K128)+N(M128))</f>
        <v/>
      </c>
      <c r="O128" s="10" t="str">
        <f aca="false">IF($A128&lt;&gt;"Ítem","",E128*I128)</f>
        <v/>
      </c>
      <c r="P128" s="10" t="str">
        <f aca="false">IF($A128&lt;&gt;"Ítem","",E128*N(J128))</f>
        <v/>
      </c>
      <c r="Q128" s="10" t="str">
        <f aca="false">IF($A128&lt;&gt;"Ítem","",E128*N(K128))</f>
        <v/>
      </c>
      <c r="R128" s="10" t="str">
        <f aca="false">IF($A128&lt;&gt;"Ítem","",E128*N(M128))</f>
        <v/>
      </c>
      <c r="S128" s="37" t="str">
        <f aca="false">IF($A128&lt;&gt;"Ítem","",E128*N128)</f>
        <v/>
      </c>
      <c r="T128" s="10" t="str">
        <f aca="false">IF($A128&lt;&gt;"Ítem","",G128-S128)</f>
        <v/>
      </c>
      <c r="U128" s="36" t="str">
        <f aca="false">IF(OR($A128&lt;&gt;"Ítem",N(G128)=0),"",T128/G128)</f>
        <v/>
      </c>
      <c r="V128" s="81" t="str">
        <f aca="false">IF(A128="Capítulo",C128,V127)</f>
        <v/>
      </c>
      <c r="W128" s="0" t="str">
        <f aca="false">IF(A128="Capítulo",C128,"")</f>
        <v/>
      </c>
    </row>
    <row r="129" customFormat="false" ht="16.5" hidden="false" customHeight="true" outlineLevel="0" collapsed="false">
      <c r="A129" s="15"/>
      <c r="B129" s="15"/>
      <c r="C129" s="79"/>
      <c r="D129" s="15"/>
      <c r="E129" s="80"/>
      <c r="F129" s="16"/>
      <c r="G129" s="10" t="str">
        <f aca="false">IF($A129&lt;&gt;"Ítem","",E129*F129)</f>
        <v/>
      </c>
      <c r="H129" s="16"/>
      <c r="I129" s="10" t="str">
        <f aca="false">IF($A129&lt;&gt;"Ítem","",N(H129)*IF(p_IVAMat="Sí",1+p_IVA,1))</f>
        <v/>
      </c>
      <c r="J129" s="16"/>
      <c r="K129" s="16"/>
      <c r="L129" s="15"/>
      <c r="M129" s="16"/>
      <c r="N129" s="10" t="str">
        <f aca="false">IF($A129&lt;&gt;"Ítem","",I129+N(J129)+N(K129)+N(M129))</f>
        <v/>
      </c>
      <c r="O129" s="10" t="str">
        <f aca="false">IF($A129&lt;&gt;"Ítem","",E129*I129)</f>
        <v/>
      </c>
      <c r="P129" s="10" t="str">
        <f aca="false">IF($A129&lt;&gt;"Ítem","",E129*N(J129))</f>
        <v/>
      </c>
      <c r="Q129" s="10" t="str">
        <f aca="false">IF($A129&lt;&gt;"Ítem","",E129*N(K129))</f>
        <v/>
      </c>
      <c r="R129" s="10" t="str">
        <f aca="false">IF($A129&lt;&gt;"Ítem","",E129*N(M129))</f>
        <v/>
      </c>
      <c r="S129" s="37" t="str">
        <f aca="false">IF($A129&lt;&gt;"Ítem","",E129*N129)</f>
        <v/>
      </c>
      <c r="T129" s="10" t="str">
        <f aca="false">IF($A129&lt;&gt;"Ítem","",G129-S129)</f>
        <v/>
      </c>
      <c r="U129" s="36" t="str">
        <f aca="false">IF(OR($A129&lt;&gt;"Ítem",N(G129)=0),"",T129/G129)</f>
        <v/>
      </c>
      <c r="V129" s="81" t="str">
        <f aca="false">IF(A129="Capítulo",C129,V128)</f>
        <v/>
      </c>
      <c r="W129" s="0" t="str">
        <f aca="false">IF(A129="Capítulo",C129,"")</f>
        <v/>
      </c>
    </row>
    <row r="130" customFormat="false" ht="16.5" hidden="false" customHeight="true" outlineLevel="0" collapsed="false">
      <c r="A130" s="15"/>
      <c r="B130" s="15"/>
      <c r="C130" s="79"/>
      <c r="D130" s="15"/>
      <c r="E130" s="80"/>
      <c r="F130" s="16"/>
      <c r="G130" s="10" t="str">
        <f aca="false">IF($A130&lt;&gt;"Ítem","",E130*F130)</f>
        <v/>
      </c>
      <c r="H130" s="16"/>
      <c r="I130" s="10" t="str">
        <f aca="false">IF($A130&lt;&gt;"Ítem","",N(H130)*IF(p_IVAMat="Sí",1+p_IVA,1))</f>
        <v/>
      </c>
      <c r="J130" s="16"/>
      <c r="K130" s="16"/>
      <c r="L130" s="15"/>
      <c r="M130" s="16"/>
      <c r="N130" s="10" t="str">
        <f aca="false">IF($A130&lt;&gt;"Ítem","",I130+N(J130)+N(K130)+N(M130))</f>
        <v/>
      </c>
      <c r="O130" s="10" t="str">
        <f aca="false">IF($A130&lt;&gt;"Ítem","",E130*I130)</f>
        <v/>
      </c>
      <c r="P130" s="10" t="str">
        <f aca="false">IF($A130&lt;&gt;"Ítem","",E130*N(J130))</f>
        <v/>
      </c>
      <c r="Q130" s="10" t="str">
        <f aca="false">IF($A130&lt;&gt;"Ítem","",E130*N(K130))</f>
        <v/>
      </c>
      <c r="R130" s="10" t="str">
        <f aca="false">IF($A130&lt;&gt;"Ítem","",E130*N(M130))</f>
        <v/>
      </c>
      <c r="S130" s="37" t="str">
        <f aca="false">IF($A130&lt;&gt;"Ítem","",E130*N130)</f>
        <v/>
      </c>
      <c r="T130" s="10" t="str">
        <f aca="false">IF($A130&lt;&gt;"Ítem","",G130-S130)</f>
        <v/>
      </c>
      <c r="U130" s="36" t="str">
        <f aca="false">IF(OR($A130&lt;&gt;"Ítem",N(G130)=0),"",T130/G130)</f>
        <v/>
      </c>
      <c r="V130" s="81" t="str">
        <f aca="false">IF(A130="Capítulo",C130,V129)</f>
        <v/>
      </c>
      <c r="W130" s="0" t="str">
        <f aca="false">IF(A130="Capítulo",C130,"")</f>
        <v/>
      </c>
    </row>
    <row r="131" customFormat="false" ht="16.5" hidden="false" customHeight="true" outlineLevel="0" collapsed="false">
      <c r="A131" s="15"/>
      <c r="B131" s="15"/>
      <c r="C131" s="79"/>
      <c r="D131" s="15"/>
      <c r="E131" s="80"/>
      <c r="F131" s="16"/>
      <c r="G131" s="10" t="str">
        <f aca="false">IF($A131&lt;&gt;"Ítem","",E131*F131)</f>
        <v/>
      </c>
      <c r="H131" s="16"/>
      <c r="I131" s="10" t="str">
        <f aca="false">IF($A131&lt;&gt;"Ítem","",N(H131)*IF(p_IVAMat="Sí",1+p_IVA,1))</f>
        <v/>
      </c>
      <c r="J131" s="16"/>
      <c r="K131" s="16"/>
      <c r="L131" s="15"/>
      <c r="M131" s="16"/>
      <c r="N131" s="10" t="str">
        <f aca="false">IF($A131&lt;&gt;"Ítem","",I131+N(J131)+N(K131)+N(M131))</f>
        <v/>
      </c>
      <c r="O131" s="10" t="str">
        <f aca="false">IF($A131&lt;&gt;"Ítem","",E131*I131)</f>
        <v/>
      </c>
      <c r="P131" s="10" t="str">
        <f aca="false">IF($A131&lt;&gt;"Ítem","",E131*N(J131))</f>
        <v/>
      </c>
      <c r="Q131" s="10" t="str">
        <f aca="false">IF($A131&lt;&gt;"Ítem","",E131*N(K131))</f>
        <v/>
      </c>
      <c r="R131" s="10" t="str">
        <f aca="false">IF($A131&lt;&gt;"Ítem","",E131*N(M131))</f>
        <v/>
      </c>
      <c r="S131" s="37" t="str">
        <f aca="false">IF($A131&lt;&gt;"Ítem","",E131*N131)</f>
        <v/>
      </c>
      <c r="T131" s="10" t="str">
        <f aca="false">IF($A131&lt;&gt;"Ítem","",G131-S131)</f>
        <v/>
      </c>
      <c r="U131" s="36" t="str">
        <f aca="false">IF(OR($A131&lt;&gt;"Ítem",N(G131)=0),"",T131/G131)</f>
        <v/>
      </c>
      <c r="V131" s="81" t="str">
        <f aca="false">IF(A131="Capítulo",C131,V130)</f>
        <v/>
      </c>
      <c r="W131" s="0" t="str">
        <f aca="false">IF(A131="Capítulo",C131,"")</f>
        <v/>
      </c>
    </row>
    <row r="132" customFormat="false" ht="16.5" hidden="false" customHeight="true" outlineLevel="0" collapsed="false">
      <c r="A132" s="15"/>
      <c r="B132" s="15"/>
      <c r="C132" s="79"/>
      <c r="D132" s="15"/>
      <c r="E132" s="80"/>
      <c r="F132" s="16"/>
      <c r="G132" s="10" t="str">
        <f aca="false">IF($A132&lt;&gt;"Ítem","",E132*F132)</f>
        <v/>
      </c>
      <c r="H132" s="16"/>
      <c r="I132" s="10" t="str">
        <f aca="false">IF($A132&lt;&gt;"Ítem","",N(H132)*IF(p_IVAMat="Sí",1+p_IVA,1))</f>
        <v/>
      </c>
      <c r="J132" s="16"/>
      <c r="K132" s="16"/>
      <c r="L132" s="15"/>
      <c r="M132" s="16"/>
      <c r="N132" s="10" t="str">
        <f aca="false">IF($A132&lt;&gt;"Ítem","",I132+N(J132)+N(K132)+N(M132))</f>
        <v/>
      </c>
      <c r="O132" s="10" t="str">
        <f aca="false">IF($A132&lt;&gt;"Ítem","",E132*I132)</f>
        <v/>
      </c>
      <c r="P132" s="10" t="str">
        <f aca="false">IF($A132&lt;&gt;"Ítem","",E132*N(J132))</f>
        <v/>
      </c>
      <c r="Q132" s="10" t="str">
        <f aca="false">IF($A132&lt;&gt;"Ítem","",E132*N(K132))</f>
        <v/>
      </c>
      <c r="R132" s="10" t="str">
        <f aca="false">IF($A132&lt;&gt;"Ítem","",E132*N(M132))</f>
        <v/>
      </c>
      <c r="S132" s="37" t="str">
        <f aca="false">IF($A132&lt;&gt;"Ítem","",E132*N132)</f>
        <v/>
      </c>
      <c r="T132" s="10" t="str">
        <f aca="false">IF($A132&lt;&gt;"Ítem","",G132-S132)</f>
        <v/>
      </c>
      <c r="U132" s="36" t="str">
        <f aca="false">IF(OR($A132&lt;&gt;"Ítem",N(G132)=0),"",T132/G132)</f>
        <v/>
      </c>
      <c r="V132" s="81" t="str">
        <f aca="false">IF(A132="Capítulo",C132,V131)</f>
        <v/>
      </c>
      <c r="W132" s="0" t="str">
        <f aca="false">IF(A132="Capítulo",C132,"")</f>
        <v/>
      </c>
    </row>
    <row r="133" customFormat="false" ht="16.5" hidden="false" customHeight="true" outlineLevel="0" collapsed="false">
      <c r="A133" s="15"/>
      <c r="B133" s="15"/>
      <c r="C133" s="79"/>
      <c r="D133" s="15"/>
      <c r="E133" s="80"/>
      <c r="F133" s="16"/>
      <c r="G133" s="10" t="str">
        <f aca="false">IF($A133&lt;&gt;"Ítem","",E133*F133)</f>
        <v/>
      </c>
      <c r="H133" s="16"/>
      <c r="I133" s="10" t="str">
        <f aca="false">IF($A133&lt;&gt;"Ítem","",N(H133)*IF(p_IVAMat="Sí",1+p_IVA,1))</f>
        <v/>
      </c>
      <c r="J133" s="16"/>
      <c r="K133" s="16"/>
      <c r="L133" s="15"/>
      <c r="M133" s="16"/>
      <c r="N133" s="10" t="str">
        <f aca="false">IF($A133&lt;&gt;"Ítem","",I133+N(J133)+N(K133)+N(M133))</f>
        <v/>
      </c>
      <c r="O133" s="10" t="str">
        <f aca="false">IF($A133&lt;&gt;"Ítem","",E133*I133)</f>
        <v/>
      </c>
      <c r="P133" s="10" t="str">
        <f aca="false">IF($A133&lt;&gt;"Ítem","",E133*N(J133))</f>
        <v/>
      </c>
      <c r="Q133" s="10" t="str">
        <f aca="false">IF($A133&lt;&gt;"Ítem","",E133*N(K133))</f>
        <v/>
      </c>
      <c r="R133" s="10" t="str">
        <f aca="false">IF($A133&lt;&gt;"Ítem","",E133*N(M133))</f>
        <v/>
      </c>
      <c r="S133" s="37" t="str">
        <f aca="false">IF($A133&lt;&gt;"Ítem","",E133*N133)</f>
        <v/>
      </c>
      <c r="T133" s="10" t="str">
        <f aca="false">IF($A133&lt;&gt;"Ítem","",G133-S133)</f>
        <v/>
      </c>
      <c r="U133" s="36" t="str">
        <f aca="false">IF(OR($A133&lt;&gt;"Ítem",N(G133)=0),"",T133/G133)</f>
        <v/>
      </c>
      <c r="V133" s="81" t="str">
        <f aca="false">IF(A133="Capítulo",C133,V132)</f>
        <v/>
      </c>
      <c r="W133" s="0" t="str">
        <f aca="false">IF(A133="Capítulo",C133,"")</f>
        <v/>
      </c>
    </row>
    <row r="134" customFormat="false" ht="16.5" hidden="false" customHeight="true" outlineLevel="0" collapsed="false">
      <c r="A134" s="15"/>
      <c r="B134" s="15"/>
      <c r="C134" s="79"/>
      <c r="D134" s="15"/>
      <c r="E134" s="80"/>
      <c r="F134" s="16"/>
      <c r="G134" s="10" t="str">
        <f aca="false">IF($A134&lt;&gt;"Ítem","",E134*F134)</f>
        <v/>
      </c>
      <c r="H134" s="16"/>
      <c r="I134" s="10" t="str">
        <f aca="false">IF($A134&lt;&gt;"Ítem","",N(H134)*IF(p_IVAMat="Sí",1+p_IVA,1))</f>
        <v/>
      </c>
      <c r="J134" s="16"/>
      <c r="K134" s="16"/>
      <c r="L134" s="15"/>
      <c r="M134" s="16"/>
      <c r="N134" s="10" t="str">
        <f aca="false">IF($A134&lt;&gt;"Ítem","",I134+N(J134)+N(K134)+N(M134))</f>
        <v/>
      </c>
      <c r="O134" s="10" t="str">
        <f aca="false">IF($A134&lt;&gt;"Ítem","",E134*I134)</f>
        <v/>
      </c>
      <c r="P134" s="10" t="str">
        <f aca="false">IF($A134&lt;&gt;"Ítem","",E134*N(J134))</f>
        <v/>
      </c>
      <c r="Q134" s="10" t="str">
        <f aca="false">IF($A134&lt;&gt;"Ítem","",E134*N(K134))</f>
        <v/>
      </c>
      <c r="R134" s="10" t="str">
        <f aca="false">IF($A134&lt;&gt;"Ítem","",E134*N(M134))</f>
        <v/>
      </c>
      <c r="S134" s="37" t="str">
        <f aca="false">IF($A134&lt;&gt;"Ítem","",E134*N134)</f>
        <v/>
      </c>
      <c r="T134" s="10" t="str">
        <f aca="false">IF($A134&lt;&gt;"Ítem","",G134-S134)</f>
        <v/>
      </c>
      <c r="U134" s="36" t="str">
        <f aca="false">IF(OR($A134&lt;&gt;"Ítem",N(G134)=0),"",T134/G134)</f>
        <v/>
      </c>
      <c r="V134" s="81" t="str">
        <f aca="false">IF(A134="Capítulo",C134,V133)</f>
        <v/>
      </c>
      <c r="W134" s="0" t="str">
        <f aca="false">IF(A134="Capítulo",C134,"")</f>
        <v/>
      </c>
    </row>
    <row r="135" customFormat="false" ht="16.5" hidden="false" customHeight="true" outlineLevel="0" collapsed="false">
      <c r="A135" s="15"/>
      <c r="B135" s="15"/>
      <c r="C135" s="79"/>
      <c r="D135" s="15"/>
      <c r="E135" s="80"/>
      <c r="F135" s="16"/>
      <c r="G135" s="10" t="str">
        <f aca="false">IF($A135&lt;&gt;"Ítem","",E135*F135)</f>
        <v/>
      </c>
      <c r="H135" s="16"/>
      <c r="I135" s="10" t="str">
        <f aca="false">IF($A135&lt;&gt;"Ítem","",N(H135)*IF(p_IVAMat="Sí",1+p_IVA,1))</f>
        <v/>
      </c>
      <c r="J135" s="16"/>
      <c r="K135" s="16"/>
      <c r="L135" s="15"/>
      <c r="M135" s="16"/>
      <c r="N135" s="10" t="str">
        <f aca="false">IF($A135&lt;&gt;"Ítem","",I135+N(J135)+N(K135)+N(M135))</f>
        <v/>
      </c>
      <c r="O135" s="10" t="str">
        <f aca="false">IF($A135&lt;&gt;"Ítem","",E135*I135)</f>
        <v/>
      </c>
      <c r="P135" s="10" t="str">
        <f aca="false">IF($A135&lt;&gt;"Ítem","",E135*N(J135))</f>
        <v/>
      </c>
      <c r="Q135" s="10" t="str">
        <f aca="false">IF($A135&lt;&gt;"Ítem","",E135*N(K135))</f>
        <v/>
      </c>
      <c r="R135" s="10" t="str">
        <f aca="false">IF($A135&lt;&gt;"Ítem","",E135*N(M135))</f>
        <v/>
      </c>
      <c r="S135" s="37" t="str">
        <f aca="false">IF($A135&lt;&gt;"Ítem","",E135*N135)</f>
        <v/>
      </c>
      <c r="T135" s="10" t="str">
        <f aca="false">IF($A135&lt;&gt;"Ítem","",G135-S135)</f>
        <v/>
      </c>
      <c r="U135" s="36" t="str">
        <f aca="false">IF(OR($A135&lt;&gt;"Ítem",N(G135)=0),"",T135/G135)</f>
        <v/>
      </c>
      <c r="V135" s="81" t="str">
        <f aca="false">IF(A135="Capítulo",C135,V134)</f>
        <v/>
      </c>
      <c r="W135" s="0" t="str">
        <f aca="false">IF(A135="Capítulo",C135,"")</f>
        <v/>
      </c>
    </row>
    <row r="136" customFormat="false" ht="16.5" hidden="false" customHeight="true" outlineLevel="0" collapsed="false">
      <c r="A136" s="15"/>
      <c r="B136" s="15"/>
      <c r="C136" s="79"/>
      <c r="D136" s="15"/>
      <c r="E136" s="80"/>
      <c r="F136" s="16"/>
      <c r="G136" s="10" t="str">
        <f aca="false">IF($A136&lt;&gt;"Ítem","",E136*F136)</f>
        <v/>
      </c>
      <c r="H136" s="16"/>
      <c r="I136" s="10" t="str">
        <f aca="false">IF($A136&lt;&gt;"Ítem","",N(H136)*IF(p_IVAMat="Sí",1+p_IVA,1))</f>
        <v/>
      </c>
      <c r="J136" s="16"/>
      <c r="K136" s="16"/>
      <c r="L136" s="15"/>
      <c r="M136" s="16"/>
      <c r="N136" s="10" t="str">
        <f aca="false">IF($A136&lt;&gt;"Ítem","",I136+N(J136)+N(K136)+N(M136))</f>
        <v/>
      </c>
      <c r="O136" s="10" t="str">
        <f aca="false">IF($A136&lt;&gt;"Ítem","",E136*I136)</f>
        <v/>
      </c>
      <c r="P136" s="10" t="str">
        <f aca="false">IF($A136&lt;&gt;"Ítem","",E136*N(J136))</f>
        <v/>
      </c>
      <c r="Q136" s="10" t="str">
        <f aca="false">IF($A136&lt;&gt;"Ítem","",E136*N(K136))</f>
        <v/>
      </c>
      <c r="R136" s="10" t="str">
        <f aca="false">IF($A136&lt;&gt;"Ítem","",E136*N(M136))</f>
        <v/>
      </c>
      <c r="S136" s="37" t="str">
        <f aca="false">IF($A136&lt;&gt;"Ítem","",E136*N136)</f>
        <v/>
      </c>
      <c r="T136" s="10" t="str">
        <f aca="false">IF($A136&lt;&gt;"Ítem","",G136-S136)</f>
        <v/>
      </c>
      <c r="U136" s="36" t="str">
        <f aca="false">IF(OR($A136&lt;&gt;"Ítem",N(G136)=0),"",T136/G136)</f>
        <v/>
      </c>
      <c r="V136" s="81" t="str">
        <f aca="false">IF(A136="Capítulo",C136,V135)</f>
        <v/>
      </c>
      <c r="W136" s="0" t="str">
        <f aca="false">IF(A136="Capítulo",C136,"")</f>
        <v/>
      </c>
    </row>
    <row r="137" customFormat="false" ht="16.5" hidden="false" customHeight="true" outlineLevel="0" collapsed="false">
      <c r="A137" s="15"/>
      <c r="B137" s="15"/>
      <c r="C137" s="79"/>
      <c r="D137" s="15"/>
      <c r="E137" s="80"/>
      <c r="F137" s="16"/>
      <c r="G137" s="10" t="str">
        <f aca="false">IF($A137&lt;&gt;"Ítem","",E137*F137)</f>
        <v/>
      </c>
      <c r="H137" s="16"/>
      <c r="I137" s="10" t="str">
        <f aca="false">IF($A137&lt;&gt;"Ítem","",N(H137)*IF(p_IVAMat="Sí",1+p_IVA,1))</f>
        <v/>
      </c>
      <c r="J137" s="16"/>
      <c r="K137" s="16"/>
      <c r="L137" s="15"/>
      <c r="M137" s="16"/>
      <c r="N137" s="10" t="str">
        <f aca="false">IF($A137&lt;&gt;"Ítem","",I137+N(J137)+N(K137)+N(M137))</f>
        <v/>
      </c>
      <c r="O137" s="10" t="str">
        <f aca="false">IF($A137&lt;&gt;"Ítem","",E137*I137)</f>
        <v/>
      </c>
      <c r="P137" s="10" t="str">
        <f aca="false">IF($A137&lt;&gt;"Ítem","",E137*N(J137))</f>
        <v/>
      </c>
      <c r="Q137" s="10" t="str">
        <f aca="false">IF($A137&lt;&gt;"Ítem","",E137*N(K137))</f>
        <v/>
      </c>
      <c r="R137" s="10" t="str">
        <f aca="false">IF($A137&lt;&gt;"Ítem","",E137*N(M137))</f>
        <v/>
      </c>
      <c r="S137" s="37" t="str">
        <f aca="false">IF($A137&lt;&gt;"Ítem","",E137*N137)</f>
        <v/>
      </c>
      <c r="T137" s="10" t="str">
        <f aca="false">IF($A137&lt;&gt;"Ítem","",G137-S137)</f>
        <v/>
      </c>
      <c r="U137" s="36" t="str">
        <f aca="false">IF(OR($A137&lt;&gt;"Ítem",N(G137)=0),"",T137/G137)</f>
        <v/>
      </c>
      <c r="V137" s="81" t="str">
        <f aca="false">IF(A137="Capítulo",C137,V136)</f>
        <v/>
      </c>
      <c r="W137" s="0" t="str">
        <f aca="false">IF(A137="Capítulo",C137,"")</f>
        <v/>
      </c>
    </row>
    <row r="138" customFormat="false" ht="16.5" hidden="false" customHeight="true" outlineLevel="0" collapsed="false">
      <c r="A138" s="15"/>
      <c r="B138" s="15"/>
      <c r="C138" s="79"/>
      <c r="D138" s="15"/>
      <c r="E138" s="80"/>
      <c r="F138" s="16"/>
      <c r="G138" s="10" t="str">
        <f aca="false">IF($A138&lt;&gt;"Ítem","",E138*F138)</f>
        <v/>
      </c>
      <c r="H138" s="16"/>
      <c r="I138" s="10" t="str">
        <f aca="false">IF($A138&lt;&gt;"Ítem","",N(H138)*IF(p_IVAMat="Sí",1+p_IVA,1))</f>
        <v/>
      </c>
      <c r="J138" s="16"/>
      <c r="K138" s="16"/>
      <c r="L138" s="15"/>
      <c r="M138" s="16"/>
      <c r="N138" s="10" t="str">
        <f aca="false">IF($A138&lt;&gt;"Ítem","",I138+N(J138)+N(K138)+N(M138))</f>
        <v/>
      </c>
      <c r="O138" s="10" t="str">
        <f aca="false">IF($A138&lt;&gt;"Ítem","",E138*I138)</f>
        <v/>
      </c>
      <c r="P138" s="10" t="str">
        <f aca="false">IF($A138&lt;&gt;"Ítem","",E138*N(J138))</f>
        <v/>
      </c>
      <c r="Q138" s="10" t="str">
        <f aca="false">IF($A138&lt;&gt;"Ítem","",E138*N(K138))</f>
        <v/>
      </c>
      <c r="R138" s="10" t="str">
        <f aca="false">IF($A138&lt;&gt;"Ítem","",E138*N(M138))</f>
        <v/>
      </c>
      <c r="S138" s="37" t="str">
        <f aca="false">IF($A138&lt;&gt;"Ítem","",E138*N138)</f>
        <v/>
      </c>
      <c r="T138" s="10" t="str">
        <f aca="false">IF($A138&lt;&gt;"Ítem","",G138-S138)</f>
        <v/>
      </c>
      <c r="U138" s="36" t="str">
        <f aca="false">IF(OR($A138&lt;&gt;"Ítem",N(G138)=0),"",T138/G138)</f>
        <v/>
      </c>
      <c r="V138" s="81" t="str">
        <f aca="false">IF(A138="Capítulo",C138,V137)</f>
        <v/>
      </c>
      <c r="W138" s="0" t="str">
        <f aca="false">IF(A138="Capítulo",C138,"")</f>
        <v/>
      </c>
    </row>
    <row r="139" customFormat="false" ht="16.5" hidden="false" customHeight="true" outlineLevel="0" collapsed="false">
      <c r="A139" s="15"/>
      <c r="B139" s="15"/>
      <c r="C139" s="79"/>
      <c r="D139" s="15"/>
      <c r="E139" s="80"/>
      <c r="F139" s="16"/>
      <c r="G139" s="10" t="str">
        <f aca="false">IF($A139&lt;&gt;"Ítem","",E139*F139)</f>
        <v/>
      </c>
      <c r="H139" s="16"/>
      <c r="I139" s="10" t="str">
        <f aca="false">IF($A139&lt;&gt;"Ítem","",N(H139)*IF(p_IVAMat="Sí",1+p_IVA,1))</f>
        <v/>
      </c>
      <c r="J139" s="16"/>
      <c r="K139" s="16"/>
      <c r="L139" s="15"/>
      <c r="M139" s="16"/>
      <c r="N139" s="10" t="str">
        <f aca="false">IF($A139&lt;&gt;"Ítem","",I139+N(J139)+N(K139)+N(M139))</f>
        <v/>
      </c>
      <c r="O139" s="10" t="str">
        <f aca="false">IF($A139&lt;&gt;"Ítem","",E139*I139)</f>
        <v/>
      </c>
      <c r="P139" s="10" t="str">
        <f aca="false">IF($A139&lt;&gt;"Ítem","",E139*N(J139))</f>
        <v/>
      </c>
      <c r="Q139" s="10" t="str">
        <f aca="false">IF($A139&lt;&gt;"Ítem","",E139*N(K139))</f>
        <v/>
      </c>
      <c r="R139" s="10" t="str">
        <f aca="false">IF($A139&lt;&gt;"Ítem","",E139*N(M139))</f>
        <v/>
      </c>
      <c r="S139" s="37" t="str">
        <f aca="false">IF($A139&lt;&gt;"Ítem","",E139*N139)</f>
        <v/>
      </c>
      <c r="T139" s="10" t="str">
        <f aca="false">IF($A139&lt;&gt;"Ítem","",G139-S139)</f>
        <v/>
      </c>
      <c r="U139" s="36" t="str">
        <f aca="false">IF(OR($A139&lt;&gt;"Ítem",N(G139)=0),"",T139/G139)</f>
        <v/>
      </c>
      <c r="V139" s="81" t="str">
        <f aca="false">IF(A139="Capítulo",C139,V138)</f>
        <v/>
      </c>
      <c r="W139" s="0" t="str">
        <f aca="false">IF(A139="Capítulo",C139,"")</f>
        <v/>
      </c>
    </row>
    <row r="140" customFormat="false" ht="16.5" hidden="false" customHeight="true" outlineLevel="0" collapsed="false">
      <c r="A140" s="15"/>
      <c r="B140" s="15"/>
      <c r="C140" s="79"/>
      <c r="D140" s="15"/>
      <c r="E140" s="80"/>
      <c r="F140" s="16"/>
      <c r="G140" s="10" t="str">
        <f aca="false">IF($A140&lt;&gt;"Ítem","",E140*F140)</f>
        <v/>
      </c>
      <c r="H140" s="16"/>
      <c r="I140" s="10" t="str">
        <f aca="false">IF($A140&lt;&gt;"Ítem","",N(H140)*IF(p_IVAMat="Sí",1+p_IVA,1))</f>
        <v/>
      </c>
      <c r="J140" s="16"/>
      <c r="K140" s="16"/>
      <c r="L140" s="15"/>
      <c r="M140" s="16"/>
      <c r="N140" s="10" t="str">
        <f aca="false">IF($A140&lt;&gt;"Ítem","",I140+N(J140)+N(K140)+N(M140))</f>
        <v/>
      </c>
      <c r="O140" s="10" t="str">
        <f aca="false">IF($A140&lt;&gt;"Ítem","",E140*I140)</f>
        <v/>
      </c>
      <c r="P140" s="10" t="str">
        <f aca="false">IF($A140&lt;&gt;"Ítem","",E140*N(J140))</f>
        <v/>
      </c>
      <c r="Q140" s="10" t="str">
        <f aca="false">IF($A140&lt;&gt;"Ítem","",E140*N(K140))</f>
        <v/>
      </c>
      <c r="R140" s="10" t="str">
        <f aca="false">IF($A140&lt;&gt;"Ítem","",E140*N(M140))</f>
        <v/>
      </c>
      <c r="S140" s="37" t="str">
        <f aca="false">IF($A140&lt;&gt;"Ítem","",E140*N140)</f>
        <v/>
      </c>
      <c r="T140" s="10" t="str">
        <f aca="false">IF($A140&lt;&gt;"Ítem","",G140-S140)</f>
        <v/>
      </c>
      <c r="U140" s="36" t="str">
        <f aca="false">IF(OR($A140&lt;&gt;"Ítem",N(G140)=0),"",T140/G140)</f>
        <v/>
      </c>
      <c r="V140" s="81" t="str">
        <f aca="false">IF(A140="Capítulo",C140,V139)</f>
        <v/>
      </c>
      <c r="W140" s="0" t="str">
        <f aca="false">IF(A140="Capítulo",C140,"")</f>
        <v/>
      </c>
    </row>
    <row r="141" customFormat="false" ht="16.5" hidden="false" customHeight="true" outlineLevel="0" collapsed="false">
      <c r="A141" s="15"/>
      <c r="B141" s="15"/>
      <c r="C141" s="79"/>
      <c r="D141" s="15"/>
      <c r="E141" s="80"/>
      <c r="F141" s="16"/>
      <c r="G141" s="10" t="str">
        <f aca="false">IF($A141&lt;&gt;"Ítem","",E141*F141)</f>
        <v/>
      </c>
      <c r="H141" s="16"/>
      <c r="I141" s="10" t="str">
        <f aca="false">IF($A141&lt;&gt;"Ítem","",N(H141)*IF(p_IVAMat="Sí",1+p_IVA,1))</f>
        <v/>
      </c>
      <c r="J141" s="16"/>
      <c r="K141" s="16"/>
      <c r="L141" s="15"/>
      <c r="M141" s="16"/>
      <c r="N141" s="10" t="str">
        <f aca="false">IF($A141&lt;&gt;"Ítem","",I141+N(J141)+N(K141)+N(M141))</f>
        <v/>
      </c>
      <c r="O141" s="10" t="str">
        <f aca="false">IF($A141&lt;&gt;"Ítem","",E141*I141)</f>
        <v/>
      </c>
      <c r="P141" s="10" t="str">
        <f aca="false">IF($A141&lt;&gt;"Ítem","",E141*N(J141))</f>
        <v/>
      </c>
      <c r="Q141" s="10" t="str">
        <f aca="false">IF($A141&lt;&gt;"Ítem","",E141*N(K141))</f>
        <v/>
      </c>
      <c r="R141" s="10" t="str">
        <f aca="false">IF($A141&lt;&gt;"Ítem","",E141*N(M141))</f>
        <v/>
      </c>
      <c r="S141" s="37" t="str">
        <f aca="false">IF($A141&lt;&gt;"Ítem","",E141*N141)</f>
        <v/>
      </c>
      <c r="T141" s="10" t="str">
        <f aca="false">IF($A141&lt;&gt;"Ítem","",G141-S141)</f>
        <v/>
      </c>
      <c r="U141" s="36" t="str">
        <f aca="false">IF(OR($A141&lt;&gt;"Ítem",N(G141)=0),"",T141/G141)</f>
        <v/>
      </c>
      <c r="V141" s="81" t="str">
        <f aca="false">IF(A141="Capítulo",C141,V140)</f>
        <v/>
      </c>
      <c r="W141" s="0" t="str">
        <f aca="false">IF(A141="Capítulo",C141,"")</f>
        <v/>
      </c>
    </row>
    <row r="142" customFormat="false" ht="16.5" hidden="false" customHeight="true" outlineLevel="0" collapsed="false">
      <c r="A142" s="15"/>
      <c r="B142" s="15"/>
      <c r="C142" s="79"/>
      <c r="D142" s="15"/>
      <c r="E142" s="80"/>
      <c r="F142" s="16"/>
      <c r="G142" s="10" t="str">
        <f aca="false">IF($A142&lt;&gt;"Ítem","",E142*F142)</f>
        <v/>
      </c>
      <c r="H142" s="16"/>
      <c r="I142" s="10" t="str">
        <f aca="false">IF($A142&lt;&gt;"Ítem","",N(H142)*IF(p_IVAMat="Sí",1+p_IVA,1))</f>
        <v/>
      </c>
      <c r="J142" s="16"/>
      <c r="K142" s="16"/>
      <c r="L142" s="15"/>
      <c r="M142" s="16"/>
      <c r="N142" s="10" t="str">
        <f aca="false">IF($A142&lt;&gt;"Ítem","",I142+N(J142)+N(K142)+N(M142))</f>
        <v/>
      </c>
      <c r="O142" s="10" t="str">
        <f aca="false">IF($A142&lt;&gt;"Ítem","",E142*I142)</f>
        <v/>
      </c>
      <c r="P142" s="10" t="str">
        <f aca="false">IF($A142&lt;&gt;"Ítem","",E142*N(J142))</f>
        <v/>
      </c>
      <c r="Q142" s="10" t="str">
        <f aca="false">IF($A142&lt;&gt;"Ítem","",E142*N(K142))</f>
        <v/>
      </c>
      <c r="R142" s="10" t="str">
        <f aca="false">IF($A142&lt;&gt;"Ítem","",E142*N(M142))</f>
        <v/>
      </c>
      <c r="S142" s="37" t="str">
        <f aca="false">IF($A142&lt;&gt;"Ítem","",E142*N142)</f>
        <v/>
      </c>
      <c r="T142" s="10" t="str">
        <f aca="false">IF($A142&lt;&gt;"Ítem","",G142-S142)</f>
        <v/>
      </c>
      <c r="U142" s="36" t="str">
        <f aca="false">IF(OR($A142&lt;&gt;"Ítem",N(G142)=0),"",T142/G142)</f>
        <v/>
      </c>
      <c r="V142" s="81" t="str">
        <f aca="false">IF(A142="Capítulo",C142,V141)</f>
        <v/>
      </c>
      <c r="W142" s="0" t="str">
        <f aca="false">IF(A142="Capítulo",C142,"")</f>
        <v/>
      </c>
    </row>
    <row r="143" customFormat="false" ht="16.5" hidden="false" customHeight="true" outlineLevel="0" collapsed="false">
      <c r="A143" s="15"/>
      <c r="B143" s="15"/>
      <c r="C143" s="79"/>
      <c r="D143" s="15"/>
      <c r="E143" s="80"/>
      <c r="F143" s="16"/>
      <c r="G143" s="10" t="str">
        <f aca="false">IF($A143&lt;&gt;"Ítem","",E143*F143)</f>
        <v/>
      </c>
      <c r="H143" s="16"/>
      <c r="I143" s="10" t="str">
        <f aca="false">IF($A143&lt;&gt;"Ítem","",N(H143)*IF(p_IVAMat="Sí",1+p_IVA,1))</f>
        <v/>
      </c>
      <c r="J143" s="16"/>
      <c r="K143" s="16"/>
      <c r="L143" s="15"/>
      <c r="M143" s="16"/>
      <c r="N143" s="10" t="str">
        <f aca="false">IF($A143&lt;&gt;"Ítem","",I143+N(J143)+N(K143)+N(M143))</f>
        <v/>
      </c>
      <c r="O143" s="10" t="str">
        <f aca="false">IF($A143&lt;&gt;"Ítem","",E143*I143)</f>
        <v/>
      </c>
      <c r="P143" s="10" t="str">
        <f aca="false">IF($A143&lt;&gt;"Ítem","",E143*N(J143))</f>
        <v/>
      </c>
      <c r="Q143" s="10" t="str">
        <f aca="false">IF($A143&lt;&gt;"Ítem","",E143*N(K143))</f>
        <v/>
      </c>
      <c r="R143" s="10" t="str">
        <f aca="false">IF($A143&lt;&gt;"Ítem","",E143*N(M143))</f>
        <v/>
      </c>
      <c r="S143" s="37" t="str">
        <f aca="false">IF($A143&lt;&gt;"Ítem","",E143*N143)</f>
        <v/>
      </c>
      <c r="T143" s="10" t="str">
        <f aca="false">IF($A143&lt;&gt;"Ítem","",G143-S143)</f>
        <v/>
      </c>
      <c r="U143" s="36" t="str">
        <f aca="false">IF(OR($A143&lt;&gt;"Ítem",N(G143)=0),"",T143/G143)</f>
        <v/>
      </c>
      <c r="V143" s="81" t="str">
        <f aca="false">IF(A143="Capítulo",C143,V142)</f>
        <v/>
      </c>
      <c r="W143" s="0" t="str">
        <f aca="false">IF(A143="Capítulo",C143,"")</f>
        <v/>
      </c>
    </row>
    <row r="144" customFormat="false" ht="16.5" hidden="false" customHeight="true" outlineLevel="0" collapsed="false">
      <c r="A144" s="15"/>
      <c r="B144" s="15"/>
      <c r="C144" s="79"/>
      <c r="D144" s="15"/>
      <c r="E144" s="80"/>
      <c r="F144" s="16"/>
      <c r="G144" s="10" t="str">
        <f aca="false">IF($A144&lt;&gt;"Ítem","",E144*F144)</f>
        <v/>
      </c>
      <c r="H144" s="16"/>
      <c r="I144" s="10" t="str">
        <f aca="false">IF($A144&lt;&gt;"Ítem","",N(H144)*IF(p_IVAMat="Sí",1+p_IVA,1))</f>
        <v/>
      </c>
      <c r="J144" s="16"/>
      <c r="K144" s="16"/>
      <c r="L144" s="15"/>
      <c r="M144" s="16"/>
      <c r="N144" s="10" t="str">
        <f aca="false">IF($A144&lt;&gt;"Ítem","",I144+N(J144)+N(K144)+N(M144))</f>
        <v/>
      </c>
      <c r="O144" s="10" t="str">
        <f aca="false">IF($A144&lt;&gt;"Ítem","",E144*I144)</f>
        <v/>
      </c>
      <c r="P144" s="10" t="str">
        <f aca="false">IF($A144&lt;&gt;"Ítem","",E144*N(J144))</f>
        <v/>
      </c>
      <c r="Q144" s="10" t="str">
        <f aca="false">IF($A144&lt;&gt;"Ítem","",E144*N(K144))</f>
        <v/>
      </c>
      <c r="R144" s="10" t="str">
        <f aca="false">IF($A144&lt;&gt;"Ítem","",E144*N(M144))</f>
        <v/>
      </c>
      <c r="S144" s="37" t="str">
        <f aca="false">IF($A144&lt;&gt;"Ítem","",E144*N144)</f>
        <v/>
      </c>
      <c r="T144" s="10" t="str">
        <f aca="false">IF($A144&lt;&gt;"Ítem","",G144-S144)</f>
        <v/>
      </c>
      <c r="U144" s="36" t="str">
        <f aca="false">IF(OR($A144&lt;&gt;"Ítem",N(G144)=0),"",T144/G144)</f>
        <v/>
      </c>
      <c r="V144" s="81" t="str">
        <f aca="false">IF(A144="Capítulo",C144,V143)</f>
        <v/>
      </c>
      <c r="W144" s="0" t="str">
        <f aca="false">IF(A144="Capítulo",C144,"")</f>
        <v/>
      </c>
    </row>
    <row r="145" customFormat="false" ht="16.5" hidden="false" customHeight="true" outlineLevel="0" collapsed="false">
      <c r="A145" s="15"/>
      <c r="B145" s="15"/>
      <c r="C145" s="79"/>
      <c r="D145" s="15"/>
      <c r="E145" s="80"/>
      <c r="F145" s="16"/>
      <c r="G145" s="10" t="str">
        <f aca="false">IF($A145&lt;&gt;"Ítem","",E145*F145)</f>
        <v/>
      </c>
      <c r="H145" s="16"/>
      <c r="I145" s="10" t="str">
        <f aca="false">IF($A145&lt;&gt;"Ítem","",N(H145)*IF(p_IVAMat="Sí",1+p_IVA,1))</f>
        <v/>
      </c>
      <c r="J145" s="16"/>
      <c r="K145" s="16"/>
      <c r="L145" s="15"/>
      <c r="M145" s="16"/>
      <c r="N145" s="10" t="str">
        <f aca="false">IF($A145&lt;&gt;"Ítem","",I145+N(J145)+N(K145)+N(M145))</f>
        <v/>
      </c>
      <c r="O145" s="10" t="str">
        <f aca="false">IF($A145&lt;&gt;"Ítem","",E145*I145)</f>
        <v/>
      </c>
      <c r="P145" s="10" t="str">
        <f aca="false">IF($A145&lt;&gt;"Ítem","",E145*N(J145))</f>
        <v/>
      </c>
      <c r="Q145" s="10" t="str">
        <f aca="false">IF($A145&lt;&gt;"Ítem","",E145*N(K145))</f>
        <v/>
      </c>
      <c r="R145" s="10" t="str">
        <f aca="false">IF($A145&lt;&gt;"Ítem","",E145*N(M145))</f>
        <v/>
      </c>
      <c r="S145" s="37" t="str">
        <f aca="false">IF($A145&lt;&gt;"Ítem","",E145*N145)</f>
        <v/>
      </c>
      <c r="T145" s="10" t="str">
        <f aca="false">IF($A145&lt;&gt;"Ítem","",G145-S145)</f>
        <v/>
      </c>
      <c r="U145" s="36" t="str">
        <f aca="false">IF(OR($A145&lt;&gt;"Ítem",N(G145)=0),"",T145/G145)</f>
        <v/>
      </c>
      <c r="V145" s="81" t="str">
        <f aca="false">IF(A145="Capítulo",C145,V144)</f>
        <v/>
      </c>
      <c r="W145" s="0" t="str">
        <f aca="false">IF(A145="Capítulo",C145,"")</f>
        <v/>
      </c>
    </row>
    <row r="146" customFormat="false" ht="16.5" hidden="false" customHeight="true" outlineLevel="0" collapsed="false">
      <c r="A146" s="15"/>
      <c r="B146" s="15"/>
      <c r="C146" s="79"/>
      <c r="D146" s="15"/>
      <c r="E146" s="80"/>
      <c r="F146" s="16"/>
      <c r="G146" s="10" t="str">
        <f aca="false">IF($A146&lt;&gt;"Ítem","",E146*F146)</f>
        <v/>
      </c>
      <c r="H146" s="16"/>
      <c r="I146" s="10" t="str">
        <f aca="false">IF($A146&lt;&gt;"Ítem","",N(H146)*IF(p_IVAMat="Sí",1+p_IVA,1))</f>
        <v/>
      </c>
      <c r="J146" s="16"/>
      <c r="K146" s="16"/>
      <c r="L146" s="15"/>
      <c r="M146" s="16"/>
      <c r="N146" s="10" t="str">
        <f aca="false">IF($A146&lt;&gt;"Ítem","",I146+N(J146)+N(K146)+N(M146))</f>
        <v/>
      </c>
      <c r="O146" s="10" t="str">
        <f aca="false">IF($A146&lt;&gt;"Ítem","",E146*I146)</f>
        <v/>
      </c>
      <c r="P146" s="10" t="str">
        <f aca="false">IF($A146&lt;&gt;"Ítem","",E146*N(J146))</f>
        <v/>
      </c>
      <c r="Q146" s="10" t="str">
        <f aca="false">IF($A146&lt;&gt;"Ítem","",E146*N(K146))</f>
        <v/>
      </c>
      <c r="R146" s="10" t="str">
        <f aca="false">IF($A146&lt;&gt;"Ítem","",E146*N(M146))</f>
        <v/>
      </c>
      <c r="S146" s="37" t="str">
        <f aca="false">IF($A146&lt;&gt;"Ítem","",E146*N146)</f>
        <v/>
      </c>
      <c r="T146" s="10" t="str">
        <f aca="false">IF($A146&lt;&gt;"Ítem","",G146-S146)</f>
        <v/>
      </c>
      <c r="U146" s="36" t="str">
        <f aca="false">IF(OR($A146&lt;&gt;"Ítem",N(G146)=0),"",T146/G146)</f>
        <v/>
      </c>
      <c r="V146" s="81" t="str">
        <f aca="false">IF(A146="Capítulo",C146,V145)</f>
        <v/>
      </c>
      <c r="W146" s="0" t="str">
        <f aca="false">IF(A146="Capítulo",C146,"")</f>
        <v/>
      </c>
    </row>
    <row r="147" customFormat="false" ht="16.5" hidden="false" customHeight="true" outlineLevel="0" collapsed="false">
      <c r="A147" s="15"/>
      <c r="B147" s="15"/>
      <c r="C147" s="79"/>
      <c r="D147" s="15"/>
      <c r="E147" s="80"/>
      <c r="F147" s="16"/>
      <c r="G147" s="10" t="str">
        <f aca="false">IF($A147&lt;&gt;"Ítem","",E147*F147)</f>
        <v/>
      </c>
      <c r="H147" s="16"/>
      <c r="I147" s="10" t="str">
        <f aca="false">IF($A147&lt;&gt;"Ítem","",N(H147)*IF(p_IVAMat="Sí",1+p_IVA,1))</f>
        <v/>
      </c>
      <c r="J147" s="16"/>
      <c r="K147" s="16"/>
      <c r="L147" s="15"/>
      <c r="M147" s="16"/>
      <c r="N147" s="10" t="str">
        <f aca="false">IF($A147&lt;&gt;"Ítem","",I147+N(J147)+N(K147)+N(M147))</f>
        <v/>
      </c>
      <c r="O147" s="10" t="str">
        <f aca="false">IF($A147&lt;&gt;"Ítem","",E147*I147)</f>
        <v/>
      </c>
      <c r="P147" s="10" t="str">
        <f aca="false">IF($A147&lt;&gt;"Ítem","",E147*N(J147))</f>
        <v/>
      </c>
      <c r="Q147" s="10" t="str">
        <f aca="false">IF($A147&lt;&gt;"Ítem","",E147*N(K147))</f>
        <v/>
      </c>
      <c r="R147" s="10" t="str">
        <f aca="false">IF($A147&lt;&gt;"Ítem","",E147*N(M147))</f>
        <v/>
      </c>
      <c r="S147" s="37" t="str">
        <f aca="false">IF($A147&lt;&gt;"Ítem","",E147*N147)</f>
        <v/>
      </c>
      <c r="T147" s="10" t="str">
        <f aca="false">IF($A147&lt;&gt;"Ítem","",G147-S147)</f>
        <v/>
      </c>
      <c r="U147" s="36" t="str">
        <f aca="false">IF(OR($A147&lt;&gt;"Ítem",N(G147)=0),"",T147/G147)</f>
        <v/>
      </c>
      <c r="V147" s="81" t="str">
        <f aca="false">IF(A147="Capítulo",C147,V146)</f>
        <v/>
      </c>
      <c r="W147" s="0" t="str">
        <f aca="false">IF(A147="Capítulo",C147,"")</f>
        <v/>
      </c>
    </row>
    <row r="148" customFormat="false" ht="16.5" hidden="false" customHeight="true" outlineLevel="0" collapsed="false">
      <c r="A148" s="15"/>
      <c r="B148" s="15"/>
      <c r="C148" s="79"/>
      <c r="D148" s="15"/>
      <c r="E148" s="80"/>
      <c r="F148" s="16"/>
      <c r="G148" s="10" t="str">
        <f aca="false">IF($A148&lt;&gt;"Ítem","",E148*F148)</f>
        <v/>
      </c>
      <c r="H148" s="16"/>
      <c r="I148" s="10" t="str">
        <f aca="false">IF($A148&lt;&gt;"Ítem","",N(H148)*IF(p_IVAMat="Sí",1+p_IVA,1))</f>
        <v/>
      </c>
      <c r="J148" s="16"/>
      <c r="K148" s="16"/>
      <c r="L148" s="15"/>
      <c r="M148" s="16"/>
      <c r="N148" s="10" t="str">
        <f aca="false">IF($A148&lt;&gt;"Ítem","",I148+N(J148)+N(K148)+N(M148))</f>
        <v/>
      </c>
      <c r="O148" s="10" t="str">
        <f aca="false">IF($A148&lt;&gt;"Ítem","",E148*I148)</f>
        <v/>
      </c>
      <c r="P148" s="10" t="str">
        <f aca="false">IF($A148&lt;&gt;"Ítem","",E148*N(J148))</f>
        <v/>
      </c>
      <c r="Q148" s="10" t="str">
        <f aca="false">IF($A148&lt;&gt;"Ítem","",E148*N(K148))</f>
        <v/>
      </c>
      <c r="R148" s="10" t="str">
        <f aca="false">IF($A148&lt;&gt;"Ítem","",E148*N(M148))</f>
        <v/>
      </c>
      <c r="S148" s="37" t="str">
        <f aca="false">IF($A148&lt;&gt;"Ítem","",E148*N148)</f>
        <v/>
      </c>
      <c r="T148" s="10" t="str">
        <f aca="false">IF($A148&lt;&gt;"Ítem","",G148-S148)</f>
        <v/>
      </c>
      <c r="U148" s="36" t="str">
        <f aca="false">IF(OR($A148&lt;&gt;"Ítem",N(G148)=0),"",T148/G148)</f>
        <v/>
      </c>
      <c r="V148" s="81" t="str">
        <f aca="false">IF(A148="Capítulo",C148,V147)</f>
        <v/>
      </c>
      <c r="W148" s="0" t="str">
        <f aca="false">IF(A148="Capítulo",C148,"")</f>
        <v/>
      </c>
    </row>
    <row r="149" customFormat="false" ht="16.5" hidden="false" customHeight="true" outlineLevel="0" collapsed="false">
      <c r="A149" s="15"/>
      <c r="B149" s="15"/>
      <c r="C149" s="79"/>
      <c r="D149" s="15"/>
      <c r="E149" s="80"/>
      <c r="F149" s="16"/>
      <c r="G149" s="10" t="str">
        <f aca="false">IF($A149&lt;&gt;"Ítem","",E149*F149)</f>
        <v/>
      </c>
      <c r="H149" s="16"/>
      <c r="I149" s="10" t="str">
        <f aca="false">IF($A149&lt;&gt;"Ítem","",N(H149)*IF(p_IVAMat="Sí",1+p_IVA,1))</f>
        <v/>
      </c>
      <c r="J149" s="16"/>
      <c r="K149" s="16"/>
      <c r="L149" s="15"/>
      <c r="M149" s="16"/>
      <c r="N149" s="10" t="str">
        <f aca="false">IF($A149&lt;&gt;"Ítem","",I149+N(J149)+N(K149)+N(M149))</f>
        <v/>
      </c>
      <c r="O149" s="10" t="str">
        <f aca="false">IF($A149&lt;&gt;"Ítem","",E149*I149)</f>
        <v/>
      </c>
      <c r="P149" s="10" t="str">
        <f aca="false">IF($A149&lt;&gt;"Ítem","",E149*N(J149))</f>
        <v/>
      </c>
      <c r="Q149" s="10" t="str">
        <f aca="false">IF($A149&lt;&gt;"Ítem","",E149*N(K149))</f>
        <v/>
      </c>
      <c r="R149" s="10" t="str">
        <f aca="false">IF($A149&lt;&gt;"Ítem","",E149*N(M149))</f>
        <v/>
      </c>
      <c r="S149" s="37" t="str">
        <f aca="false">IF($A149&lt;&gt;"Ítem","",E149*N149)</f>
        <v/>
      </c>
      <c r="T149" s="10" t="str">
        <f aca="false">IF($A149&lt;&gt;"Ítem","",G149-S149)</f>
        <v/>
      </c>
      <c r="U149" s="36" t="str">
        <f aca="false">IF(OR($A149&lt;&gt;"Ítem",N(G149)=0),"",T149/G149)</f>
        <v/>
      </c>
      <c r="V149" s="81" t="str">
        <f aca="false">IF(A149="Capítulo",C149,V148)</f>
        <v/>
      </c>
      <c r="W149" s="0" t="str">
        <f aca="false">IF(A149="Capítulo",C149,"")</f>
        <v/>
      </c>
    </row>
    <row r="150" customFormat="false" ht="16.5" hidden="false" customHeight="true" outlineLevel="0" collapsed="false">
      <c r="A150" s="15"/>
      <c r="B150" s="15"/>
      <c r="C150" s="79"/>
      <c r="D150" s="15"/>
      <c r="E150" s="80"/>
      <c r="F150" s="16"/>
      <c r="G150" s="10" t="str">
        <f aca="false">IF($A150&lt;&gt;"Ítem","",E150*F150)</f>
        <v/>
      </c>
      <c r="H150" s="16"/>
      <c r="I150" s="10" t="str">
        <f aca="false">IF($A150&lt;&gt;"Ítem","",N(H150)*IF(p_IVAMat="Sí",1+p_IVA,1))</f>
        <v/>
      </c>
      <c r="J150" s="16"/>
      <c r="K150" s="16"/>
      <c r="L150" s="15"/>
      <c r="M150" s="16"/>
      <c r="N150" s="10" t="str">
        <f aca="false">IF($A150&lt;&gt;"Ítem","",I150+N(J150)+N(K150)+N(M150))</f>
        <v/>
      </c>
      <c r="O150" s="10" t="str">
        <f aca="false">IF($A150&lt;&gt;"Ítem","",E150*I150)</f>
        <v/>
      </c>
      <c r="P150" s="10" t="str">
        <f aca="false">IF($A150&lt;&gt;"Ítem","",E150*N(J150))</f>
        <v/>
      </c>
      <c r="Q150" s="10" t="str">
        <f aca="false">IF($A150&lt;&gt;"Ítem","",E150*N(K150))</f>
        <v/>
      </c>
      <c r="R150" s="10" t="str">
        <f aca="false">IF($A150&lt;&gt;"Ítem","",E150*N(M150))</f>
        <v/>
      </c>
      <c r="S150" s="37" t="str">
        <f aca="false">IF($A150&lt;&gt;"Ítem","",E150*N150)</f>
        <v/>
      </c>
      <c r="T150" s="10" t="str">
        <f aca="false">IF($A150&lt;&gt;"Ítem","",G150-S150)</f>
        <v/>
      </c>
      <c r="U150" s="36" t="str">
        <f aca="false">IF(OR($A150&lt;&gt;"Ítem",N(G150)=0),"",T150/G150)</f>
        <v/>
      </c>
      <c r="V150" s="81" t="str">
        <f aca="false">IF(A150="Capítulo",C150,V149)</f>
        <v/>
      </c>
      <c r="W150" s="0" t="str">
        <f aca="false">IF(A150="Capítulo",C150,"")</f>
        <v/>
      </c>
    </row>
    <row r="151" customFormat="false" ht="16.5" hidden="false" customHeight="true" outlineLevel="0" collapsed="false">
      <c r="A151" s="15"/>
      <c r="B151" s="15"/>
      <c r="C151" s="79"/>
      <c r="D151" s="15"/>
      <c r="E151" s="80"/>
      <c r="F151" s="16"/>
      <c r="G151" s="10" t="str">
        <f aca="false">IF($A151&lt;&gt;"Ítem","",E151*F151)</f>
        <v/>
      </c>
      <c r="H151" s="16"/>
      <c r="I151" s="10" t="str">
        <f aca="false">IF($A151&lt;&gt;"Ítem","",N(H151)*IF(p_IVAMat="Sí",1+p_IVA,1))</f>
        <v/>
      </c>
      <c r="J151" s="16"/>
      <c r="K151" s="16"/>
      <c r="L151" s="15"/>
      <c r="M151" s="16"/>
      <c r="N151" s="10" t="str">
        <f aca="false">IF($A151&lt;&gt;"Ítem","",I151+N(J151)+N(K151)+N(M151))</f>
        <v/>
      </c>
      <c r="O151" s="10" t="str">
        <f aca="false">IF($A151&lt;&gt;"Ítem","",E151*I151)</f>
        <v/>
      </c>
      <c r="P151" s="10" t="str">
        <f aca="false">IF($A151&lt;&gt;"Ítem","",E151*N(J151))</f>
        <v/>
      </c>
      <c r="Q151" s="10" t="str">
        <f aca="false">IF($A151&lt;&gt;"Ítem","",E151*N(K151))</f>
        <v/>
      </c>
      <c r="R151" s="10" t="str">
        <f aca="false">IF($A151&lt;&gt;"Ítem","",E151*N(M151))</f>
        <v/>
      </c>
      <c r="S151" s="37" t="str">
        <f aca="false">IF($A151&lt;&gt;"Ítem","",E151*N151)</f>
        <v/>
      </c>
      <c r="T151" s="10" t="str">
        <f aca="false">IF($A151&lt;&gt;"Ítem","",G151-S151)</f>
        <v/>
      </c>
      <c r="U151" s="36" t="str">
        <f aca="false">IF(OR($A151&lt;&gt;"Ítem",N(G151)=0),"",T151/G151)</f>
        <v/>
      </c>
      <c r="V151" s="81" t="str">
        <f aca="false">IF(A151="Capítulo",C151,V150)</f>
        <v/>
      </c>
      <c r="W151" s="0" t="str">
        <f aca="false">IF(A151="Capítulo",C151,"")</f>
        <v/>
      </c>
    </row>
    <row r="152" customFormat="false" ht="16.5" hidden="false" customHeight="true" outlineLevel="0" collapsed="false">
      <c r="A152" s="15"/>
      <c r="B152" s="15"/>
      <c r="C152" s="79"/>
      <c r="D152" s="15"/>
      <c r="E152" s="80"/>
      <c r="F152" s="16"/>
      <c r="G152" s="10" t="str">
        <f aca="false">IF($A152&lt;&gt;"Ítem","",E152*F152)</f>
        <v/>
      </c>
      <c r="H152" s="16"/>
      <c r="I152" s="10" t="str">
        <f aca="false">IF($A152&lt;&gt;"Ítem","",N(H152)*IF(p_IVAMat="Sí",1+p_IVA,1))</f>
        <v/>
      </c>
      <c r="J152" s="16"/>
      <c r="K152" s="16"/>
      <c r="L152" s="15"/>
      <c r="M152" s="16"/>
      <c r="N152" s="10" t="str">
        <f aca="false">IF($A152&lt;&gt;"Ítem","",I152+N(J152)+N(K152)+N(M152))</f>
        <v/>
      </c>
      <c r="O152" s="10" t="str">
        <f aca="false">IF($A152&lt;&gt;"Ítem","",E152*I152)</f>
        <v/>
      </c>
      <c r="P152" s="10" t="str">
        <f aca="false">IF($A152&lt;&gt;"Ítem","",E152*N(J152))</f>
        <v/>
      </c>
      <c r="Q152" s="10" t="str">
        <f aca="false">IF($A152&lt;&gt;"Ítem","",E152*N(K152))</f>
        <v/>
      </c>
      <c r="R152" s="10" t="str">
        <f aca="false">IF($A152&lt;&gt;"Ítem","",E152*N(M152))</f>
        <v/>
      </c>
      <c r="S152" s="37" t="str">
        <f aca="false">IF($A152&lt;&gt;"Ítem","",E152*N152)</f>
        <v/>
      </c>
      <c r="T152" s="10" t="str">
        <f aca="false">IF($A152&lt;&gt;"Ítem","",G152-S152)</f>
        <v/>
      </c>
      <c r="U152" s="36" t="str">
        <f aca="false">IF(OR($A152&lt;&gt;"Ítem",N(G152)=0),"",T152/G152)</f>
        <v/>
      </c>
      <c r="V152" s="81" t="str">
        <f aca="false">IF(A152="Capítulo",C152,V151)</f>
        <v/>
      </c>
      <c r="W152" s="0" t="str">
        <f aca="false">IF(A152="Capítulo",C152,"")</f>
        <v/>
      </c>
    </row>
    <row r="153" customFormat="false" ht="16.5" hidden="false" customHeight="true" outlineLevel="0" collapsed="false">
      <c r="A153" s="15"/>
      <c r="B153" s="15"/>
      <c r="C153" s="79"/>
      <c r="D153" s="15"/>
      <c r="E153" s="80"/>
      <c r="F153" s="16"/>
      <c r="G153" s="10" t="str">
        <f aca="false">IF($A153&lt;&gt;"Ítem","",E153*F153)</f>
        <v/>
      </c>
      <c r="H153" s="16"/>
      <c r="I153" s="10" t="str">
        <f aca="false">IF($A153&lt;&gt;"Ítem","",N(H153)*IF(p_IVAMat="Sí",1+p_IVA,1))</f>
        <v/>
      </c>
      <c r="J153" s="16"/>
      <c r="K153" s="16"/>
      <c r="L153" s="15"/>
      <c r="M153" s="16"/>
      <c r="N153" s="10" t="str">
        <f aca="false">IF($A153&lt;&gt;"Ítem","",I153+N(J153)+N(K153)+N(M153))</f>
        <v/>
      </c>
      <c r="O153" s="10" t="str">
        <f aca="false">IF($A153&lt;&gt;"Ítem","",E153*I153)</f>
        <v/>
      </c>
      <c r="P153" s="10" t="str">
        <f aca="false">IF($A153&lt;&gt;"Ítem","",E153*N(J153))</f>
        <v/>
      </c>
      <c r="Q153" s="10" t="str">
        <f aca="false">IF($A153&lt;&gt;"Ítem","",E153*N(K153))</f>
        <v/>
      </c>
      <c r="R153" s="10" t="str">
        <f aca="false">IF($A153&lt;&gt;"Ítem","",E153*N(M153))</f>
        <v/>
      </c>
      <c r="S153" s="37" t="str">
        <f aca="false">IF($A153&lt;&gt;"Ítem","",E153*N153)</f>
        <v/>
      </c>
      <c r="T153" s="10" t="str">
        <f aca="false">IF($A153&lt;&gt;"Ítem","",G153-S153)</f>
        <v/>
      </c>
      <c r="U153" s="36" t="str">
        <f aca="false">IF(OR($A153&lt;&gt;"Ítem",N(G153)=0),"",T153/G153)</f>
        <v/>
      </c>
      <c r="V153" s="81" t="str">
        <f aca="false">IF(A153="Capítulo",C153,V152)</f>
        <v/>
      </c>
      <c r="W153" s="0" t="str">
        <f aca="false">IF(A153="Capítulo",C153,"")</f>
        <v/>
      </c>
    </row>
    <row r="154" customFormat="false" ht="16.5" hidden="false" customHeight="true" outlineLevel="0" collapsed="false">
      <c r="A154" s="15"/>
      <c r="B154" s="15"/>
      <c r="C154" s="79"/>
      <c r="D154" s="15"/>
      <c r="E154" s="80"/>
      <c r="F154" s="16"/>
      <c r="G154" s="10" t="str">
        <f aca="false">IF($A154&lt;&gt;"Ítem","",E154*F154)</f>
        <v/>
      </c>
      <c r="H154" s="16"/>
      <c r="I154" s="10" t="str">
        <f aca="false">IF($A154&lt;&gt;"Ítem","",N(H154)*IF(p_IVAMat="Sí",1+p_IVA,1))</f>
        <v/>
      </c>
      <c r="J154" s="16"/>
      <c r="K154" s="16"/>
      <c r="L154" s="15"/>
      <c r="M154" s="16"/>
      <c r="N154" s="10" t="str">
        <f aca="false">IF($A154&lt;&gt;"Ítem","",I154+N(J154)+N(K154)+N(M154))</f>
        <v/>
      </c>
      <c r="O154" s="10" t="str">
        <f aca="false">IF($A154&lt;&gt;"Ítem","",E154*I154)</f>
        <v/>
      </c>
      <c r="P154" s="10" t="str">
        <f aca="false">IF($A154&lt;&gt;"Ítem","",E154*N(J154))</f>
        <v/>
      </c>
      <c r="Q154" s="10" t="str">
        <f aca="false">IF($A154&lt;&gt;"Ítem","",E154*N(K154))</f>
        <v/>
      </c>
      <c r="R154" s="10" t="str">
        <f aca="false">IF($A154&lt;&gt;"Ítem","",E154*N(M154))</f>
        <v/>
      </c>
      <c r="S154" s="37" t="str">
        <f aca="false">IF($A154&lt;&gt;"Ítem","",E154*N154)</f>
        <v/>
      </c>
      <c r="T154" s="10" t="str">
        <f aca="false">IF($A154&lt;&gt;"Ítem","",G154-S154)</f>
        <v/>
      </c>
      <c r="U154" s="36" t="str">
        <f aca="false">IF(OR($A154&lt;&gt;"Ítem",N(G154)=0),"",T154/G154)</f>
        <v/>
      </c>
      <c r="V154" s="81" t="str">
        <f aca="false">IF(A154="Capítulo",C154,V153)</f>
        <v/>
      </c>
      <c r="W154" s="0" t="str">
        <f aca="false">IF(A154="Capítulo",C154,"")</f>
        <v/>
      </c>
    </row>
    <row r="155" customFormat="false" ht="16.5" hidden="false" customHeight="true" outlineLevel="0" collapsed="false">
      <c r="A155" s="15"/>
      <c r="B155" s="15"/>
      <c r="C155" s="79"/>
      <c r="D155" s="15"/>
      <c r="E155" s="80"/>
      <c r="F155" s="16"/>
      <c r="G155" s="10" t="str">
        <f aca="false">IF($A155&lt;&gt;"Ítem","",E155*F155)</f>
        <v/>
      </c>
      <c r="H155" s="16"/>
      <c r="I155" s="10" t="str">
        <f aca="false">IF($A155&lt;&gt;"Ítem","",N(H155)*IF(p_IVAMat="Sí",1+p_IVA,1))</f>
        <v/>
      </c>
      <c r="J155" s="16"/>
      <c r="K155" s="16"/>
      <c r="L155" s="15"/>
      <c r="M155" s="16"/>
      <c r="N155" s="10" t="str">
        <f aca="false">IF($A155&lt;&gt;"Ítem","",I155+N(J155)+N(K155)+N(M155))</f>
        <v/>
      </c>
      <c r="O155" s="10" t="str">
        <f aca="false">IF($A155&lt;&gt;"Ítem","",E155*I155)</f>
        <v/>
      </c>
      <c r="P155" s="10" t="str">
        <f aca="false">IF($A155&lt;&gt;"Ítem","",E155*N(J155))</f>
        <v/>
      </c>
      <c r="Q155" s="10" t="str">
        <f aca="false">IF($A155&lt;&gt;"Ítem","",E155*N(K155))</f>
        <v/>
      </c>
      <c r="R155" s="10" t="str">
        <f aca="false">IF($A155&lt;&gt;"Ítem","",E155*N(M155))</f>
        <v/>
      </c>
      <c r="S155" s="37" t="str">
        <f aca="false">IF($A155&lt;&gt;"Ítem","",E155*N155)</f>
        <v/>
      </c>
      <c r="T155" s="10" t="str">
        <f aca="false">IF($A155&lt;&gt;"Ítem","",G155-S155)</f>
        <v/>
      </c>
      <c r="U155" s="36" t="str">
        <f aca="false">IF(OR($A155&lt;&gt;"Ítem",N(G155)=0),"",T155/G155)</f>
        <v/>
      </c>
      <c r="V155" s="81" t="str">
        <f aca="false">IF(A155="Capítulo",C155,V154)</f>
        <v/>
      </c>
      <c r="W155" s="0" t="str">
        <f aca="false">IF(A155="Capítulo",C155,"")</f>
        <v/>
      </c>
    </row>
    <row r="156" customFormat="false" ht="16.5" hidden="false" customHeight="true" outlineLevel="0" collapsed="false">
      <c r="A156" s="15"/>
      <c r="B156" s="15"/>
      <c r="C156" s="79"/>
      <c r="D156" s="15"/>
      <c r="E156" s="80"/>
      <c r="F156" s="16"/>
      <c r="G156" s="10" t="str">
        <f aca="false">IF($A156&lt;&gt;"Ítem","",E156*F156)</f>
        <v/>
      </c>
      <c r="H156" s="16"/>
      <c r="I156" s="10" t="str">
        <f aca="false">IF($A156&lt;&gt;"Ítem","",N(H156)*IF(p_IVAMat="Sí",1+p_IVA,1))</f>
        <v/>
      </c>
      <c r="J156" s="16"/>
      <c r="K156" s="16"/>
      <c r="L156" s="15"/>
      <c r="M156" s="16"/>
      <c r="N156" s="10" t="str">
        <f aca="false">IF($A156&lt;&gt;"Ítem","",I156+N(J156)+N(K156)+N(M156))</f>
        <v/>
      </c>
      <c r="O156" s="10" t="str">
        <f aca="false">IF($A156&lt;&gt;"Ítem","",E156*I156)</f>
        <v/>
      </c>
      <c r="P156" s="10" t="str">
        <f aca="false">IF($A156&lt;&gt;"Ítem","",E156*N(J156))</f>
        <v/>
      </c>
      <c r="Q156" s="10" t="str">
        <f aca="false">IF($A156&lt;&gt;"Ítem","",E156*N(K156))</f>
        <v/>
      </c>
      <c r="R156" s="10" t="str">
        <f aca="false">IF($A156&lt;&gt;"Ítem","",E156*N(M156))</f>
        <v/>
      </c>
      <c r="S156" s="37" t="str">
        <f aca="false">IF($A156&lt;&gt;"Ítem","",E156*N156)</f>
        <v/>
      </c>
      <c r="T156" s="10" t="str">
        <f aca="false">IF($A156&lt;&gt;"Ítem","",G156-S156)</f>
        <v/>
      </c>
      <c r="U156" s="36" t="str">
        <f aca="false">IF(OR($A156&lt;&gt;"Ítem",N(G156)=0),"",T156/G156)</f>
        <v/>
      </c>
      <c r="V156" s="81" t="str">
        <f aca="false">IF(A156="Capítulo",C156,V155)</f>
        <v/>
      </c>
      <c r="W156" s="0" t="str">
        <f aca="false">IF(A156="Capítulo",C156,"")</f>
        <v/>
      </c>
    </row>
    <row r="157" customFormat="false" ht="16.5" hidden="false" customHeight="true" outlineLevel="0" collapsed="false">
      <c r="A157" s="15"/>
      <c r="B157" s="15"/>
      <c r="C157" s="79"/>
      <c r="D157" s="15"/>
      <c r="E157" s="80"/>
      <c r="F157" s="16"/>
      <c r="G157" s="10" t="str">
        <f aca="false">IF($A157&lt;&gt;"Ítem","",E157*F157)</f>
        <v/>
      </c>
      <c r="H157" s="16"/>
      <c r="I157" s="10" t="str">
        <f aca="false">IF($A157&lt;&gt;"Ítem","",N(H157)*IF(p_IVAMat="Sí",1+p_IVA,1))</f>
        <v/>
      </c>
      <c r="J157" s="16"/>
      <c r="K157" s="16"/>
      <c r="L157" s="15"/>
      <c r="M157" s="16"/>
      <c r="N157" s="10" t="str">
        <f aca="false">IF($A157&lt;&gt;"Ítem","",I157+N(J157)+N(K157)+N(M157))</f>
        <v/>
      </c>
      <c r="O157" s="10" t="str">
        <f aca="false">IF($A157&lt;&gt;"Ítem","",E157*I157)</f>
        <v/>
      </c>
      <c r="P157" s="10" t="str">
        <f aca="false">IF($A157&lt;&gt;"Ítem","",E157*N(J157))</f>
        <v/>
      </c>
      <c r="Q157" s="10" t="str">
        <f aca="false">IF($A157&lt;&gt;"Ítem","",E157*N(K157))</f>
        <v/>
      </c>
      <c r="R157" s="10" t="str">
        <f aca="false">IF($A157&lt;&gt;"Ítem","",E157*N(M157))</f>
        <v/>
      </c>
      <c r="S157" s="37" t="str">
        <f aca="false">IF($A157&lt;&gt;"Ítem","",E157*N157)</f>
        <v/>
      </c>
      <c r="T157" s="10" t="str">
        <f aca="false">IF($A157&lt;&gt;"Ítem","",G157-S157)</f>
        <v/>
      </c>
      <c r="U157" s="36" t="str">
        <f aca="false">IF(OR($A157&lt;&gt;"Ítem",N(G157)=0),"",T157/G157)</f>
        <v/>
      </c>
      <c r="V157" s="81" t="str">
        <f aca="false">IF(A157="Capítulo",C157,V156)</f>
        <v/>
      </c>
      <c r="W157" s="0" t="str">
        <f aca="false">IF(A157="Capítulo",C157,"")</f>
        <v/>
      </c>
    </row>
    <row r="158" customFormat="false" ht="16.5" hidden="false" customHeight="true" outlineLevel="0" collapsed="false">
      <c r="A158" s="15"/>
      <c r="B158" s="15"/>
      <c r="C158" s="79"/>
      <c r="D158" s="15"/>
      <c r="E158" s="80"/>
      <c r="F158" s="16"/>
      <c r="G158" s="10" t="str">
        <f aca="false">IF($A158&lt;&gt;"Ítem","",E158*F158)</f>
        <v/>
      </c>
      <c r="H158" s="16"/>
      <c r="I158" s="10" t="str">
        <f aca="false">IF($A158&lt;&gt;"Ítem","",N(H158)*IF(p_IVAMat="Sí",1+p_IVA,1))</f>
        <v/>
      </c>
      <c r="J158" s="16"/>
      <c r="K158" s="16"/>
      <c r="L158" s="15"/>
      <c r="M158" s="16"/>
      <c r="N158" s="10" t="str">
        <f aca="false">IF($A158&lt;&gt;"Ítem","",I158+N(J158)+N(K158)+N(M158))</f>
        <v/>
      </c>
      <c r="O158" s="10" t="str">
        <f aca="false">IF($A158&lt;&gt;"Ítem","",E158*I158)</f>
        <v/>
      </c>
      <c r="P158" s="10" t="str">
        <f aca="false">IF($A158&lt;&gt;"Ítem","",E158*N(J158))</f>
        <v/>
      </c>
      <c r="Q158" s="10" t="str">
        <f aca="false">IF($A158&lt;&gt;"Ítem","",E158*N(K158))</f>
        <v/>
      </c>
      <c r="R158" s="10" t="str">
        <f aca="false">IF($A158&lt;&gt;"Ítem","",E158*N(M158))</f>
        <v/>
      </c>
      <c r="S158" s="37" t="str">
        <f aca="false">IF($A158&lt;&gt;"Ítem","",E158*N158)</f>
        <v/>
      </c>
      <c r="T158" s="10" t="str">
        <f aca="false">IF($A158&lt;&gt;"Ítem","",G158-S158)</f>
        <v/>
      </c>
      <c r="U158" s="36" t="str">
        <f aca="false">IF(OR($A158&lt;&gt;"Ítem",N(G158)=0),"",T158/G158)</f>
        <v/>
      </c>
      <c r="V158" s="81" t="str">
        <f aca="false">IF(A158="Capítulo",C158,V157)</f>
        <v/>
      </c>
      <c r="W158" s="0" t="str">
        <f aca="false">IF(A158="Capítulo",C158,"")</f>
        <v/>
      </c>
    </row>
    <row r="159" customFormat="false" ht="16.5" hidden="false" customHeight="true" outlineLevel="0" collapsed="false">
      <c r="A159" s="15"/>
      <c r="B159" s="15"/>
      <c r="C159" s="79"/>
      <c r="D159" s="15"/>
      <c r="E159" s="80"/>
      <c r="F159" s="16"/>
      <c r="G159" s="10" t="str">
        <f aca="false">IF($A159&lt;&gt;"Ítem","",E159*F159)</f>
        <v/>
      </c>
      <c r="H159" s="16"/>
      <c r="I159" s="10" t="str">
        <f aca="false">IF($A159&lt;&gt;"Ítem","",N(H159)*IF(p_IVAMat="Sí",1+p_IVA,1))</f>
        <v/>
      </c>
      <c r="J159" s="16"/>
      <c r="K159" s="16"/>
      <c r="L159" s="15"/>
      <c r="M159" s="16"/>
      <c r="N159" s="10" t="str">
        <f aca="false">IF($A159&lt;&gt;"Ítem","",I159+N(J159)+N(K159)+N(M159))</f>
        <v/>
      </c>
      <c r="O159" s="10" t="str">
        <f aca="false">IF($A159&lt;&gt;"Ítem","",E159*I159)</f>
        <v/>
      </c>
      <c r="P159" s="10" t="str">
        <f aca="false">IF($A159&lt;&gt;"Ítem","",E159*N(J159))</f>
        <v/>
      </c>
      <c r="Q159" s="10" t="str">
        <f aca="false">IF($A159&lt;&gt;"Ítem","",E159*N(K159))</f>
        <v/>
      </c>
      <c r="R159" s="10" t="str">
        <f aca="false">IF($A159&lt;&gt;"Ítem","",E159*N(M159))</f>
        <v/>
      </c>
      <c r="S159" s="37" t="str">
        <f aca="false">IF($A159&lt;&gt;"Ítem","",E159*N159)</f>
        <v/>
      </c>
      <c r="T159" s="10" t="str">
        <f aca="false">IF($A159&lt;&gt;"Ítem","",G159-S159)</f>
        <v/>
      </c>
      <c r="U159" s="36" t="str">
        <f aca="false">IF(OR($A159&lt;&gt;"Ítem",N(G159)=0),"",T159/G159)</f>
        <v/>
      </c>
      <c r="V159" s="81" t="str">
        <f aca="false">IF(A159="Capítulo",C159,V158)</f>
        <v/>
      </c>
      <c r="W159" s="0" t="str">
        <f aca="false">IF(A159="Capítulo",C159,"")</f>
        <v/>
      </c>
    </row>
    <row r="160" customFormat="false" ht="16.5" hidden="false" customHeight="true" outlineLevel="0" collapsed="false">
      <c r="A160" s="15"/>
      <c r="B160" s="15"/>
      <c r="C160" s="79"/>
      <c r="D160" s="15"/>
      <c r="E160" s="80"/>
      <c r="F160" s="16"/>
      <c r="G160" s="10" t="str">
        <f aca="false">IF($A160&lt;&gt;"Ítem","",E160*F160)</f>
        <v/>
      </c>
      <c r="H160" s="16"/>
      <c r="I160" s="10" t="str">
        <f aca="false">IF($A160&lt;&gt;"Ítem","",N(H160)*IF(p_IVAMat="Sí",1+p_IVA,1))</f>
        <v/>
      </c>
      <c r="J160" s="16"/>
      <c r="K160" s="16"/>
      <c r="L160" s="15"/>
      <c r="M160" s="16"/>
      <c r="N160" s="10" t="str">
        <f aca="false">IF($A160&lt;&gt;"Ítem","",I160+N(J160)+N(K160)+N(M160))</f>
        <v/>
      </c>
      <c r="O160" s="10" t="str">
        <f aca="false">IF($A160&lt;&gt;"Ítem","",E160*I160)</f>
        <v/>
      </c>
      <c r="P160" s="10" t="str">
        <f aca="false">IF($A160&lt;&gt;"Ítem","",E160*N(J160))</f>
        <v/>
      </c>
      <c r="Q160" s="10" t="str">
        <f aca="false">IF($A160&lt;&gt;"Ítem","",E160*N(K160))</f>
        <v/>
      </c>
      <c r="R160" s="10" t="str">
        <f aca="false">IF($A160&lt;&gt;"Ítem","",E160*N(M160))</f>
        <v/>
      </c>
      <c r="S160" s="37" t="str">
        <f aca="false">IF($A160&lt;&gt;"Ítem","",E160*N160)</f>
        <v/>
      </c>
      <c r="T160" s="10" t="str">
        <f aca="false">IF($A160&lt;&gt;"Ítem","",G160-S160)</f>
        <v/>
      </c>
      <c r="U160" s="36" t="str">
        <f aca="false">IF(OR($A160&lt;&gt;"Ítem",N(G160)=0),"",T160/G160)</f>
        <v/>
      </c>
      <c r="V160" s="81" t="str">
        <f aca="false">IF(A160="Capítulo",C160,V159)</f>
        <v/>
      </c>
      <c r="W160" s="0" t="str">
        <f aca="false">IF(A160="Capítulo",C160,"")</f>
        <v/>
      </c>
    </row>
    <row r="161" customFormat="false" ht="16.5" hidden="false" customHeight="true" outlineLevel="0" collapsed="false">
      <c r="A161" s="15"/>
      <c r="B161" s="15"/>
      <c r="C161" s="79"/>
      <c r="D161" s="15"/>
      <c r="E161" s="80"/>
      <c r="F161" s="16"/>
      <c r="G161" s="10" t="str">
        <f aca="false">IF($A161&lt;&gt;"Ítem","",E161*F161)</f>
        <v/>
      </c>
      <c r="H161" s="16"/>
      <c r="I161" s="10" t="str">
        <f aca="false">IF($A161&lt;&gt;"Ítem","",N(H161)*IF(p_IVAMat="Sí",1+p_IVA,1))</f>
        <v/>
      </c>
      <c r="J161" s="16"/>
      <c r="K161" s="16"/>
      <c r="L161" s="15"/>
      <c r="M161" s="16"/>
      <c r="N161" s="10" t="str">
        <f aca="false">IF($A161&lt;&gt;"Ítem","",I161+N(J161)+N(K161)+N(M161))</f>
        <v/>
      </c>
      <c r="O161" s="10" t="str">
        <f aca="false">IF($A161&lt;&gt;"Ítem","",E161*I161)</f>
        <v/>
      </c>
      <c r="P161" s="10" t="str">
        <f aca="false">IF($A161&lt;&gt;"Ítem","",E161*N(J161))</f>
        <v/>
      </c>
      <c r="Q161" s="10" t="str">
        <f aca="false">IF($A161&lt;&gt;"Ítem","",E161*N(K161))</f>
        <v/>
      </c>
      <c r="R161" s="10" t="str">
        <f aca="false">IF($A161&lt;&gt;"Ítem","",E161*N(M161))</f>
        <v/>
      </c>
      <c r="S161" s="37" t="str">
        <f aca="false">IF($A161&lt;&gt;"Ítem","",E161*N161)</f>
        <v/>
      </c>
      <c r="T161" s="10" t="str">
        <f aca="false">IF($A161&lt;&gt;"Ítem","",G161-S161)</f>
        <v/>
      </c>
      <c r="U161" s="36" t="str">
        <f aca="false">IF(OR($A161&lt;&gt;"Ítem",N(G161)=0),"",T161/G161)</f>
        <v/>
      </c>
      <c r="V161" s="81" t="str">
        <f aca="false">IF(A161="Capítulo",C161,V160)</f>
        <v/>
      </c>
      <c r="W161" s="0" t="str">
        <f aca="false">IF(A161="Capítulo",C161,"")</f>
        <v/>
      </c>
    </row>
    <row r="162" customFormat="false" ht="16.5" hidden="false" customHeight="true" outlineLevel="0" collapsed="false">
      <c r="A162" s="15"/>
      <c r="B162" s="15"/>
      <c r="C162" s="79"/>
      <c r="D162" s="15"/>
      <c r="E162" s="80"/>
      <c r="F162" s="16"/>
      <c r="G162" s="10" t="str">
        <f aca="false">IF($A162&lt;&gt;"Ítem","",E162*F162)</f>
        <v/>
      </c>
      <c r="H162" s="16"/>
      <c r="I162" s="10" t="str">
        <f aca="false">IF($A162&lt;&gt;"Ítem","",N(H162)*IF(p_IVAMat="Sí",1+p_IVA,1))</f>
        <v/>
      </c>
      <c r="J162" s="16"/>
      <c r="K162" s="16"/>
      <c r="L162" s="15"/>
      <c r="M162" s="16"/>
      <c r="N162" s="10" t="str">
        <f aca="false">IF($A162&lt;&gt;"Ítem","",I162+N(J162)+N(K162)+N(M162))</f>
        <v/>
      </c>
      <c r="O162" s="10" t="str">
        <f aca="false">IF($A162&lt;&gt;"Ítem","",E162*I162)</f>
        <v/>
      </c>
      <c r="P162" s="10" t="str">
        <f aca="false">IF($A162&lt;&gt;"Ítem","",E162*N(J162))</f>
        <v/>
      </c>
      <c r="Q162" s="10" t="str">
        <f aca="false">IF($A162&lt;&gt;"Ítem","",E162*N(K162))</f>
        <v/>
      </c>
      <c r="R162" s="10" t="str">
        <f aca="false">IF($A162&lt;&gt;"Ítem","",E162*N(M162))</f>
        <v/>
      </c>
      <c r="S162" s="37" t="str">
        <f aca="false">IF($A162&lt;&gt;"Ítem","",E162*N162)</f>
        <v/>
      </c>
      <c r="T162" s="10" t="str">
        <f aca="false">IF($A162&lt;&gt;"Ítem","",G162-S162)</f>
        <v/>
      </c>
      <c r="U162" s="36" t="str">
        <f aca="false">IF(OR($A162&lt;&gt;"Ítem",N(G162)=0),"",T162/G162)</f>
        <v/>
      </c>
      <c r="V162" s="81" t="str">
        <f aca="false">IF(A162="Capítulo",C162,V161)</f>
        <v/>
      </c>
      <c r="W162" s="0" t="str">
        <f aca="false">IF(A162="Capítulo",C162,"")</f>
        <v/>
      </c>
    </row>
    <row r="163" customFormat="false" ht="16.5" hidden="false" customHeight="true" outlineLevel="0" collapsed="false">
      <c r="A163" s="15"/>
      <c r="B163" s="15"/>
      <c r="C163" s="79"/>
      <c r="D163" s="15"/>
      <c r="E163" s="80"/>
      <c r="F163" s="16"/>
      <c r="G163" s="10" t="str">
        <f aca="false">IF($A163&lt;&gt;"Ítem","",E163*F163)</f>
        <v/>
      </c>
      <c r="H163" s="16"/>
      <c r="I163" s="10" t="str">
        <f aca="false">IF($A163&lt;&gt;"Ítem","",N(H163)*IF(p_IVAMat="Sí",1+p_IVA,1))</f>
        <v/>
      </c>
      <c r="J163" s="16"/>
      <c r="K163" s="16"/>
      <c r="L163" s="15"/>
      <c r="M163" s="16"/>
      <c r="N163" s="10" t="str">
        <f aca="false">IF($A163&lt;&gt;"Ítem","",I163+N(J163)+N(K163)+N(M163))</f>
        <v/>
      </c>
      <c r="O163" s="10" t="str">
        <f aca="false">IF($A163&lt;&gt;"Ítem","",E163*I163)</f>
        <v/>
      </c>
      <c r="P163" s="10" t="str">
        <f aca="false">IF($A163&lt;&gt;"Ítem","",E163*N(J163))</f>
        <v/>
      </c>
      <c r="Q163" s="10" t="str">
        <f aca="false">IF($A163&lt;&gt;"Ítem","",E163*N(K163))</f>
        <v/>
      </c>
      <c r="R163" s="10" t="str">
        <f aca="false">IF($A163&lt;&gt;"Ítem","",E163*N(M163))</f>
        <v/>
      </c>
      <c r="S163" s="37" t="str">
        <f aca="false">IF($A163&lt;&gt;"Ítem","",E163*N163)</f>
        <v/>
      </c>
      <c r="T163" s="10" t="str">
        <f aca="false">IF($A163&lt;&gt;"Ítem","",G163-S163)</f>
        <v/>
      </c>
      <c r="U163" s="36" t="str">
        <f aca="false">IF(OR($A163&lt;&gt;"Ítem",N(G163)=0),"",T163/G163)</f>
        <v/>
      </c>
      <c r="V163" s="81" t="str">
        <f aca="false">IF(A163="Capítulo",C163,V162)</f>
        <v/>
      </c>
      <c r="W163" s="0" t="str">
        <f aca="false">IF(A163="Capítulo",C163,"")</f>
        <v/>
      </c>
    </row>
    <row r="164" customFormat="false" ht="16.5" hidden="false" customHeight="true" outlineLevel="0" collapsed="false">
      <c r="A164" s="15"/>
      <c r="B164" s="15"/>
      <c r="C164" s="79"/>
      <c r="D164" s="15"/>
      <c r="E164" s="80"/>
      <c r="F164" s="16"/>
      <c r="G164" s="10" t="str">
        <f aca="false">IF($A164&lt;&gt;"Ítem","",E164*F164)</f>
        <v/>
      </c>
      <c r="H164" s="16"/>
      <c r="I164" s="10" t="str">
        <f aca="false">IF($A164&lt;&gt;"Ítem","",N(H164)*IF(p_IVAMat="Sí",1+p_IVA,1))</f>
        <v/>
      </c>
      <c r="J164" s="16"/>
      <c r="K164" s="16"/>
      <c r="L164" s="15"/>
      <c r="M164" s="16"/>
      <c r="N164" s="10" t="str">
        <f aca="false">IF($A164&lt;&gt;"Ítem","",I164+N(J164)+N(K164)+N(M164))</f>
        <v/>
      </c>
      <c r="O164" s="10" t="str">
        <f aca="false">IF($A164&lt;&gt;"Ítem","",E164*I164)</f>
        <v/>
      </c>
      <c r="P164" s="10" t="str">
        <f aca="false">IF($A164&lt;&gt;"Ítem","",E164*N(J164))</f>
        <v/>
      </c>
      <c r="Q164" s="10" t="str">
        <f aca="false">IF($A164&lt;&gt;"Ítem","",E164*N(K164))</f>
        <v/>
      </c>
      <c r="R164" s="10" t="str">
        <f aca="false">IF($A164&lt;&gt;"Ítem","",E164*N(M164))</f>
        <v/>
      </c>
      <c r="S164" s="37" t="str">
        <f aca="false">IF($A164&lt;&gt;"Ítem","",E164*N164)</f>
        <v/>
      </c>
      <c r="T164" s="10" t="str">
        <f aca="false">IF($A164&lt;&gt;"Ítem","",G164-S164)</f>
        <v/>
      </c>
      <c r="U164" s="36" t="str">
        <f aca="false">IF(OR($A164&lt;&gt;"Ítem",N(G164)=0),"",T164/G164)</f>
        <v/>
      </c>
      <c r="V164" s="81" t="str">
        <f aca="false">IF(A164="Capítulo",C164,V163)</f>
        <v/>
      </c>
      <c r="W164" s="0" t="str">
        <f aca="false">IF(A164="Capítulo",C164,"")</f>
        <v/>
      </c>
    </row>
    <row r="165" customFormat="false" ht="16.5" hidden="false" customHeight="true" outlineLevel="0" collapsed="false">
      <c r="A165" s="15"/>
      <c r="B165" s="15"/>
      <c r="C165" s="79"/>
      <c r="D165" s="15"/>
      <c r="E165" s="80"/>
      <c r="F165" s="16"/>
      <c r="G165" s="10" t="str">
        <f aca="false">IF($A165&lt;&gt;"Ítem","",E165*F165)</f>
        <v/>
      </c>
      <c r="H165" s="16"/>
      <c r="I165" s="10" t="str">
        <f aca="false">IF($A165&lt;&gt;"Ítem","",N(H165)*IF(p_IVAMat="Sí",1+p_IVA,1))</f>
        <v/>
      </c>
      <c r="J165" s="16"/>
      <c r="K165" s="16"/>
      <c r="L165" s="15"/>
      <c r="M165" s="16"/>
      <c r="N165" s="10" t="str">
        <f aca="false">IF($A165&lt;&gt;"Ítem","",I165+N(J165)+N(K165)+N(M165))</f>
        <v/>
      </c>
      <c r="O165" s="10" t="str">
        <f aca="false">IF($A165&lt;&gt;"Ítem","",E165*I165)</f>
        <v/>
      </c>
      <c r="P165" s="10" t="str">
        <f aca="false">IF($A165&lt;&gt;"Ítem","",E165*N(J165))</f>
        <v/>
      </c>
      <c r="Q165" s="10" t="str">
        <f aca="false">IF($A165&lt;&gt;"Ítem","",E165*N(K165))</f>
        <v/>
      </c>
      <c r="R165" s="10" t="str">
        <f aca="false">IF($A165&lt;&gt;"Ítem","",E165*N(M165))</f>
        <v/>
      </c>
      <c r="S165" s="37" t="str">
        <f aca="false">IF($A165&lt;&gt;"Ítem","",E165*N165)</f>
        <v/>
      </c>
      <c r="T165" s="10" t="str">
        <f aca="false">IF($A165&lt;&gt;"Ítem","",G165-S165)</f>
        <v/>
      </c>
      <c r="U165" s="36" t="str">
        <f aca="false">IF(OR($A165&lt;&gt;"Ítem",N(G165)=0),"",T165/G165)</f>
        <v/>
      </c>
      <c r="V165" s="81" t="str">
        <f aca="false">IF(A165="Capítulo",C165,V164)</f>
        <v/>
      </c>
      <c r="W165" s="0" t="str">
        <f aca="false">IF(A165="Capítulo",C165,"")</f>
        <v/>
      </c>
    </row>
    <row r="166" customFormat="false" ht="16.5" hidden="false" customHeight="true" outlineLevel="0" collapsed="false">
      <c r="A166" s="15"/>
      <c r="B166" s="15"/>
      <c r="C166" s="79"/>
      <c r="D166" s="15"/>
      <c r="E166" s="80"/>
      <c r="F166" s="16"/>
      <c r="G166" s="10" t="str">
        <f aca="false">IF($A166&lt;&gt;"Ítem","",E166*F166)</f>
        <v/>
      </c>
      <c r="H166" s="16"/>
      <c r="I166" s="10" t="str">
        <f aca="false">IF($A166&lt;&gt;"Ítem","",N(H166)*IF(p_IVAMat="Sí",1+p_IVA,1))</f>
        <v/>
      </c>
      <c r="J166" s="16"/>
      <c r="K166" s="16"/>
      <c r="L166" s="15"/>
      <c r="M166" s="16"/>
      <c r="N166" s="10" t="str">
        <f aca="false">IF($A166&lt;&gt;"Ítem","",I166+N(J166)+N(K166)+N(M166))</f>
        <v/>
      </c>
      <c r="O166" s="10" t="str">
        <f aca="false">IF($A166&lt;&gt;"Ítem","",E166*I166)</f>
        <v/>
      </c>
      <c r="P166" s="10" t="str">
        <f aca="false">IF($A166&lt;&gt;"Ítem","",E166*N(J166))</f>
        <v/>
      </c>
      <c r="Q166" s="10" t="str">
        <f aca="false">IF($A166&lt;&gt;"Ítem","",E166*N(K166))</f>
        <v/>
      </c>
      <c r="R166" s="10" t="str">
        <f aca="false">IF($A166&lt;&gt;"Ítem","",E166*N(M166))</f>
        <v/>
      </c>
      <c r="S166" s="37" t="str">
        <f aca="false">IF($A166&lt;&gt;"Ítem","",E166*N166)</f>
        <v/>
      </c>
      <c r="T166" s="10" t="str">
        <f aca="false">IF($A166&lt;&gt;"Ítem","",G166-S166)</f>
        <v/>
      </c>
      <c r="U166" s="36" t="str">
        <f aca="false">IF(OR($A166&lt;&gt;"Ítem",N(G166)=0),"",T166/G166)</f>
        <v/>
      </c>
      <c r="V166" s="81" t="str">
        <f aca="false">IF(A166="Capítulo",C166,V165)</f>
        <v/>
      </c>
      <c r="W166" s="0" t="str">
        <f aca="false">IF(A166="Capítulo",C166,"")</f>
        <v/>
      </c>
    </row>
    <row r="167" customFormat="false" ht="16.5" hidden="false" customHeight="true" outlineLevel="0" collapsed="false">
      <c r="A167" s="15"/>
      <c r="B167" s="15"/>
      <c r="C167" s="79"/>
      <c r="D167" s="15"/>
      <c r="E167" s="80"/>
      <c r="F167" s="16"/>
      <c r="G167" s="10" t="str">
        <f aca="false">IF($A167&lt;&gt;"Ítem","",E167*F167)</f>
        <v/>
      </c>
      <c r="H167" s="16"/>
      <c r="I167" s="10" t="str">
        <f aca="false">IF($A167&lt;&gt;"Ítem","",N(H167)*IF(p_IVAMat="Sí",1+p_IVA,1))</f>
        <v/>
      </c>
      <c r="J167" s="16"/>
      <c r="K167" s="16"/>
      <c r="L167" s="15"/>
      <c r="M167" s="16"/>
      <c r="N167" s="10" t="str">
        <f aca="false">IF($A167&lt;&gt;"Ítem","",I167+N(J167)+N(K167)+N(M167))</f>
        <v/>
      </c>
      <c r="O167" s="10" t="str">
        <f aca="false">IF($A167&lt;&gt;"Ítem","",E167*I167)</f>
        <v/>
      </c>
      <c r="P167" s="10" t="str">
        <f aca="false">IF($A167&lt;&gt;"Ítem","",E167*N(J167))</f>
        <v/>
      </c>
      <c r="Q167" s="10" t="str">
        <f aca="false">IF($A167&lt;&gt;"Ítem","",E167*N(K167))</f>
        <v/>
      </c>
      <c r="R167" s="10" t="str">
        <f aca="false">IF($A167&lt;&gt;"Ítem","",E167*N(M167))</f>
        <v/>
      </c>
      <c r="S167" s="37" t="str">
        <f aca="false">IF($A167&lt;&gt;"Ítem","",E167*N167)</f>
        <v/>
      </c>
      <c r="T167" s="10" t="str">
        <f aca="false">IF($A167&lt;&gt;"Ítem","",G167-S167)</f>
        <v/>
      </c>
      <c r="U167" s="36" t="str">
        <f aca="false">IF(OR($A167&lt;&gt;"Ítem",N(G167)=0),"",T167/G167)</f>
        <v/>
      </c>
      <c r="V167" s="81" t="str">
        <f aca="false">IF(A167="Capítulo",C167,V166)</f>
        <v/>
      </c>
      <c r="W167" s="0" t="str">
        <f aca="false">IF(A167="Capítulo",C167,"")</f>
        <v/>
      </c>
    </row>
    <row r="168" customFormat="false" ht="16.5" hidden="false" customHeight="true" outlineLevel="0" collapsed="false">
      <c r="A168" s="15"/>
      <c r="B168" s="15"/>
      <c r="C168" s="79"/>
      <c r="D168" s="15"/>
      <c r="E168" s="80"/>
      <c r="F168" s="16"/>
      <c r="G168" s="10" t="str">
        <f aca="false">IF($A168&lt;&gt;"Ítem","",E168*F168)</f>
        <v/>
      </c>
      <c r="H168" s="16"/>
      <c r="I168" s="10" t="str">
        <f aca="false">IF($A168&lt;&gt;"Ítem","",N(H168)*IF(p_IVAMat="Sí",1+p_IVA,1))</f>
        <v/>
      </c>
      <c r="J168" s="16"/>
      <c r="K168" s="16"/>
      <c r="L168" s="15"/>
      <c r="M168" s="16"/>
      <c r="N168" s="10" t="str">
        <f aca="false">IF($A168&lt;&gt;"Ítem","",I168+N(J168)+N(K168)+N(M168))</f>
        <v/>
      </c>
      <c r="O168" s="10" t="str">
        <f aca="false">IF($A168&lt;&gt;"Ítem","",E168*I168)</f>
        <v/>
      </c>
      <c r="P168" s="10" t="str">
        <f aca="false">IF($A168&lt;&gt;"Ítem","",E168*N(J168))</f>
        <v/>
      </c>
      <c r="Q168" s="10" t="str">
        <f aca="false">IF($A168&lt;&gt;"Ítem","",E168*N(K168))</f>
        <v/>
      </c>
      <c r="R168" s="10" t="str">
        <f aca="false">IF($A168&lt;&gt;"Ítem","",E168*N(M168))</f>
        <v/>
      </c>
      <c r="S168" s="37" t="str">
        <f aca="false">IF($A168&lt;&gt;"Ítem","",E168*N168)</f>
        <v/>
      </c>
      <c r="T168" s="10" t="str">
        <f aca="false">IF($A168&lt;&gt;"Ítem","",G168-S168)</f>
        <v/>
      </c>
      <c r="U168" s="36" t="str">
        <f aca="false">IF(OR($A168&lt;&gt;"Ítem",N(G168)=0),"",T168/G168)</f>
        <v/>
      </c>
      <c r="V168" s="81" t="str">
        <f aca="false">IF(A168="Capítulo",C168,V167)</f>
        <v/>
      </c>
      <c r="W168" s="0" t="str">
        <f aca="false">IF(A168="Capítulo",C168,"")</f>
        <v/>
      </c>
    </row>
    <row r="169" customFormat="false" ht="16.5" hidden="false" customHeight="true" outlineLevel="0" collapsed="false">
      <c r="A169" s="15"/>
      <c r="B169" s="15"/>
      <c r="C169" s="79"/>
      <c r="D169" s="15"/>
      <c r="E169" s="80"/>
      <c r="F169" s="16"/>
      <c r="G169" s="10" t="str">
        <f aca="false">IF($A169&lt;&gt;"Ítem","",E169*F169)</f>
        <v/>
      </c>
      <c r="H169" s="16"/>
      <c r="I169" s="10" t="str">
        <f aca="false">IF($A169&lt;&gt;"Ítem","",N(H169)*IF(p_IVAMat="Sí",1+p_IVA,1))</f>
        <v/>
      </c>
      <c r="J169" s="16"/>
      <c r="K169" s="16"/>
      <c r="L169" s="15"/>
      <c r="M169" s="16"/>
      <c r="N169" s="10" t="str">
        <f aca="false">IF($A169&lt;&gt;"Ítem","",I169+N(J169)+N(K169)+N(M169))</f>
        <v/>
      </c>
      <c r="O169" s="10" t="str">
        <f aca="false">IF($A169&lt;&gt;"Ítem","",E169*I169)</f>
        <v/>
      </c>
      <c r="P169" s="10" t="str">
        <f aca="false">IF($A169&lt;&gt;"Ítem","",E169*N(J169))</f>
        <v/>
      </c>
      <c r="Q169" s="10" t="str">
        <f aca="false">IF($A169&lt;&gt;"Ítem","",E169*N(K169))</f>
        <v/>
      </c>
      <c r="R169" s="10" t="str">
        <f aca="false">IF($A169&lt;&gt;"Ítem","",E169*N(M169))</f>
        <v/>
      </c>
      <c r="S169" s="37" t="str">
        <f aca="false">IF($A169&lt;&gt;"Ítem","",E169*N169)</f>
        <v/>
      </c>
      <c r="T169" s="10" t="str">
        <f aca="false">IF($A169&lt;&gt;"Ítem","",G169-S169)</f>
        <v/>
      </c>
      <c r="U169" s="36" t="str">
        <f aca="false">IF(OR($A169&lt;&gt;"Ítem",N(G169)=0),"",T169/G169)</f>
        <v/>
      </c>
      <c r="V169" s="81" t="str">
        <f aca="false">IF(A169="Capítulo",C169,V168)</f>
        <v/>
      </c>
      <c r="W169" s="0" t="str">
        <f aca="false">IF(A169="Capítulo",C169,"")</f>
        <v/>
      </c>
    </row>
    <row r="170" customFormat="false" ht="16.5" hidden="false" customHeight="true" outlineLevel="0" collapsed="false">
      <c r="A170" s="15"/>
      <c r="B170" s="15"/>
      <c r="C170" s="79"/>
      <c r="D170" s="15"/>
      <c r="E170" s="80"/>
      <c r="F170" s="16"/>
      <c r="G170" s="10" t="str">
        <f aca="false">IF($A170&lt;&gt;"Ítem","",E170*F170)</f>
        <v/>
      </c>
      <c r="H170" s="16"/>
      <c r="I170" s="10" t="str">
        <f aca="false">IF($A170&lt;&gt;"Ítem","",N(H170)*IF(p_IVAMat="Sí",1+p_IVA,1))</f>
        <v/>
      </c>
      <c r="J170" s="16"/>
      <c r="K170" s="16"/>
      <c r="L170" s="15"/>
      <c r="M170" s="16"/>
      <c r="N170" s="10" t="str">
        <f aca="false">IF($A170&lt;&gt;"Ítem","",I170+N(J170)+N(K170)+N(M170))</f>
        <v/>
      </c>
      <c r="O170" s="10" t="str">
        <f aca="false">IF($A170&lt;&gt;"Ítem","",E170*I170)</f>
        <v/>
      </c>
      <c r="P170" s="10" t="str">
        <f aca="false">IF($A170&lt;&gt;"Ítem","",E170*N(J170))</f>
        <v/>
      </c>
      <c r="Q170" s="10" t="str">
        <f aca="false">IF($A170&lt;&gt;"Ítem","",E170*N(K170))</f>
        <v/>
      </c>
      <c r="R170" s="10" t="str">
        <f aca="false">IF($A170&lt;&gt;"Ítem","",E170*N(M170))</f>
        <v/>
      </c>
      <c r="S170" s="37" t="str">
        <f aca="false">IF($A170&lt;&gt;"Ítem","",E170*N170)</f>
        <v/>
      </c>
      <c r="T170" s="10" t="str">
        <f aca="false">IF($A170&lt;&gt;"Ítem","",G170-S170)</f>
        <v/>
      </c>
      <c r="U170" s="36" t="str">
        <f aca="false">IF(OR($A170&lt;&gt;"Ítem",N(G170)=0),"",T170/G170)</f>
        <v/>
      </c>
      <c r="V170" s="81" t="str">
        <f aca="false">IF(A170="Capítulo",C170,V169)</f>
        <v/>
      </c>
      <c r="W170" s="0" t="str">
        <f aca="false">IF(A170="Capítulo",C170,"")</f>
        <v/>
      </c>
    </row>
    <row r="171" customFormat="false" ht="16.5" hidden="false" customHeight="true" outlineLevel="0" collapsed="false">
      <c r="A171" s="15"/>
      <c r="B171" s="15"/>
      <c r="C171" s="79"/>
      <c r="D171" s="15"/>
      <c r="E171" s="80"/>
      <c r="F171" s="16"/>
      <c r="G171" s="10" t="str">
        <f aca="false">IF($A171&lt;&gt;"Ítem","",E171*F171)</f>
        <v/>
      </c>
      <c r="H171" s="16"/>
      <c r="I171" s="10" t="str">
        <f aca="false">IF($A171&lt;&gt;"Ítem","",N(H171)*IF(p_IVAMat="Sí",1+p_IVA,1))</f>
        <v/>
      </c>
      <c r="J171" s="16"/>
      <c r="K171" s="16"/>
      <c r="L171" s="15"/>
      <c r="M171" s="16"/>
      <c r="N171" s="10" t="str">
        <f aca="false">IF($A171&lt;&gt;"Ítem","",I171+N(J171)+N(K171)+N(M171))</f>
        <v/>
      </c>
      <c r="O171" s="10" t="str">
        <f aca="false">IF($A171&lt;&gt;"Ítem","",E171*I171)</f>
        <v/>
      </c>
      <c r="P171" s="10" t="str">
        <f aca="false">IF($A171&lt;&gt;"Ítem","",E171*N(J171))</f>
        <v/>
      </c>
      <c r="Q171" s="10" t="str">
        <f aca="false">IF($A171&lt;&gt;"Ítem","",E171*N(K171))</f>
        <v/>
      </c>
      <c r="R171" s="10" t="str">
        <f aca="false">IF($A171&lt;&gt;"Ítem","",E171*N(M171))</f>
        <v/>
      </c>
      <c r="S171" s="37" t="str">
        <f aca="false">IF($A171&lt;&gt;"Ítem","",E171*N171)</f>
        <v/>
      </c>
      <c r="T171" s="10" t="str">
        <f aca="false">IF($A171&lt;&gt;"Ítem","",G171-S171)</f>
        <v/>
      </c>
      <c r="U171" s="36" t="str">
        <f aca="false">IF(OR($A171&lt;&gt;"Ítem",N(G171)=0),"",T171/G171)</f>
        <v/>
      </c>
      <c r="V171" s="81" t="str">
        <f aca="false">IF(A171="Capítulo",C171,V170)</f>
        <v/>
      </c>
      <c r="W171" s="0" t="str">
        <f aca="false">IF(A171="Capítulo",C171,"")</f>
        <v/>
      </c>
    </row>
    <row r="172" customFormat="false" ht="16.5" hidden="false" customHeight="true" outlineLevel="0" collapsed="false">
      <c r="A172" s="15"/>
      <c r="B172" s="15"/>
      <c r="C172" s="79"/>
      <c r="D172" s="15"/>
      <c r="E172" s="80"/>
      <c r="F172" s="16"/>
      <c r="G172" s="10" t="str">
        <f aca="false">IF($A172&lt;&gt;"Ítem","",E172*F172)</f>
        <v/>
      </c>
      <c r="H172" s="16"/>
      <c r="I172" s="10" t="str">
        <f aca="false">IF($A172&lt;&gt;"Ítem","",N(H172)*IF(p_IVAMat="Sí",1+p_IVA,1))</f>
        <v/>
      </c>
      <c r="J172" s="16"/>
      <c r="K172" s="16"/>
      <c r="L172" s="15"/>
      <c r="M172" s="16"/>
      <c r="N172" s="10" t="str">
        <f aca="false">IF($A172&lt;&gt;"Ítem","",I172+N(J172)+N(K172)+N(M172))</f>
        <v/>
      </c>
      <c r="O172" s="10" t="str">
        <f aca="false">IF($A172&lt;&gt;"Ítem","",E172*I172)</f>
        <v/>
      </c>
      <c r="P172" s="10" t="str">
        <f aca="false">IF($A172&lt;&gt;"Ítem","",E172*N(J172))</f>
        <v/>
      </c>
      <c r="Q172" s="10" t="str">
        <f aca="false">IF($A172&lt;&gt;"Ítem","",E172*N(K172))</f>
        <v/>
      </c>
      <c r="R172" s="10" t="str">
        <f aca="false">IF($A172&lt;&gt;"Ítem","",E172*N(M172))</f>
        <v/>
      </c>
      <c r="S172" s="37" t="str">
        <f aca="false">IF($A172&lt;&gt;"Ítem","",E172*N172)</f>
        <v/>
      </c>
      <c r="T172" s="10" t="str">
        <f aca="false">IF($A172&lt;&gt;"Ítem","",G172-S172)</f>
        <v/>
      </c>
      <c r="U172" s="36" t="str">
        <f aca="false">IF(OR($A172&lt;&gt;"Ítem",N(G172)=0),"",T172/G172)</f>
        <v/>
      </c>
      <c r="V172" s="81" t="str">
        <f aca="false">IF(A172="Capítulo",C172,V171)</f>
        <v/>
      </c>
      <c r="W172" s="0" t="str">
        <f aca="false">IF(A172="Capítulo",C172,"")</f>
        <v/>
      </c>
    </row>
    <row r="173" customFormat="false" ht="16.5" hidden="false" customHeight="true" outlineLevel="0" collapsed="false">
      <c r="A173" s="15"/>
      <c r="B173" s="15"/>
      <c r="C173" s="79"/>
      <c r="D173" s="15"/>
      <c r="E173" s="80"/>
      <c r="F173" s="16"/>
      <c r="G173" s="10" t="str">
        <f aca="false">IF($A173&lt;&gt;"Ítem","",E173*F173)</f>
        <v/>
      </c>
      <c r="H173" s="16"/>
      <c r="I173" s="10" t="str">
        <f aca="false">IF($A173&lt;&gt;"Ítem","",N(H173)*IF(p_IVAMat="Sí",1+p_IVA,1))</f>
        <v/>
      </c>
      <c r="J173" s="16"/>
      <c r="K173" s="16"/>
      <c r="L173" s="15"/>
      <c r="M173" s="16"/>
      <c r="N173" s="10" t="str">
        <f aca="false">IF($A173&lt;&gt;"Ítem","",I173+N(J173)+N(K173)+N(M173))</f>
        <v/>
      </c>
      <c r="O173" s="10" t="str">
        <f aca="false">IF($A173&lt;&gt;"Ítem","",E173*I173)</f>
        <v/>
      </c>
      <c r="P173" s="10" t="str">
        <f aca="false">IF($A173&lt;&gt;"Ítem","",E173*N(J173))</f>
        <v/>
      </c>
      <c r="Q173" s="10" t="str">
        <f aca="false">IF($A173&lt;&gt;"Ítem","",E173*N(K173))</f>
        <v/>
      </c>
      <c r="R173" s="10" t="str">
        <f aca="false">IF($A173&lt;&gt;"Ítem","",E173*N(M173))</f>
        <v/>
      </c>
      <c r="S173" s="37" t="str">
        <f aca="false">IF($A173&lt;&gt;"Ítem","",E173*N173)</f>
        <v/>
      </c>
      <c r="T173" s="10" t="str">
        <f aca="false">IF($A173&lt;&gt;"Ítem","",G173-S173)</f>
        <v/>
      </c>
      <c r="U173" s="36" t="str">
        <f aca="false">IF(OR($A173&lt;&gt;"Ítem",N(G173)=0),"",T173/G173)</f>
        <v/>
      </c>
      <c r="V173" s="81" t="str">
        <f aca="false">IF(A173="Capítulo",C173,V172)</f>
        <v/>
      </c>
      <c r="W173" s="0" t="str">
        <f aca="false">IF(A173="Capítulo",C173,"")</f>
        <v/>
      </c>
    </row>
    <row r="174" customFormat="false" ht="16.5" hidden="false" customHeight="true" outlineLevel="0" collapsed="false">
      <c r="A174" s="15"/>
      <c r="B174" s="15"/>
      <c r="C174" s="79"/>
      <c r="D174" s="15"/>
      <c r="E174" s="80"/>
      <c r="F174" s="16"/>
      <c r="G174" s="10" t="str">
        <f aca="false">IF($A174&lt;&gt;"Ítem","",E174*F174)</f>
        <v/>
      </c>
      <c r="H174" s="16"/>
      <c r="I174" s="10" t="str">
        <f aca="false">IF($A174&lt;&gt;"Ítem","",N(H174)*IF(p_IVAMat="Sí",1+p_IVA,1))</f>
        <v/>
      </c>
      <c r="J174" s="16"/>
      <c r="K174" s="16"/>
      <c r="L174" s="15"/>
      <c r="M174" s="16"/>
      <c r="N174" s="10" t="str">
        <f aca="false">IF($A174&lt;&gt;"Ítem","",I174+N(J174)+N(K174)+N(M174))</f>
        <v/>
      </c>
      <c r="O174" s="10" t="str">
        <f aca="false">IF($A174&lt;&gt;"Ítem","",E174*I174)</f>
        <v/>
      </c>
      <c r="P174" s="10" t="str">
        <f aca="false">IF($A174&lt;&gt;"Ítem","",E174*N(J174))</f>
        <v/>
      </c>
      <c r="Q174" s="10" t="str">
        <f aca="false">IF($A174&lt;&gt;"Ítem","",E174*N(K174))</f>
        <v/>
      </c>
      <c r="R174" s="10" t="str">
        <f aca="false">IF($A174&lt;&gt;"Ítem","",E174*N(M174))</f>
        <v/>
      </c>
      <c r="S174" s="37" t="str">
        <f aca="false">IF($A174&lt;&gt;"Ítem","",E174*N174)</f>
        <v/>
      </c>
      <c r="T174" s="10" t="str">
        <f aca="false">IF($A174&lt;&gt;"Ítem","",G174-S174)</f>
        <v/>
      </c>
      <c r="U174" s="36" t="str">
        <f aca="false">IF(OR($A174&lt;&gt;"Ítem",N(G174)=0),"",T174/G174)</f>
        <v/>
      </c>
      <c r="V174" s="81" t="str">
        <f aca="false">IF(A174="Capítulo",C174,V173)</f>
        <v/>
      </c>
      <c r="W174" s="0" t="str">
        <f aca="false">IF(A174="Capítulo",C174,"")</f>
        <v/>
      </c>
    </row>
    <row r="175" customFormat="false" ht="16.5" hidden="false" customHeight="true" outlineLevel="0" collapsed="false">
      <c r="A175" s="15"/>
      <c r="B175" s="15"/>
      <c r="C175" s="79"/>
      <c r="D175" s="15"/>
      <c r="E175" s="80"/>
      <c r="F175" s="16"/>
      <c r="G175" s="10" t="str">
        <f aca="false">IF($A175&lt;&gt;"Ítem","",E175*F175)</f>
        <v/>
      </c>
      <c r="H175" s="16"/>
      <c r="I175" s="10" t="str">
        <f aca="false">IF($A175&lt;&gt;"Ítem","",N(H175)*IF(p_IVAMat="Sí",1+p_IVA,1))</f>
        <v/>
      </c>
      <c r="J175" s="16"/>
      <c r="K175" s="16"/>
      <c r="L175" s="15"/>
      <c r="M175" s="16"/>
      <c r="N175" s="10" t="str">
        <f aca="false">IF($A175&lt;&gt;"Ítem","",I175+N(J175)+N(K175)+N(M175))</f>
        <v/>
      </c>
      <c r="O175" s="10" t="str">
        <f aca="false">IF($A175&lt;&gt;"Ítem","",E175*I175)</f>
        <v/>
      </c>
      <c r="P175" s="10" t="str">
        <f aca="false">IF($A175&lt;&gt;"Ítem","",E175*N(J175))</f>
        <v/>
      </c>
      <c r="Q175" s="10" t="str">
        <f aca="false">IF($A175&lt;&gt;"Ítem","",E175*N(K175))</f>
        <v/>
      </c>
      <c r="R175" s="10" t="str">
        <f aca="false">IF($A175&lt;&gt;"Ítem","",E175*N(M175))</f>
        <v/>
      </c>
      <c r="S175" s="37" t="str">
        <f aca="false">IF($A175&lt;&gt;"Ítem","",E175*N175)</f>
        <v/>
      </c>
      <c r="T175" s="10" t="str">
        <f aca="false">IF($A175&lt;&gt;"Ítem","",G175-S175)</f>
        <v/>
      </c>
      <c r="U175" s="36" t="str">
        <f aca="false">IF(OR($A175&lt;&gt;"Ítem",N(G175)=0),"",T175/G175)</f>
        <v/>
      </c>
      <c r="V175" s="81" t="str">
        <f aca="false">IF(A175="Capítulo",C175,V174)</f>
        <v/>
      </c>
      <c r="W175" s="0" t="str">
        <f aca="false">IF(A175="Capítulo",C175,"")</f>
        <v/>
      </c>
    </row>
    <row r="176" customFormat="false" ht="16.5" hidden="false" customHeight="true" outlineLevel="0" collapsed="false">
      <c r="A176" s="15"/>
      <c r="B176" s="15"/>
      <c r="C176" s="79"/>
      <c r="D176" s="15"/>
      <c r="E176" s="80"/>
      <c r="F176" s="16"/>
      <c r="G176" s="10" t="str">
        <f aca="false">IF($A176&lt;&gt;"Ítem","",E176*F176)</f>
        <v/>
      </c>
      <c r="H176" s="16"/>
      <c r="I176" s="10" t="str">
        <f aca="false">IF($A176&lt;&gt;"Ítem","",N(H176)*IF(p_IVAMat="Sí",1+p_IVA,1))</f>
        <v/>
      </c>
      <c r="J176" s="16"/>
      <c r="K176" s="16"/>
      <c r="L176" s="15"/>
      <c r="M176" s="16"/>
      <c r="N176" s="10" t="str">
        <f aca="false">IF($A176&lt;&gt;"Ítem","",I176+N(J176)+N(K176)+N(M176))</f>
        <v/>
      </c>
      <c r="O176" s="10" t="str">
        <f aca="false">IF($A176&lt;&gt;"Ítem","",E176*I176)</f>
        <v/>
      </c>
      <c r="P176" s="10" t="str">
        <f aca="false">IF($A176&lt;&gt;"Ítem","",E176*N(J176))</f>
        <v/>
      </c>
      <c r="Q176" s="10" t="str">
        <f aca="false">IF($A176&lt;&gt;"Ítem","",E176*N(K176))</f>
        <v/>
      </c>
      <c r="R176" s="10" t="str">
        <f aca="false">IF($A176&lt;&gt;"Ítem","",E176*N(M176))</f>
        <v/>
      </c>
      <c r="S176" s="37" t="str">
        <f aca="false">IF($A176&lt;&gt;"Ítem","",E176*N176)</f>
        <v/>
      </c>
      <c r="T176" s="10" t="str">
        <f aca="false">IF($A176&lt;&gt;"Ítem","",G176-S176)</f>
        <v/>
      </c>
      <c r="U176" s="36" t="str">
        <f aca="false">IF(OR($A176&lt;&gt;"Ítem",N(G176)=0),"",T176/G176)</f>
        <v/>
      </c>
      <c r="V176" s="81" t="str">
        <f aca="false">IF(A176="Capítulo",C176,V175)</f>
        <v/>
      </c>
      <c r="W176" s="0" t="str">
        <f aca="false">IF(A176="Capítulo",C176,"")</f>
        <v/>
      </c>
    </row>
    <row r="177" customFormat="false" ht="16.5" hidden="false" customHeight="true" outlineLevel="0" collapsed="false">
      <c r="A177" s="15"/>
      <c r="B177" s="15"/>
      <c r="C177" s="79"/>
      <c r="D177" s="15"/>
      <c r="E177" s="80"/>
      <c r="F177" s="16"/>
      <c r="G177" s="10" t="str">
        <f aca="false">IF($A177&lt;&gt;"Ítem","",E177*F177)</f>
        <v/>
      </c>
      <c r="H177" s="16"/>
      <c r="I177" s="10" t="str">
        <f aca="false">IF($A177&lt;&gt;"Ítem","",N(H177)*IF(p_IVAMat="Sí",1+p_IVA,1))</f>
        <v/>
      </c>
      <c r="J177" s="16"/>
      <c r="K177" s="16"/>
      <c r="L177" s="15"/>
      <c r="M177" s="16"/>
      <c r="N177" s="10" t="str">
        <f aca="false">IF($A177&lt;&gt;"Ítem","",I177+N(J177)+N(K177)+N(M177))</f>
        <v/>
      </c>
      <c r="O177" s="10" t="str">
        <f aca="false">IF($A177&lt;&gt;"Ítem","",E177*I177)</f>
        <v/>
      </c>
      <c r="P177" s="10" t="str">
        <f aca="false">IF($A177&lt;&gt;"Ítem","",E177*N(J177))</f>
        <v/>
      </c>
      <c r="Q177" s="10" t="str">
        <f aca="false">IF($A177&lt;&gt;"Ítem","",E177*N(K177))</f>
        <v/>
      </c>
      <c r="R177" s="10" t="str">
        <f aca="false">IF($A177&lt;&gt;"Ítem","",E177*N(M177))</f>
        <v/>
      </c>
      <c r="S177" s="37" t="str">
        <f aca="false">IF($A177&lt;&gt;"Ítem","",E177*N177)</f>
        <v/>
      </c>
      <c r="T177" s="10" t="str">
        <f aca="false">IF($A177&lt;&gt;"Ítem","",G177-S177)</f>
        <v/>
      </c>
      <c r="U177" s="36" t="str">
        <f aca="false">IF(OR($A177&lt;&gt;"Ítem",N(G177)=0),"",T177/G177)</f>
        <v/>
      </c>
      <c r="V177" s="81" t="str">
        <f aca="false">IF(A177="Capítulo",C177,V176)</f>
        <v/>
      </c>
      <c r="W177" s="0" t="str">
        <f aca="false">IF(A177="Capítulo",C177,"")</f>
        <v/>
      </c>
    </row>
    <row r="178" customFormat="false" ht="16.5" hidden="false" customHeight="true" outlineLevel="0" collapsed="false">
      <c r="A178" s="15"/>
      <c r="B178" s="15"/>
      <c r="C178" s="79"/>
      <c r="D178" s="15"/>
      <c r="E178" s="80"/>
      <c r="F178" s="16"/>
      <c r="G178" s="10" t="str">
        <f aca="false">IF($A178&lt;&gt;"Ítem","",E178*F178)</f>
        <v/>
      </c>
      <c r="H178" s="16"/>
      <c r="I178" s="10" t="str">
        <f aca="false">IF($A178&lt;&gt;"Ítem","",N(H178)*IF(p_IVAMat="Sí",1+p_IVA,1))</f>
        <v/>
      </c>
      <c r="J178" s="16"/>
      <c r="K178" s="16"/>
      <c r="L178" s="15"/>
      <c r="M178" s="16"/>
      <c r="N178" s="10" t="str">
        <f aca="false">IF($A178&lt;&gt;"Ítem","",I178+N(J178)+N(K178)+N(M178))</f>
        <v/>
      </c>
      <c r="O178" s="10" t="str">
        <f aca="false">IF($A178&lt;&gt;"Ítem","",E178*I178)</f>
        <v/>
      </c>
      <c r="P178" s="10" t="str">
        <f aca="false">IF($A178&lt;&gt;"Ítem","",E178*N(J178))</f>
        <v/>
      </c>
      <c r="Q178" s="10" t="str">
        <f aca="false">IF($A178&lt;&gt;"Ítem","",E178*N(K178))</f>
        <v/>
      </c>
      <c r="R178" s="10" t="str">
        <f aca="false">IF($A178&lt;&gt;"Ítem","",E178*N(M178))</f>
        <v/>
      </c>
      <c r="S178" s="37" t="str">
        <f aca="false">IF($A178&lt;&gt;"Ítem","",E178*N178)</f>
        <v/>
      </c>
      <c r="T178" s="10" t="str">
        <f aca="false">IF($A178&lt;&gt;"Ítem","",G178-S178)</f>
        <v/>
      </c>
      <c r="U178" s="36" t="str">
        <f aca="false">IF(OR($A178&lt;&gt;"Ítem",N(G178)=0),"",T178/G178)</f>
        <v/>
      </c>
      <c r="V178" s="81" t="str">
        <f aca="false">IF(A178="Capítulo",C178,V177)</f>
        <v/>
      </c>
      <c r="W178" s="0" t="str">
        <f aca="false">IF(A178="Capítulo",C178,"")</f>
        <v/>
      </c>
    </row>
    <row r="179" customFormat="false" ht="16.5" hidden="false" customHeight="true" outlineLevel="0" collapsed="false">
      <c r="A179" s="15"/>
      <c r="B179" s="15"/>
      <c r="C179" s="79"/>
      <c r="D179" s="15"/>
      <c r="E179" s="80"/>
      <c r="F179" s="16"/>
      <c r="G179" s="10" t="str">
        <f aca="false">IF($A179&lt;&gt;"Ítem","",E179*F179)</f>
        <v/>
      </c>
      <c r="H179" s="16"/>
      <c r="I179" s="10" t="str">
        <f aca="false">IF($A179&lt;&gt;"Ítem","",N(H179)*IF(p_IVAMat="Sí",1+p_IVA,1))</f>
        <v/>
      </c>
      <c r="J179" s="16"/>
      <c r="K179" s="16"/>
      <c r="L179" s="15"/>
      <c r="M179" s="16"/>
      <c r="N179" s="10" t="str">
        <f aca="false">IF($A179&lt;&gt;"Ítem","",I179+N(J179)+N(K179)+N(M179))</f>
        <v/>
      </c>
      <c r="O179" s="10" t="str">
        <f aca="false">IF($A179&lt;&gt;"Ítem","",E179*I179)</f>
        <v/>
      </c>
      <c r="P179" s="10" t="str">
        <f aca="false">IF($A179&lt;&gt;"Ítem","",E179*N(J179))</f>
        <v/>
      </c>
      <c r="Q179" s="10" t="str">
        <f aca="false">IF($A179&lt;&gt;"Ítem","",E179*N(K179))</f>
        <v/>
      </c>
      <c r="R179" s="10" t="str">
        <f aca="false">IF($A179&lt;&gt;"Ítem","",E179*N(M179))</f>
        <v/>
      </c>
      <c r="S179" s="37" t="str">
        <f aca="false">IF($A179&lt;&gt;"Ítem","",E179*N179)</f>
        <v/>
      </c>
      <c r="T179" s="10" t="str">
        <f aca="false">IF($A179&lt;&gt;"Ítem","",G179-S179)</f>
        <v/>
      </c>
      <c r="U179" s="36" t="str">
        <f aca="false">IF(OR($A179&lt;&gt;"Ítem",N(G179)=0),"",T179/G179)</f>
        <v/>
      </c>
      <c r="V179" s="81" t="str">
        <f aca="false">IF(A179="Capítulo",C179,V178)</f>
        <v/>
      </c>
      <c r="W179" s="0" t="str">
        <f aca="false">IF(A179="Capítulo",C179,"")</f>
        <v/>
      </c>
    </row>
    <row r="180" customFormat="false" ht="16.5" hidden="false" customHeight="true" outlineLevel="0" collapsed="false">
      <c r="A180" s="15"/>
      <c r="B180" s="15"/>
      <c r="C180" s="79"/>
      <c r="D180" s="15"/>
      <c r="E180" s="80"/>
      <c r="F180" s="16"/>
      <c r="G180" s="10" t="str">
        <f aca="false">IF($A180&lt;&gt;"Ítem","",E180*F180)</f>
        <v/>
      </c>
      <c r="H180" s="16"/>
      <c r="I180" s="10" t="str">
        <f aca="false">IF($A180&lt;&gt;"Ítem","",N(H180)*IF(p_IVAMat="Sí",1+p_IVA,1))</f>
        <v/>
      </c>
      <c r="J180" s="16"/>
      <c r="K180" s="16"/>
      <c r="L180" s="15"/>
      <c r="M180" s="16"/>
      <c r="N180" s="10" t="str">
        <f aca="false">IF($A180&lt;&gt;"Ítem","",I180+N(J180)+N(K180)+N(M180))</f>
        <v/>
      </c>
      <c r="O180" s="10" t="str">
        <f aca="false">IF($A180&lt;&gt;"Ítem","",E180*I180)</f>
        <v/>
      </c>
      <c r="P180" s="10" t="str">
        <f aca="false">IF($A180&lt;&gt;"Ítem","",E180*N(J180))</f>
        <v/>
      </c>
      <c r="Q180" s="10" t="str">
        <f aca="false">IF($A180&lt;&gt;"Ítem","",E180*N(K180))</f>
        <v/>
      </c>
      <c r="R180" s="10" t="str">
        <f aca="false">IF($A180&lt;&gt;"Ítem","",E180*N(M180))</f>
        <v/>
      </c>
      <c r="S180" s="37" t="str">
        <f aca="false">IF($A180&lt;&gt;"Ítem","",E180*N180)</f>
        <v/>
      </c>
      <c r="T180" s="10" t="str">
        <f aca="false">IF($A180&lt;&gt;"Ítem","",G180-S180)</f>
        <v/>
      </c>
      <c r="U180" s="36" t="str">
        <f aca="false">IF(OR($A180&lt;&gt;"Ítem",N(G180)=0),"",T180/G180)</f>
        <v/>
      </c>
      <c r="V180" s="81" t="str">
        <f aca="false">IF(A180="Capítulo",C180,V179)</f>
        <v/>
      </c>
      <c r="W180" s="0" t="str">
        <f aca="false">IF(A180="Capítulo",C180,"")</f>
        <v/>
      </c>
    </row>
    <row r="181" customFormat="false" ht="16.5" hidden="false" customHeight="true" outlineLevel="0" collapsed="false">
      <c r="A181" s="15"/>
      <c r="B181" s="15"/>
      <c r="C181" s="79"/>
      <c r="D181" s="15"/>
      <c r="E181" s="80"/>
      <c r="F181" s="16"/>
      <c r="G181" s="10" t="str">
        <f aca="false">IF($A181&lt;&gt;"Ítem","",E181*F181)</f>
        <v/>
      </c>
      <c r="H181" s="16"/>
      <c r="I181" s="10" t="str">
        <f aca="false">IF($A181&lt;&gt;"Ítem","",N(H181)*IF(p_IVAMat="Sí",1+p_IVA,1))</f>
        <v/>
      </c>
      <c r="J181" s="16"/>
      <c r="K181" s="16"/>
      <c r="L181" s="15"/>
      <c r="M181" s="16"/>
      <c r="N181" s="10" t="str">
        <f aca="false">IF($A181&lt;&gt;"Ítem","",I181+N(J181)+N(K181)+N(M181))</f>
        <v/>
      </c>
      <c r="O181" s="10" t="str">
        <f aca="false">IF($A181&lt;&gt;"Ítem","",E181*I181)</f>
        <v/>
      </c>
      <c r="P181" s="10" t="str">
        <f aca="false">IF($A181&lt;&gt;"Ítem","",E181*N(J181))</f>
        <v/>
      </c>
      <c r="Q181" s="10" t="str">
        <f aca="false">IF($A181&lt;&gt;"Ítem","",E181*N(K181))</f>
        <v/>
      </c>
      <c r="R181" s="10" t="str">
        <f aca="false">IF($A181&lt;&gt;"Ítem","",E181*N(M181))</f>
        <v/>
      </c>
      <c r="S181" s="37" t="str">
        <f aca="false">IF($A181&lt;&gt;"Ítem","",E181*N181)</f>
        <v/>
      </c>
      <c r="T181" s="10" t="str">
        <f aca="false">IF($A181&lt;&gt;"Ítem","",G181-S181)</f>
        <v/>
      </c>
      <c r="U181" s="36" t="str">
        <f aca="false">IF(OR($A181&lt;&gt;"Ítem",N(G181)=0),"",T181/G181)</f>
        <v/>
      </c>
      <c r="V181" s="81" t="str">
        <f aca="false">IF(A181="Capítulo",C181,V180)</f>
        <v/>
      </c>
      <c r="W181" s="0" t="str">
        <f aca="false">IF(A181="Capítulo",C181,"")</f>
        <v/>
      </c>
    </row>
    <row r="182" customFormat="false" ht="16.5" hidden="false" customHeight="true" outlineLevel="0" collapsed="false">
      <c r="A182" s="15"/>
      <c r="B182" s="15"/>
      <c r="C182" s="79"/>
      <c r="D182" s="15"/>
      <c r="E182" s="80"/>
      <c r="F182" s="16"/>
      <c r="G182" s="10" t="str">
        <f aca="false">IF($A182&lt;&gt;"Ítem","",E182*F182)</f>
        <v/>
      </c>
      <c r="H182" s="16"/>
      <c r="I182" s="10" t="str">
        <f aca="false">IF($A182&lt;&gt;"Ítem","",N(H182)*IF(p_IVAMat="Sí",1+p_IVA,1))</f>
        <v/>
      </c>
      <c r="J182" s="16"/>
      <c r="K182" s="16"/>
      <c r="L182" s="15"/>
      <c r="M182" s="16"/>
      <c r="N182" s="10" t="str">
        <f aca="false">IF($A182&lt;&gt;"Ítem","",I182+N(J182)+N(K182)+N(M182))</f>
        <v/>
      </c>
      <c r="O182" s="10" t="str">
        <f aca="false">IF($A182&lt;&gt;"Ítem","",E182*I182)</f>
        <v/>
      </c>
      <c r="P182" s="10" t="str">
        <f aca="false">IF($A182&lt;&gt;"Ítem","",E182*N(J182))</f>
        <v/>
      </c>
      <c r="Q182" s="10" t="str">
        <f aca="false">IF($A182&lt;&gt;"Ítem","",E182*N(K182))</f>
        <v/>
      </c>
      <c r="R182" s="10" t="str">
        <f aca="false">IF($A182&lt;&gt;"Ítem","",E182*N(M182))</f>
        <v/>
      </c>
      <c r="S182" s="37" t="str">
        <f aca="false">IF($A182&lt;&gt;"Ítem","",E182*N182)</f>
        <v/>
      </c>
      <c r="T182" s="10" t="str">
        <f aca="false">IF($A182&lt;&gt;"Ítem","",G182-S182)</f>
        <v/>
      </c>
      <c r="U182" s="36" t="str">
        <f aca="false">IF(OR($A182&lt;&gt;"Ítem",N(G182)=0),"",T182/G182)</f>
        <v/>
      </c>
      <c r="V182" s="81" t="str">
        <f aca="false">IF(A182="Capítulo",C182,V181)</f>
        <v/>
      </c>
      <c r="W182" s="0" t="str">
        <f aca="false">IF(A182="Capítulo",C182,"")</f>
        <v/>
      </c>
    </row>
    <row r="183" customFormat="false" ht="16.5" hidden="false" customHeight="true" outlineLevel="0" collapsed="false">
      <c r="A183" s="15"/>
      <c r="B183" s="15"/>
      <c r="C183" s="79"/>
      <c r="D183" s="15"/>
      <c r="E183" s="80"/>
      <c r="F183" s="16"/>
      <c r="G183" s="10" t="str">
        <f aca="false">IF($A183&lt;&gt;"Ítem","",E183*F183)</f>
        <v/>
      </c>
      <c r="H183" s="16"/>
      <c r="I183" s="10" t="str">
        <f aca="false">IF($A183&lt;&gt;"Ítem","",N(H183)*IF(p_IVAMat="Sí",1+p_IVA,1))</f>
        <v/>
      </c>
      <c r="J183" s="16"/>
      <c r="K183" s="16"/>
      <c r="L183" s="15"/>
      <c r="M183" s="16"/>
      <c r="N183" s="10" t="str">
        <f aca="false">IF($A183&lt;&gt;"Ítem","",I183+N(J183)+N(K183)+N(M183))</f>
        <v/>
      </c>
      <c r="O183" s="10" t="str">
        <f aca="false">IF($A183&lt;&gt;"Ítem","",E183*I183)</f>
        <v/>
      </c>
      <c r="P183" s="10" t="str">
        <f aca="false">IF($A183&lt;&gt;"Ítem","",E183*N(J183))</f>
        <v/>
      </c>
      <c r="Q183" s="10" t="str">
        <f aca="false">IF($A183&lt;&gt;"Ítem","",E183*N(K183))</f>
        <v/>
      </c>
      <c r="R183" s="10" t="str">
        <f aca="false">IF($A183&lt;&gt;"Ítem","",E183*N(M183))</f>
        <v/>
      </c>
      <c r="S183" s="37" t="str">
        <f aca="false">IF($A183&lt;&gt;"Ítem","",E183*N183)</f>
        <v/>
      </c>
      <c r="T183" s="10" t="str">
        <f aca="false">IF($A183&lt;&gt;"Ítem","",G183-S183)</f>
        <v/>
      </c>
      <c r="U183" s="36" t="str">
        <f aca="false">IF(OR($A183&lt;&gt;"Ítem",N(G183)=0),"",T183/G183)</f>
        <v/>
      </c>
      <c r="V183" s="81" t="str">
        <f aca="false">IF(A183="Capítulo",C183,V182)</f>
        <v/>
      </c>
      <c r="W183" s="0" t="str">
        <f aca="false">IF(A183="Capítulo",C183,"")</f>
        <v/>
      </c>
    </row>
    <row r="184" customFormat="false" ht="16.5" hidden="false" customHeight="true" outlineLevel="0" collapsed="false">
      <c r="A184" s="15"/>
      <c r="B184" s="15"/>
      <c r="C184" s="79"/>
      <c r="D184" s="15"/>
      <c r="E184" s="80"/>
      <c r="F184" s="16"/>
      <c r="G184" s="10" t="str">
        <f aca="false">IF($A184&lt;&gt;"Ítem","",E184*F184)</f>
        <v/>
      </c>
      <c r="H184" s="16"/>
      <c r="I184" s="10" t="str">
        <f aca="false">IF($A184&lt;&gt;"Ítem","",N(H184)*IF(p_IVAMat="Sí",1+p_IVA,1))</f>
        <v/>
      </c>
      <c r="J184" s="16"/>
      <c r="K184" s="16"/>
      <c r="L184" s="15"/>
      <c r="M184" s="16"/>
      <c r="N184" s="10" t="str">
        <f aca="false">IF($A184&lt;&gt;"Ítem","",I184+N(J184)+N(K184)+N(M184))</f>
        <v/>
      </c>
      <c r="O184" s="10" t="str">
        <f aca="false">IF($A184&lt;&gt;"Ítem","",E184*I184)</f>
        <v/>
      </c>
      <c r="P184" s="10" t="str">
        <f aca="false">IF($A184&lt;&gt;"Ítem","",E184*N(J184))</f>
        <v/>
      </c>
      <c r="Q184" s="10" t="str">
        <f aca="false">IF($A184&lt;&gt;"Ítem","",E184*N(K184))</f>
        <v/>
      </c>
      <c r="R184" s="10" t="str">
        <f aca="false">IF($A184&lt;&gt;"Ítem","",E184*N(M184))</f>
        <v/>
      </c>
      <c r="S184" s="37" t="str">
        <f aca="false">IF($A184&lt;&gt;"Ítem","",E184*N184)</f>
        <v/>
      </c>
      <c r="T184" s="10" t="str">
        <f aca="false">IF($A184&lt;&gt;"Ítem","",G184-S184)</f>
        <v/>
      </c>
      <c r="U184" s="36" t="str">
        <f aca="false">IF(OR($A184&lt;&gt;"Ítem",N(G184)=0),"",T184/G184)</f>
        <v/>
      </c>
      <c r="V184" s="81" t="str">
        <f aca="false">IF(A184="Capítulo",C184,V183)</f>
        <v/>
      </c>
      <c r="W184" s="0" t="str">
        <f aca="false">IF(A184="Capítulo",C184,"")</f>
        <v/>
      </c>
    </row>
    <row r="185" customFormat="false" ht="16.5" hidden="false" customHeight="true" outlineLevel="0" collapsed="false">
      <c r="A185" s="15"/>
      <c r="B185" s="15"/>
      <c r="C185" s="79"/>
      <c r="D185" s="15"/>
      <c r="E185" s="80"/>
      <c r="F185" s="16"/>
      <c r="G185" s="10" t="str">
        <f aca="false">IF($A185&lt;&gt;"Ítem","",E185*F185)</f>
        <v/>
      </c>
      <c r="H185" s="16"/>
      <c r="I185" s="10" t="str">
        <f aca="false">IF($A185&lt;&gt;"Ítem","",N(H185)*IF(p_IVAMat="Sí",1+p_IVA,1))</f>
        <v/>
      </c>
      <c r="J185" s="16"/>
      <c r="K185" s="16"/>
      <c r="L185" s="15"/>
      <c r="M185" s="16"/>
      <c r="N185" s="10" t="str">
        <f aca="false">IF($A185&lt;&gt;"Ítem","",I185+N(J185)+N(K185)+N(M185))</f>
        <v/>
      </c>
      <c r="O185" s="10" t="str">
        <f aca="false">IF($A185&lt;&gt;"Ítem","",E185*I185)</f>
        <v/>
      </c>
      <c r="P185" s="10" t="str">
        <f aca="false">IF($A185&lt;&gt;"Ítem","",E185*N(J185))</f>
        <v/>
      </c>
      <c r="Q185" s="10" t="str">
        <f aca="false">IF($A185&lt;&gt;"Ítem","",E185*N(K185))</f>
        <v/>
      </c>
      <c r="R185" s="10" t="str">
        <f aca="false">IF($A185&lt;&gt;"Ítem","",E185*N(M185))</f>
        <v/>
      </c>
      <c r="S185" s="37" t="str">
        <f aca="false">IF($A185&lt;&gt;"Ítem","",E185*N185)</f>
        <v/>
      </c>
      <c r="T185" s="10" t="str">
        <f aca="false">IF($A185&lt;&gt;"Ítem","",G185-S185)</f>
        <v/>
      </c>
      <c r="U185" s="36" t="str">
        <f aca="false">IF(OR($A185&lt;&gt;"Ítem",N(G185)=0),"",T185/G185)</f>
        <v/>
      </c>
      <c r="V185" s="81" t="str">
        <f aca="false">IF(A185="Capítulo",C185,V184)</f>
        <v/>
      </c>
      <c r="W185" s="0" t="str">
        <f aca="false">IF(A185="Capítulo",C185,"")</f>
        <v/>
      </c>
    </row>
    <row r="186" customFormat="false" ht="16.5" hidden="false" customHeight="true" outlineLevel="0" collapsed="false">
      <c r="A186" s="15"/>
      <c r="B186" s="15"/>
      <c r="C186" s="79"/>
      <c r="D186" s="15"/>
      <c r="E186" s="80"/>
      <c r="F186" s="16"/>
      <c r="G186" s="10" t="str">
        <f aca="false">IF($A186&lt;&gt;"Ítem","",E186*F186)</f>
        <v/>
      </c>
      <c r="H186" s="16"/>
      <c r="I186" s="10" t="str">
        <f aca="false">IF($A186&lt;&gt;"Ítem","",N(H186)*IF(p_IVAMat="Sí",1+p_IVA,1))</f>
        <v/>
      </c>
      <c r="J186" s="16"/>
      <c r="K186" s="16"/>
      <c r="L186" s="15"/>
      <c r="M186" s="16"/>
      <c r="N186" s="10" t="str">
        <f aca="false">IF($A186&lt;&gt;"Ítem","",I186+N(J186)+N(K186)+N(M186))</f>
        <v/>
      </c>
      <c r="O186" s="10" t="str">
        <f aca="false">IF($A186&lt;&gt;"Ítem","",E186*I186)</f>
        <v/>
      </c>
      <c r="P186" s="10" t="str">
        <f aca="false">IF($A186&lt;&gt;"Ítem","",E186*N(J186))</f>
        <v/>
      </c>
      <c r="Q186" s="10" t="str">
        <f aca="false">IF($A186&lt;&gt;"Ítem","",E186*N(K186))</f>
        <v/>
      </c>
      <c r="R186" s="10" t="str">
        <f aca="false">IF($A186&lt;&gt;"Ítem","",E186*N(M186))</f>
        <v/>
      </c>
      <c r="S186" s="37" t="str">
        <f aca="false">IF($A186&lt;&gt;"Ítem","",E186*N186)</f>
        <v/>
      </c>
      <c r="T186" s="10" t="str">
        <f aca="false">IF($A186&lt;&gt;"Ítem","",G186-S186)</f>
        <v/>
      </c>
      <c r="U186" s="36" t="str">
        <f aca="false">IF(OR($A186&lt;&gt;"Ítem",N(G186)=0),"",T186/G186)</f>
        <v/>
      </c>
      <c r="V186" s="81" t="str">
        <f aca="false">IF(A186="Capítulo",C186,V185)</f>
        <v/>
      </c>
      <c r="W186" s="0" t="str">
        <f aca="false">IF(A186="Capítulo",C186,"")</f>
        <v/>
      </c>
    </row>
    <row r="187" customFormat="false" ht="16.5" hidden="false" customHeight="true" outlineLevel="0" collapsed="false">
      <c r="A187" s="15"/>
      <c r="B187" s="15"/>
      <c r="C187" s="79"/>
      <c r="D187" s="15"/>
      <c r="E187" s="80"/>
      <c r="F187" s="16"/>
      <c r="G187" s="10" t="str">
        <f aca="false">IF($A187&lt;&gt;"Ítem","",E187*F187)</f>
        <v/>
      </c>
      <c r="H187" s="16"/>
      <c r="I187" s="10" t="str">
        <f aca="false">IF($A187&lt;&gt;"Ítem","",N(H187)*IF(p_IVAMat="Sí",1+p_IVA,1))</f>
        <v/>
      </c>
      <c r="J187" s="16"/>
      <c r="K187" s="16"/>
      <c r="L187" s="15"/>
      <c r="M187" s="16"/>
      <c r="N187" s="10" t="str">
        <f aca="false">IF($A187&lt;&gt;"Ítem","",I187+N(J187)+N(K187)+N(M187))</f>
        <v/>
      </c>
      <c r="O187" s="10" t="str">
        <f aca="false">IF($A187&lt;&gt;"Ítem","",E187*I187)</f>
        <v/>
      </c>
      <c r="P187" s="10" t="str">
        <f aca="false">IF($A187&lt;&gt;"Ítem","",E187*N(J187))</f>
        <v/>
      </c>
      <c r="Q187" s="10" t="str">
        <f aca="false">IF($A187&lt;&gt;"Ítem","",E187*N(K187))</f>
        <v/>
      </c>
      <c r="R187" s="10" t="str">
        <f aca="false">IF($A187&lt;&gt;"Ítem","",E187*N(M187))</f>
        <v/>
      </c>
      <c r="S187" s="37" t="str">
        <f aca="false">IF($A187&lt;&gt;"Ítem","",E187*N187)</f>
        <v/>
      </c>
      <c r="T187" s="10" t="str">
        <f aca="false">IF($A187&lt;&gt;"Ítem","",G187-S187)</f>
        <v/>
      </c>
      <c r="U187" s="36" t="str">
        <f aca="false">IF(OR($A187&lt;&gt;"Ítem",N(G187)=0),"",T187/G187)</f>
        <v/>
      </c>
      <c r="V187" s="81" t="str">
        <f aca="false">IF(A187="Capítulo",C187,V186)</f>
        <v/>
      </c>
      <c r="W187" s="0" t="str">
        <f aca="false">IF(A187="Capítulo",C187,"")</f>
        <v/>
      </c>
    </row>
    <row r="188" customFormat="false" ht="16.5" hidden="false" customHeight="true" outlineLevel="0" collapsed="false">
      <c r="A188" s="15"/>
      <c r="B188" s="15"/>
      <c r="C188" s="79"/>
      <c r="D188" s="15"/>
      <c r="E188" s="80"/>
      <c r="F188" s="16"/>
      <c r="G188" s="10" t="str">
        <f aca="false">IF($A188&lt;&gt;"Ítem","",E188*F188)</f>
        <v/>
      </c>
      <c r="H188" s="16"/>
      <c r="I188" s="10" t="str">
        <f aca="false">IF($A188&lt;&gt;"Ítem","",N(H188)*IF(p_IVAMat="Sí",1+p_IVA,1))</f>
        <v/>
      </c>
      <c r="J188" s="16"/>
      <c r="K188" s="16"/>
      <c r="L188" s="15"/>
      <c r="M188" s="16"/>
      <c r="N188" s="10" t="str">
        <f aca="false">IF($A188&lt;&gt;"Ítem","",I188+N(J188)+N(K188)+N(M188))</f>
        <v/>
      </c>
      <c r="O188" s="10" t="str">
        <f aca="false">IF($A188&lt;&gt;"Ítem","",E188*I188)</f>
        <v/>
      </c>
      <c r="P188" s="10" t="str">
        <f aca="false">IF($A188&lt;&gt;"Ítem","",E188*N(J188))</f>
        <v/>
      </c>
      <c r="Q188" s="10" t="str">
        <f aca="false">IF($A188&lt;&gt;"Ítem","",E188*N(K188))</f>
        <v/>
      </c>
      <c r="R188" s="10" t="str">
        <f aca="false">IF($A188&lt;&gt;"Ítem","",E188*N(M188))</f>
        <v/>
      </c>
      <c r="S188" s="37" t="str">
        <f aca="false">IF($A188&lt;&gt;"Ítem","",E188*N188)</f>
        <v/>
      </c>
      <c r="T188" s="10" t="str">
        <f aca="false">IF($A188&lt;&gt;"Ítem","",G188-S188)</f>
        <v/>
      </c>
      <c r="U188" s="36" t="str">
        <f aca="false">IF(OR($A188&lt;&gt;"Ítem",N(G188)=0),"",T188/G188)</f>
        <v/>
      </c>
      <c r="V188" s="81" t="str">
        <f aca="false">IF(A188="Capítulo",C188,V187)</f>
        <v/>
      </c>
      <c r="W188" s="0" t="str">
        <f aca="false">IF(A188="Capítulo",C188,"")</f>
        <v/>
      </c>
    </row>
    <row r="189" customFormat="false" ht="16.5" hidden="false" customHeight="true" outlineLevel="0" collapsed="false">
      <c r="A189" s="15"/>
      <c r="B189" s="15"/>
      <c r="C189" s="79"/>
      <c r="D189" s="15"/>
      <c r="E189" s="80"/>
      <c r="F189" s="16"/>
      <c r="G189" s="10" t="str">
        <f aca="false">IF($A189&lt;&gt;"Ítem","",E189*F189)</f>
        <v/>
      </c>
      <c r="H189" s="16"/>
      <c r="I189" s="10" t="str">
        <f aca="false">IF($A189&lt;&gt;"Ítem","",N(H189)*IF(p_IVAMat="Sí",1+p_IVA,1))</f>
        <v/>
      </c>
      <c r="J189" s="16"/>
      <c r="K189" s="16"/>
      <c r="L189" s="15"/>
      <c r="M189" s="16"/>
      <c r="N189" s="10" t="str">
        <f aca="false">IF($A189&lt;&gt;"Ítem","",I189+N(J189)+N(K189)+N(M189))</f>
        <v/>
      </c>
      <c r="O189" s="10" t="str">
        <f aca="false">IF($A189&lt;&gt;"Ítem","",E189*I189)</f>
        <v/>
      </c>
      <c r="P189" s="10" t="str">
        <f aca="false">IF($A189&lt;&gt;"Ítem","",E189*N(J189))</f>
        <v/>
      </c>
      <c r="Q189" s="10" t="str">
        <f aca="false">IF($A189&lt;&gt;"Ítem","",E189*N(K189))</f>
        <v/>
      </c>
      <c r="R189" s="10" t="str">
        <f aca="false">IF($A189&lt;&gt;"Ítem","",E189*N(M189))</f>
        <v/>
      </c>
      <c r="S189" s="37" t="str">
        <f aca="false">IF($A189&lt;&gt;"Ítem","",E189*N189)</f>
        <v/>
      </c>
      <c r="T189" s="10" t="str">
        <f aca="false">IF($A189&lt;&gt;"Ítem","",G189-S189)</f>
        <v/>
      </c>
      <c r="U189" s="36" t="str">
        <f aca="false">IF(OR($A189&lt;&gt;"Ítem",N(G189)=0),"",T189/G189)</f>
        <v/>
      </c>
      <c r="V189" s="81" t="str">
        <f aca="false">IF(A189="Capítulo",C189,V188)</f>
        <v/>
      </c>
      <c r="W189" s="0" t="str">
        <f aca="false">IF(A189="Capítulo",C189,"")</f>
        <v/>
      </c>
    </row>
    <row r="190" customFormat="false" ht="16.5" hidden="false" customHeight="true" outlineLevel="0" collapsed="false">
      <c r="A190" s="15"/>
      <c r="B190" s="15"/>
      <c r="C190" s="79"/>
      <c r="D190" s="15"/>
      <c r="E190" s="80"/>
      <c r="F190" s="16"/>
      <c r="G190" s="10" t="str">
        <f aca="false">IF($A190&lt;&gt;"Ítem","",E190*F190)</f>
        <v/>
      </c>
      <c r="H190" s="16"/>
      <c r="I190" s="10" t="str">
        <f aca="false">IF($A190&lt;&gt;"Ítem","",N(H190)*IF(p_IVAMat="Sí",1+p_IVA,1))</f>
        <v/>
      </c>
      <c r="J190" s="16"/>
      <c r="K190" s="16"/>
      <c r="L190" s="15"/>
      <c r="M190" s="16"/>
      <c r="N190" s="10" t="str">
        <f aca="false">IF($A190&lt;&gt;"Ítem","",I190+N(J190)+N(K190)+N(M190))</f>
        <v/>
      </c>
      <c r="O190" s="10" t="str">
        <f aca="false">IF($A190&lt;&gt;"Ítem","",E190*I190)</f>
        <v/>
      </c>
      <c r="P190" s="10" t="str">
        <f aca="false">IF($A190&lt;&gt;"Ítem","",E190*N(J190))</f>
        <v/>
      </c>
      <c r="Q190" s="10" t="str">
        <f aca="false">IF($A190&lt;&gt;"Ítem","",E190*N(K190))</f>
        <v/>
      </c>
      <c r="R190" s="10" t="str">
        <f aca="false">IF($A190&lt;&gt;"Ítem","",E190*N(M190))</f>
        <v/>
      </c>
      <c r="S190" s="37" t="str">
        <f aca="false">IF($A190&lt;&gt;"Ítem","",E190*N190)</f>
        <v/>
      </c>
      <c r="T190" s="10" t="str">
        <f aca="false">IF($A190&lt;&gt;"Ítem","",G190-S190)</f>
        <v/>
      </c>
      <c r="U190" s="36" t="str">
        <f aca="false">IF(OR($A190&lt;&gt;"Ítem",N(G190)=0),"",T190/G190)</f>
        <v/>
      </c>
      <c r="V190" s="81" t="str">
        <f aca="false">IF(A190="Capítulo",C190,V189)</f>
        <v/>
      </c>
      <c r="W190" s="0" t="str">
        <f aca="false">IF(A190="Capítulo",C190,"")</f>
        <v/>
      </c>
    </row>
    <row r="191" customFormat="false" ht="16.5" hidden="false" customHeight="true" outlineLevel="0" collapsed="false">
      <c r="A191" s="15"/>
      <c r="B191" s="15"/>
      <c r="C191" s="79"/>
      <c r="D191" s="15"/>
      <c r="E191" s="80"/>
      <c r="F191" s="16"/>
      <c r="G191" s="10" t="str">
        <f aca="false">IF($A191&lt;&gt;"Ítem","",E191*F191)</f>
        <v/>
      </c>
      <c r="H191" s="16"/>
      <c r="I191" s="10" t="str">
        <f aca="false">IF($A191&lt;&gt;"Ítem","",N(H191)*IF(p_IVAMat="Sí",1+p_IVA,1))</f>
        <v/>
      </c>
      <c r="J191" s="16"/>
      <c r="K191" s="16"/>
      <c r="L191" s="15"/>
      <c r="M191" s="16"/>
      <c r="N191" s="10" t="str">
        <f aca="false">IF($A191&lt;&gt;"Ítem","",I191+N(J191)+N(K191)+N(M191))</f>
        <v/>
      </c>
      <c r="O191" s="10" t="str">
        <f aca="false">IF($A191&lt;&gt;"Ítem","",E191*I191)</f>
        <v/>
      </c>
      <c r="P191" s="10" t="str">
        <f aca="false">IF($A191&lt;&gt;"Ítem","",E191*N(J191))</f>
        <v/>
      </c>
      <c r="Q191" s="10" t="str">
        <f aca="false">IF($A191&lt;&gt;"Ítem","",E191*N(K191))</f>
        <v/>
      </c>
      <c r="R191" s="10" t="str">
        <f aca="false">IF($A191&lt;&gt;"Ítem","",E191*N(M191))</f>
        <v/>
      </c>
      <c r="S191" s="37" t="str">
        <f aca="false">IF($A191&lt;&gt;"Ítem","",E191*N191)</f>
        <v/>
      </c>
      <c r="T191" s="10" t="str">
        <f aca="false">IF($A191&lt;&gt;"Ítem","",G191-S191)</f>
        <v/>
      </c>
      <c r="U191" s="36" t="str">
        <f aca="false">IF(OR($A191&lt;&gt;"Ítem",N(G191)=0),"",T191/G191)</f>
        <v/>
      </c>
      <c r="V191" s="81" t="str">
        <f aca="false">IF(A191="Capítulo",C191,V190)</f>
        <v/>
      </c>
      <c r="W191" s="0" t="str">
        <f aca="false">IF(A191="Capítulo",C191,"")</f>
        <v/>
      </c>
    </row>
    <row r="192" customFormat="false" ht="16.5" hidden="false" customHeight="true" outlineLevel="0" collapsed="false">
      <c r="A192" s="15"/>
      <c r="B192" s="15"/>
      <c r="C192" s="79"/>
      <c r="D192" s="15"/>
      <c r="E192" s="80"/>
      <c r="F192" s="16"/>
      <c r="G192" s="10" t="str">
        <f aca="false">IF($A192&lt;&gt;"Ítem","",E192*F192)</f>
        <v/>
      </c>
      <c r="H192" s="16"/>
      <c r="I192" s="10" t="str">
        <f aca="false">IF($A192&lt;&gt;"Ítem","",N(H192)*IF(p_IVAMat="Sí",1+p_IVA,1))</f>
        <v/>
      </c>
      <c r="J192" s="16"/>
      <c r="K192" s="16"/>
      <c r="L192" s="15"/>
      <c r="M192" s="16"/>
      <c r="N192" s="10" t="str">
        <f aca="false">IF($A192&lt;&gt;"Ítem","",I192+N(J192)+N(K192)+N(M192))</f>
        <v/>
      </c>
      <c r="O192" s="10" t="str">
        <f aca="false">IF($A192&lt;&gt;"Ítem","",E192*I192)</f>
        <v/>
      </c>
      <c r="P192" s="10" t="str">
        <f aca="false">IF($A192&lt;&gt;"Ítem","",E192*N(J192))</f>
        <v/>
      </c>
      <c r="Q192" s="10" t="str">
        <f aca="false">IF($A192&lt;&gt;"Ítem","",E192*N(K192))</f>
        <v/>
      </c>
      <c r="R192" s="10" t="str">
        <f aca="false">IF($A192&lt;&gt;"Ítem","",E192*N(M192))</f>
        <v/>
      </c>
      <c r="S192" s="37" t="str">
        <f aca="false">IF($A192&lt;&gt;"Ítem","",E192*N192)</f>
        <v/>
      </c>
      <c r="T192" s="10" t="str">
        <f aca="false">IF($A192&lt;&gt;"Ítem","",G192-S192)</f>
        <v/>
      </c>
      <c r="U192" s="36" t="str">
        <f aca="false">IF(OR($A192&lt;&gt;"Ítem",N(G192)=0),"",T192/G192)</f>
        <v/>
      </c>
      <c r="V192" s="81" t="str">
        <f aca="false">IF(A192="Capítulo",C192,V191)</f>
        <v/>
      </c>
      <c r="W192" s="0" t="str">
        <f aca="false">IF(A192="Capítulo",C192,"")</f>
        <v/>
      </c>
    </row>
    <row r="193" customFormat="false" ht="16.5" hidden="false" customHeight="true" outlineLevel="0" collapsed="false">
      <c r="A193" s="15"/>
      <c r="B193" s="15"/>
      <c r="C193" s="79"/>
      <c r="D193" s="15"/>
      <c r="E193" s="80"/>
      <c r="F193" s="16"/>
      <c r="G193" s="10" t="str">
        <f aca="false">IF($A193&lt;&gt;"Ítem","",E193*F193)</f>
        <v/>
      </c>
      <c r="H193" s="16"/>
      <c r="I193" s="10" t="str">
        <f aca="false">IF($A193&lt;&gt;"Ítem","",N(H193)*IF(p_IVAMat="Sí",1+p_IVA,1))</f>
        <v/>
      </c>
      <c r="J193" s="16"/>
      <c r="K193" s="16"/>
      <c r="L193" s="15"/>
      <c r="M193" s="16"/>
      <c r="N193" s="10" t="str">
        <f aca="false">IF($A193&lt;&gt;"Ítem","",I193+N(J193)+N(K193)+N(M193))</f>
        <v/>
      </c>
      <c r="O193" s="10" t="str">
        <f aca="false">IF($A193&lt;&gt;"Ítem","",E193*I193)</f>
        <v/>
      </c>
      <c r="P193" s="10" t="str">
        <f aca="false">IF($A193&lt;&gt;"Ítem","",E193*N(J193))</f>
        <v/>
      </c>
      <c r="Q193" s="10" t="str">
        <f aca="false">IF($A193&lt;&gt;"Ítem","",E193*N(K193))</f>
        <v/>
      </c>
      <c r="R193" s="10" t="str">
        <f aca="false">IF($A193&lt;&gt;"Ítem","",E193*N(M193))</f>
        <v/>
      </c>
      <c r="S193" s="37" t="str">
        <f aca="false">IF($A193&lt;&gt;"Ítem","",E193*N193)</f>
        <v/>
      </c>
      <c r="T193" s="10" t="str">
        <f aca="false">IF($A193&lt;&gt;"Ítem","",G193-S193)</f>
        <v/>
      </c>
      <c r="U193" s="36" t="str">
        <f aca="false">IF(OR($A193&lt;&gt;"Ítem",N(G193)=0),"",T193/G193)</f>
        <v/>
      </c>
      <c r="V193" s="81" t="str">
        <f aca="false">IF(A193="Capítulo",C193,V192)</f>
        <v/>
      </c>
      <c r="W193" s="0" t="str">
        <f aca="false">IF(A193="Capítulo",C193,"")</f>
        <v/>
      </c>
    </row>
    <row r="194" customFormat="false" ht="16.5" hidden="false" customHeight="true" outlineLevel="0" collapsed="false">
      <c r="A194" s="15"/>
      <c r="B194" s="15"/>
      <c r="C194" s="79"/>
      <c r="D194" s="15"/>
      <c r="E194" s="80"/>
      <c r="F194" s="16"/>
      <c r="G194" s="10" t="str">
        <f aca="false">IF($A194&lt;&gt;"Ítem","",E194*F194)</f>
        <v/>
      </c>
      <c r="H194" s="16"/>
      <c r="I194" s="10" t="str">
        <f aca="false">IF($A194&lt;&gt;"Ítem","",N(H194)*IF(p_IVAMat="Sí",1+p_IVA,1))</f>
        <v/>
      </c>
      <c r="J194" s="16"/>
      <c r="K194" s="16"/>
      <c r="L194" s="15"/>
      <c r="M194" s="16"/>
      <c r="N194" s="10" t="str">
        <f aca="false">IF($A194&lt;&gt;"Ítem","",I194+N(J194)+N(K194)+N(M194))</f>
        <v/>
      </c>
      <c r="O194" s="10" t="str">
        <f aca="false">IF($A194&lt;&gt;"Ítem","",E194*I194)</f>
        <v/>
      </c>
      <c r="P194" s="10" t="str">
        <f aca="false">IF($A194&lt;&gt;"Ítem","",E194*N(J194))</f>
        <v/>
      </c>
      <c r="Q194" s="10" t="str">
        <f aca="false">IF($A194&lt;&gt;"Ítem","",E194*N(K194))</f>
        <v/>
      </c>
      <c r="R194" s="10" t="str">
        <f aca="false">IF($A194&lt;&gt;"Ítem","",E194*N(M194))</f>
        <v/>
      </c>
      <c r="S194" s="37" t="str">
        <f aca="false">IF($A194&lt;&gt;"Ítem","",E194*N194)</f>
        <v/>
      </c>
      <c r="T194" s="10" t="str">
        <f aca="false">IF($A194&lt;&gt;"Ítem","",G194-S194)</f>
        <v/>
      </c>
      <c r="U194" s="36" t="str">
        <f aca="false">IF(OR($A194&lt;&gt;"Ítem",N(G194)=0),"",T194/G194)</f>
        <v/>
      </c>
      <c r="V194" s="81" t="str">
        <f aca="false">IF(A194="Capítulo",C194,V193)</f>
        <v/>
      </c>
      <c r="W194" s="0" t="str">
        <f aca="false">IF(A194="Capítulo",C194,"")</f>
        <v/>
      </c>
    </row>
    <row r="195" customFormat="false" ht="16.5" hidden="false" customHeight="true" outlineLevel="0" collapsed="false">
      <c r="A195" s="15"/>
      <c r="B195" s="15"/>
      <c r="C195" s="79"/>
      <c r="D195" s="15"/>
      <c r="E195" s="80"/>
      <c r="F195" s="16"/>
      <c r="G195" s="10" t="str">
        <f aca="false">IF($A195&lt;&gt;"Ítem","",E195*F195)</f>
        <v/>
      </c>
      <c r="H195" s="16"/>
      <c r="I195" s="10" t="str">
        <f aca="false">IF($A195&lt;&gt;"Ítem","",N(H195)*IF(p_IVAMat="Sí",1+p_IVA,1))</f>
        <v/>
      </c>
      <c r="J195" s="16"/>
      <c r="K195" s="16"/>
      <c r="L195" s="15"/>
      <c r="M195" s="16"/>
      <c r="N195" s="10" t="str">
        <f aca="false">IF($A195&lt;&gt;"Ítem","",I195+N(J195)+N(K195)+N(M195))</f>
        <v/>
      </c>
      <c r="O195" s="10" t="str">
        <f aca="false">IF($A195&lt;&gt;"Ítem","",E195*I195)</f>
        <v/>
      </c>
      <c r="P195" s="10" t="str">
        <f aca="false">IF($A195&lt;&gt;"Ítem","",E195*N(J195))</f>
        <v/>
      </c>
      <c r="Q195" s="10" t="str">
        <f aca="false">IF($A195&lt;&gt;"Ítem","",E195*N(K195))</f>
        <v/>
      </c>
      <c r="R195" s="10" t="str">
        <f aca="false">IF($A195&lt;&gt;"Ítem","",E195*N(M195))</f>
        <v/>
      </c>
      <c r="S195" s="37" t="str">
        <f aca="false">IF($A195&lt;&gt;"Ítem","",E195*N195)</f>
        <v/>
      </c>
      <c r="T195" s="10" t="str">
        <f aca="false">IF($A195&lt;&gt;"Ítem","",G195-S195)</f>
        <v/>
      </c>
      <c r="U195" s="36" t="str">
        <f aca="false">IF(OR($A195&lt;&gt;"Ítem",N(G195)=0),"",T195/G195)</f>
        <v/>
      </c>
      <c r="V195" s="81" t="str">
        <f aca="false">IF(A195="Capítulo",C195,V194)</f>
        <v/>
      </c>
      <c r="W195" s="0" t="str">
        <f aca="false">IF(A195="Capítulo",C195,"")</f>
        <v/>
      </c>
    </row>
    <row r="196" customFormat="false" ht="16.5" hidden="false" customHeight="true" outlineLevel="0" collapsed="false">
      <c r="A196" s="15"/>
      <c r="B196" s="15"/>
      <c r="C196" s="79"/>
      <c r="D196" s="15"/>
      <c r="E196" s="80"/>
      <c r="F196" s="16"/>
      <c r="G196" s="10" t="str">
        <f aca="false">IF($A196&lt;&gt;"Ítem","",E196*F196)</f>
        <v/>
      </c>
      <c r="H196" s="16"/>
      <c r="I196" s="10" t="str">
        <f aca="false">IF($A196&lt;&gt;"Ítem","",N(H196)*IF(p_IVAMat="Sí",1+p_IVA,1))</f>
        <v/>
      </c>
      <c r="J196" s="16"/>
      <c r="K196" s="16"/>
      <c r="L196" s="15"/>
      <c r="M196" s="16"/>
      <c r="N196" s="10" t="str">
        <f aca="false">IF($A196&lt;&gt;"Ítem","",I196+N(J196)+N(K196)+N(M196))</f>
        <v/>
      </c>
      <c r="O196" s="10" t="str">
        <f aca="false">IF($A196&lt;&gt;"Ítem","",E196*I196)</f>
        <v/>
      </c>
      <c r="P196" s="10" t="str">
        <f aca="false">IF($A196&lt;&gt;"Ítem","",E196*N(J196))</f>
        <v/>
      </c>
      <c r="Q196" s="10" t="str">
        <f aca="false">IF($A196&lt;&gt;"Ítem","",E196*N(K196))</f>
        <v/>
      </c>
      <c r="R196" s="10" t="str">
        <f aca="false">IF($A196&lt;&gt;"Ítem","",E196*N(M196))</f>
        <v/>
      </c>
      <c r="S196" s="37" t="str">
        <f aca="false">IF($A196&lt;&gt;"Ítem","",E196*N196)</f>
        <v/>
      </c>
      <c r="T196" s="10" t="str">
        <f aca="false">IF($A196&lt;&gt;"Ítem","",G196-S196)</f>
        <v/>
      </c>
      <c r="U196" s="36" t="str">
        <f aca="false">IF(OR($A196&lt;&gt;"Ítem",N(G196)=0),"",T196/G196)</f>
        <v/>
      </c>
      <c r="V196" s="81" t="str">
        <f aca="false">IF(A196="Capítulo",C196,V195)</f>
        <v/>
      </c>
      <c r="W196" s="0" t="str">
        <f aca="false">IF(A196="Capítulo",C196,"")</f>
        <v/>
      </c>
    </row>
    <row r="197" customFormat="false" ht="16.5" hidden="false" customHeight="true" outlineLevel="0" collapsed="false">
      <c r="A197" s="15"/>
      <c r="B197" s="15"/>
      <c r="C197" s="79"/>
      <c r="D197" s="15"/>
      <c r="E197" s="80"/>
      <c r="F197" s="16"/>
      <c r="G197" s="10" t="str">
        <f aca="false">IF($A197&lt;&gt;"Ítem","",E197*F197)</f>
        <v/>
      </c>
      <c r="H197" s="16"/>
      <c r="I197" s="10" t="str">
        <f aca="false">IF($A197&lt;&gt;"Ítem","",N(H197)*IF(p_IVAMat="Sí",1+p_IVA,1))</f>
        <v/>
      </c>
      <c r="J197" s="16"/>
      <c r="K197" s="16"/>
      <c r="L197" s="15"/>
      <c r="M197" s="16"/>
      <c r="N197" s="10" t="str">
        <f aca="false">IF($A197&lt;&gt;"Ítem","",I197+N(J197)+N(K197)+N(M197))</f>
        <v/>
      </c>
      <c r="O197" s="10" t="str">
        <f aca="false">IF($A197&lt;&gt;"Ítem","",E197*I197)</f>
        <v/>
      </c>
      <c r="P197" s="10" t="str">
        <f aca="false">IF($A197&lt;&gt;"Ítem","",E197*N(J197))</f>
        <v/>
      </c>
      <c r="Q197" s="10" t="str">
        <f aca="false">IF($A197&lt;&gt;"Ítem","",E197*N(K197))</f>
        <v/>
      </c>
      <c r="R197" s="10" t="str">
        <f aca="false">IF($A197&lt;&gt;"Ítem","",E197*N(M197))</f>
        <v/>
      </c>
      <c r="S197" s="37" t="str">
        <f aca="false">IF($A197&lt;&gt;"Ítem","",E197*N197)</f>
        <v/>
      </c>
      <c r="T197" s="10" t="str">
        <f aca="false">IF($A197&lt;&gt;"Ítem","",G197-S197)</f>
        <v/>
      </c>
      <c r="U197" s="36" t="str">
        <f aca="false">IF(OR($A197&lt;&gt;"Ítem",N(G197)=0),"",T197/G197)</f>
        <v/>
      </c>
      <c r="V197" s="81" t="str">
        <f aca="false">IF(A197="Capítulo",C197,V196)</f>
        <v/>
      </c>
      <c r="W197" s="0" t="str">
        <f aca="false">IF(A197="Capítulo",C197,"")</f>
        <v/>
      </c>
    </row>
    <row r="198" customFormat="false" ht="16.5" hidden="false" customHeight="true" outlineLevel="0" collapsed="false">
      <c r="A198" s="15"/>
      <c r="B198" s="15"/>
      <c r="C198" s="79"/>
      <c r="D198" s="15"/>
      <c r="E198" s="80"/>
      <c r="F198" s="16"/>
      <c r="G198" s="10" t="str">
        <f aca="false">IF($A198&lt;&gt;"Ítem","",E198*F198)</f>
        <v/>
      </c>
      <c r="H198" s="16"/>
      <c r="I198" s="10" t="str">
        <f aca="false">IF($A198&lt;&gt;"Ítem","",N(H198)*IF(p_IVAMat="Sí",1+p_IVA,1))</f>
        <v/>
      </c>
      <c r="J198" s="16"/>
      <c r="K198" s="16"/>
      <c r="L198" s="15"/>
      <c r="M198" s="16"/>
      <c r="N198" s="10" t="str">
        <f aca="false">IF($A198&lt;&gt;"Ítem","",I198+N(J198)+N(K198)+N(M198))</f>
        <v/>
      </c>
      <c r="O198" s="10" t="str">
        <f aca="false">IF($A198&lt;&gt;"Ítem","",E198*I198)</f>
        <v/>
      </c>
      <c r="P198" s="10" t="str">
        <f aca="false">IF($A198&lt;&gt;"Ítem","",E198*N(J198))</f>
        <v/>
      </c>
      <c r="Q198" s="10" t="str">
        <f aca="false">IF($A198&lt;&gt;"Ítem","",E198*N(K198))</f>
        <v/>
      </c>
      <c r="R198" s="10" t="str">
        <f aca="false">IF($A198&lt;&gt;"Ítem","",E198*N(M198))</f>
        <v/>
      </c>
      <c r="S198" s="37" t="str">
        <f aca="false">IF($A198&lt;&gt;"Ítem","",E198*N198)</f>
        <v/>
      </c>
      <c r="T198" s="10" t="str">
        <f aca="false">IF($A198&lt;&gt;"Ítem","",G198-S198)</f>
        <v/>
      </c>
      <c r="U198" s="36" t="str">
        <f aca="false">IF(OR($A198&lt;&gt;"Ítem",N(G198)=0),"",T198/G198)</f>
        <v/>
      </c>
      <c r="V198" s="81" t="str">
        <f aca="false">IF(A198="Capítulo",C198,V197)</f>
        <v/>
      </c>
      <c r="W198" s="0" t="str">
        <f aca="false">IF(A198="Capítulo",C198,"")</f>
        <v/>
      </c>
    </row>
    <row r="199" customFormat="false" ht="16.5" hidden="false" customHeight="true" outlineLevel="0" collapsed="false">
      <c r="A199" s="15"/>
      <c r="B199" s="15"/>
      <c r="C199" s="79"/>
      <c r="D199" s="15"/>
      <c r="E199" s="80"/>
      <c r="F199" s="16"/>
      <c r="G199" s="10" t="str">
        <f aca="false">IF($A199&lt;&gt;"Ítem","",E199*F199)</f>
        <v/>
      </c>
      <c r="H199" s="16"/>
      <c r="I199" s="10" t="str">
        <f aca="false">IF($A199&lt;&gt;"Ítem","",N(H199)*IF(p_IVAMat="Sí",1+p_IVA,1))</f>
        <v/>
      </c>
      <c r="J199" s="16"/>
      <c r="K199" s="16"/>
      <c r="L199" s="15"/>
      <c r="M199" s="16"/>
      <c r="N199" s="10" t="str">
        <f aca="false">IF($A199&lt;&gt;"Ítem","",I199+N(J199)+N(K199)+N(M199))</f>
        <v/>
      </c>
      <c r="O199" s="10" t="str">
        <f aca="false">IF($A199&lt;&gt;"Ítem","",E199*I199)</f>
        <v/>
      </c>
      <c r="P199" s="10" t="str">
        <f aca="false">IF($A199&lt;&gt;"Ítem","",E199*N(J199))</f>
        <v/>
      </c>
      <c r="Q199" s="10" t="str">
        <f aca="false">IF($A199&lt;&gt;"Ítem","",E199*N(K199))</f>
        <v/>
      </c>
      <c r="R199" s="10" t="str">
        <f aca="false">IF($A199&lt;&gt;"Ítem","",E199*N(M199))</f>
        <v/>
      </c>
      <c r="S199" s="37" t="str">
        <f aca="false">IF($A199&lt;&gt;"Ítem","",E199*N199)</f>
        <v/>
      </c>
      <c r="T199" s="10" t="str">
        <f aca="false">IF($A199&lt;&gt;"Ítem","",G199-S199)</f>
        <v/>
      </c>
      <c r="U199" s="36" t="str">
        <f aca="false">IF(OR($A199&lt;&gt;"Ítem",N(G199)=0),"",T199/G199)</f>
        <v/>
      </c>
      <c r="V199" s="81" t="str">
        <f aca="false">IF(A199="Capítulo",C199,V198)</f>
        <v/>
      </c>
      <c r="W199" s="0" t="str">
        <f aca="false">IF(A199="Capítulo",C199,"")</f>
        <v/>
      </c>
    </row>
    <row r="200" customFormat="false" ht="16.5" hidden="false" customHeight="true" outlineLevel="0" collapsed="false">
      <c r="A200" s="15"/>
      <c r="B200" s="15"/>
      <c r="C200" s="79"/>
      <c r="D200" s="15"/>
      <c r="E200" s="80"/>
      <c r="F200" s="16"/>
      <c r="G200" s="10" t="str">
        <f aca="false">IF($A200&lt;&gt;"Ítem","",E200*F200)</f>
        <v/>
      </c>
      <c r="H200" s="16"/>
      <c r="I200" s="10" t="str">
        <f aca="false">IF($A200&lt;&gt;"Ítem","",N(H200)*IF(p_IVAMat="Sí",1+p_IVA,1))</f>
        <v/>
      </c>
      <c r="J200" s="16"/>
      <c r="K200" s="16"/>
      <c r="L200" s="15"/>
      <c r="M200" s="16"/>
      <c r="N200" s="10" t="str">
        <f aca="false">IF($A200&lt;&gt;"Ítem","",I200+N(J200)+N(K200)+N(M200))</f>
        <v/>
      </c>
      <c r="O200" s="10" t="str">
        <f aca="false">IF($A200&lt;&gt;"Ítem","",E200*I200)</f>
        <v/>
      </c>
      <c r="P200" s="10" t="str">
        <f aca="false">IF($A200&lt;&gt;"Ítem","",E200*N(J200))</f>
        <v/>
      </c>
      <c r="Q200" s="10" t="str">
        <f aca="false">IF($A200&lt;&gt;"Ítem","",E200*N(K200))</f>
        <v/>
      </c>
      <c r="R200" s="10" t="str">
        <f aca="false">IF($A200&lt;&gt;"Ítem","",E200*N(M200))</f>
        <v/>
      </c>
      <c r="S200" s="37" t="str">
        <f aca="false">IF($A200&lt;&gt;"Ítem","",E200*N200)</f>
        <v/>
      </c>
      <c r="T200" s="10" t="str">
        <f aca="false">IF($A200&lt;&gt;"Ítem","",G200-S200)</f>
        <v/>
      </c>
      <c r="U200" s="36" t="str">
        <f aca="false">IF(OR($A200&lt;&gt;"Ítem",N(G200)=0),"",T200/G200)</f>
        <v/>
      </c>
      <c r="V200" s="81" t="str">
        <f aca="false">IF(A200="Capítulo",C200,V199)</f>
        <v/>
      </c>
      <c r="W200" s="0" t="str">
        <f aca="false">IF(A200="Capítulo",C200,"")</f>
        <v/>
      </c>
    </row>
    <row r="201" customFormat="false" ht="16.5" hidden="false" customHeight="true" outlineLevel="0" collapsed="false">
      <c r="A201" s="15"/>
      <c r="B201" s="15"/>
      <c r="C201" s="79"/>
      <c r="D201" s="15"/>
      <c r="E201" s="80"/>
      <c r="F201" s="16"/>
      <c r="G201" s="10" t="str">
        <f aca="false">IF($A201&lt;&gt;"Ítem","",E201*F201)</f>
        <v/>
      </c>
      <c r="H201" s="16"/>
      <c r="I201" s="10" t="str">
        <f aca="false">IF($A201&lt;&gt;"Ítem","",N(H201)*IF(p_IVAMat="Sí",1+p_IVA,1))</f>
        <v/>
      </c>
      <c r="J201" s="16"/>
      <c r="K201" s="16"/>
      <c r="L201" s="15"/>
      <c r="M201" s="16"/>
      <c r="N201" s="10" t="str">
        <f aca="false">IF($A201&lt;&gt;"Ítem","",I201+N(J201)+N(K201)+N(M201))</f>
        <v/>
      </c>
      <c r="O201" s="10" t="str">
        <f aca="false">IF($A201&lt;&gt;"Ítem","",E201*I201)</f>
        <v/>
      </c>
      <c r="P201" s="10" t="str">
        <f aca="false">IF($A201&lt;&gt;"Ítem","",E201*N(J201))</f>
        <v/>
      </c>
      <c r="Q201" s="10" t="str">
        <f aca="false">IF($A201&lt;&gt;"Ítem","",E201*N(K201))</f>
        <v/>
      </c>
      <c r="R201" s="10" t="str">
        <f aca="false">IF($A201&lt;&gt;"Ítem","",E201*N(M201))</f>
        <v/>
      </c>
      <c r="S201" s="37" t="str">
        <f aca="false">IF($A201&lt;&gt;"Ítem","",E201*N201)</f>
        <v/>
      </c>
      <c r="T201" s="10" t="str">
        <f aca="false">IF($A201&lt;&gt;"Ítem","",G201-S201)</f>
        <v/>
      </c>
      <c r="U201" s="36" t="str">
        <f aca="false">IF(OR($A201&lt;&gt;"Ítem",N(G201)=0),"",T201/G201)</f>
        <v/>
      </c>
      <c r="V201" s="81" t="str">
        <f aca="false">IF(A201="Capítulo",C201,V200)</f>
        <v/>
      </c>
      <c r="W201" s="0" t="str">
        <f aca="false">IF(A201="Capítulo",C201,"")</f>
        <v/>
      </c>
    </row>
    <row r="202" customFormat="false" ht="16.5" hidden="false" customHeight="true" outlineLevel="0" collapsed="false">
      <c r="A202" s="15"/>
      <c r="B202" s="15"/>
      <c r="C202" s="79"/>
      <c r="D202" s="15"/>
      <c r="E202" s="80"/>
      <c r="F202" s="16"/>
      <c r="G202" s="10" t="str">
        <f aca="false">IF($A202&lt;&gt;"Ítem","",E202*F202)</f>
        <v/>
      </c>
      <c r="H202" s="16"/>
      <c r="I202" s="10" t="str">
        <f aca="false">IF($A202&lt;&gt;"Ítem","",N(H202)*IF(p_IVAMat="Sí",1+p_IVA,1))</f>
        <v/>
      </c>
      <c r="J202" s="16"/>
      <c r="K202" s="16"/>
      <c r="L202" s="15"/>
      <c r="M202" s="16"/>
      <c r="N202" s="10" t="str">
        <f aca="false">IF($A202&lt;&gt;"Ítem","",I202+N(J202)+N(K202)+N(M202))</f>
        <v/>
      </c>
      <c r="O202" s="10" t="str">
        <f aca="false">IF($A202&lt;&gt;"Ítem","",E202*I202)</f>
        <v/>
      </c>
      <c r="P202" s="10" t="str">
        <f aca="false">IF($A202&lt;&gt;"Ítem","",E202*N(J202))</f>
        <v/>
      </c>
      <c r="Q202" s="10" t="str">
        <f aca="false">IF($A202&lt;&gt;"Ítem","",E202*N(K202))</f>
        <v/>
      </c>
      <c r="R202" s="10" t="str">
        <f aca="false">IF($A202&lt;&gt;"Ítem","",E202*N(M202))</f>
        <v/>
      </c>
      <c r="S202" s="37" t="str">
        <f aca="false">IF($A202&lt;&gt;"Ítem","",E202*N202)</f>
        <v/>
      </c>
      <c r="T202" s="10" t="str">
        <f aca="false">IF($A202&lt;&gt;"Ítem","",G202-S202)</f>
        <v/>
      </c>
      <c r="U202" s="36" t="str">
        <f aca="false">IF(OR($A202&lt;&gt;"Ítem",N(G202)=0),"",T202/G202)</f>
        <v/>
      </c>
      <c r="V202" s="81" t="str">
        <f aca="false">IF(A202="Capítulo",C202,V201)</f>
        <v/>
      </c>
      <c r="W202" s="0" t="str">
        <f aca="false">IF(A202="Capítulo",C202,"")</f>
        <v/>
      </c>
    </row>
    <row r="203" customFormat="false" ht="16.5" hidden="false" customHeight="true" outlineLevel="0" collapsed="false">
      <c r="A203" s="15"/>
      <c r="B203" s="15"/>
      <c r="C203" s="79"/>
      <c r="D203" s="15"/>
      <c r="E203" s="80"/>
      <c r="F203" s="16"/>
      <c r="G203" s="10" t="str">
        <f aca="false">IF($A203&lt;&gt;"Ítem","",E203*F203)</f>
        <v/>
      </c>
      <c r="H203" s="16"/>
      <c r="I203" s="10" t="str">
        <f aca="false">IF($A203&lt;&gt;"Ítem","",N(H203)*IF(p_IVAMat="Sí",1+p_IVA,1))</f>
        <v/>
      </c>
      <c r="J203" s="16"/>
      <c r="K203" s="16"/>
      <c r="L203" s="15"/>
      <c r="M203" s="16"/>
      <c r="N203" s="10" t="str">
        <f aca="false">IF($A203&lt;&gt;"Ítem","",I203+N(J203)+N(K203)+N(M203))</f>
        <v/>
      </c>
      <c r="O203" s="10" t="str">
        <f aca="false">IF($A203&lt;&gt;"Ítem","",E203*I203)</f>
        <v/>
      </c>
      <c r="P203" s="10" t="str">
        <f aca="false">IF($A203&lt;&gt;"Ítem","",E203*N(J203))</f>
        <v/>
      </c>
      <c r="Q203" s="10" t="str">
        <f aca="false">IF($A203&lt;&gt;"Ítem","",E203*N(K203))</f>
        <v/>
      </c>
      <c r="R203" s="10" t="str">
        <f aca="false">IF($A203&lt;&gt;"Ítem","",E203*N(M203))</f>
        <v/>
      </c>
      <c r="S203" s="37" t="str">
        <f aca="false">IF($A203&lt;&gt;"Ítem","",E203*N203)</f>
        <v/>
      </c>
      <c r="T203" s="10" t="str">
        <f aca="false">IF($A203&lt;&gt;"Ítem","",G203-S203)</f>
        <v/>
      </c>
      <c r="U203" s="36" t="str">
        <f aca="false">IF(OR($A203&lt;&gt;"Ítem",N(G203)=0),"",T203/G203)</f>
        <v/>
      </c>
      <c r="V203" s="81" t="str">
        <f aca="false">IF(A203="Capítulo",C203,V202)</f>
        <v/>
      </c>
      <c r="W203" s="0" t="str">
        <f aca="false">IF(A203="Capítulo",C203,"")</f>
        <v/>
      </c>
    </row>
    <row r="204" customFormat="false" ht="16.5" hidden="false" customHeight="true" outlineLevel="0" collapsed="false">
      <c r="A204" s="15"/>
      <c r="B204" s="15"/>
      <c r="C204" s="79"/>
      <c r="D204" s="15"/>
      <c r="E204" s="80"/>
      <c r="F204" s="16"/>
      <c r="G204" s="10" t="str">
        <f aca="false">IF($A204&lt;&gt;"Ítem","",E204*F204)</f>
        <v/>
      </c>
      <c r="H204" s="16"/>
      <c r="I204" s="10" t="str">
        <f aca="false">IF($A204&lt;&gt;"Ítem","",N(H204)*IF(p_IVAMat="Sí",1+p_IVA,1))</f>
        <v/>
      </c>
      <c r="J204" s="16"/>
      <c r="K204" s="16"/>
      <c r="L204" s="15"/>
      <c r="M204" s="16"/>
      <c r="N204" s="10" t="str">
        <f aca="false">IF($A204&lt;&gt;"Ítem","",I204+N(J204)+N(K204)+N(M204))</f>
        <v/>
      </c>
      <c r="O204" s="10" t="str">
        <f aca="false">IF($A204&lt;&gt;"Ítem","",E204*I204)</f>
        <v/>
      </c>
      <c r="P204" s="10" t="str">
        <f aca="false">IF($A204&lt;&gt;"Ítem","",E204*N(J204))</f>
        <v/>
      </c>
      <c r="Q204" s="10" t="str">
        <f aca="false">IF($A204&lt;&gt;"Ítem","",E204*N(K204))</f>
        <v/>
      </c>
      <c r="R204" s="10" t="str">
        <f aca="false">IF($A204&lt;&gt;"Ítem","",E204*N(M204))</f>
        <v/>
      </c>
      <c r="S204" s="37" t="str">
        <f aca="false">IF($A204&lt;&gt;"Ítem","",E204*N204)</f>
        <v/>
      </c>
      <c r="T204" s="10" t="str">
        <f aca="false">IF($A204&lt;&gt;"Ítem","",G204-S204)</f>
        <v/>
      </c>
      <c r="U204" s="36" t="str">
        <f aca="false">IF(OR($A204&lt;&gt;"Ítem",N(G204)=0),"",T204/G204)</f>
        <v/>
      </c>
      <c r="V204" s="81" t="str">
        <f aca="false">IF(A204="Capítulo",C204,V203)</f>
        <v/>
      </c>
      <c r="W204" s="0" t="str">
        <f aca="false">IF(A204="Capítulo",C204,"")</f>
        <v/>
      </c>
    </row>
    <row r="205" customFormat="false" ht="16.5" hidden="false" customHeight="true" outlineLevel="0" collapsed="false">
      <c r="A205" s="15"/>
      <c r="B205" s="15"/>
      <c r="C205" s="79"/>
      <c r="D205" s="15"/>
      <c r="E205" s="80"/>
      <c r="F205" s="16"/>
      <c r="G205" s="10" t="str">
        <f aca="false">IF($A205&lt;&gt;"Ítem","",E205*F205)</f>
        <v/>
      </c>
      <c r="H205" s="16"/>
      <c r="I205" s="10" t="str">
        <f aca="false">IF($A205&lt;&gt;"Ítem","",N(H205)*IF(p_IVAMat="Sí",1+p_IVA,1))</f>
        <v/>
      </c>
      <c r="J205" s="16"/>
      <c r="K205" s="16"/>
      <c r="L205" s="15"/>
      <c r="M205" s="16"/>
      <c r="N205" s="10" t="str">
        <f aca="false">IF($A205&lt;&gt;"Ítem","",I205+N(J205)+N(K205)+N(M205))</f>
        <v/>
      </c>
      <c r="O205" s="10" t="str">
        <f aca="false">IF($A205&lt;&gt;"Ítem","",E205*I205)</f>
        <v/>
      </c>
      <c r="P205" s="10" t="str">
        <f aca="false">IF($A205&lt;&gt;"Ítem","",E205*N(J205))</f>
        <v/>
      </c>
      <c r="Q205" s="10" t="str">
        <f aca="false">IF($A205&lt;&gt;"Ítem","",E205*N(K205))</f>
        <v/>
      </c>
      <c r="R205" s="10" t="str">
        <f aca="false">IF($A205&lt;&gt;"Ítem","",E205*N(M205))</f>
        <v/>
      </c>
      <c r="S205" s="37" t="str">
        <f aca="false">IF($A205&lt;&gt;"Ítem","",E205*N205)</f>
        <v/>
      </c>
      <c r="T205" s="10" t="str">
        <f aca="false">IF($A205&lt;&gt;"Ítem","",G205-S205)</f>
        <v/>
      </c>
      <c r="U205" s="36" t="str">
        <f aca="false">IF(OR($A205&lt;&gt;"Ítem",N(G205)=0),"",T205/G205)</f>
        <v/>
      </c>
      <c r="V205" s="81" t="str">
        <f aca="false">IF(A205="Capítulo",C205,V204)</f>
        <v/>
      </c>
      <c r="W205" s="0" t="str">
        <f aca="false">IF(A205="Capítulo",C205,"")</f>
        <v/>
      </c>
    </row>
    <row r="206" customFormat="false" ht="16.5" hidden="false" customHeight="true" outlineLevel="0" collapsed="false">
      <c r="A206" s="15"/>
      <c r="B206" s="15"/>
      <c r="C206" s="79"/>
      <c r="D206" s="15"/>
      <c r="E206" s="80"/>
      <c r="F206" s="16"/>
      <c r="G206" s="10" t="str">
        <f aca="false">IF($A206&lt;&gt;"Ítem","",E206*F206)</f>
        <v/>
      </c>
      <c r="H206" s="16"/>
      <c r="I206" s="10" t="str">
        <f aca="false">IF($A206&lt;&gt;"Ítem","",N(H206)*IF(p_IVAMat="Sí",1+p_IVA,1))</f>
        <v/>
      </c>
      <c r="J206" s="16"/>
      <c r="K206" s="16"/>
      <c r="L206" s="15"/>
      <c r="M206" s="16"/>
      <c r="N206" s="10" t="str">
        <f aca="false">IF($A206&lt;&gt;"Ítem","",I206+N(J206)+N(K206)+N(M206))</f>
        <v/>
      </c>
      <c r="O206" s="10" t="str">
        <f aca="false">IF($A206&lt;&gt;"Ítem","",E206*I206)</f>
        <v/>
      </c>
      <c r="P206" s="10" t="str">
        <f aca="false">IF($A206&lt;&gt;"Ítem","",E206*N(J206))</f>
        <v/>
      </c>
      <c r="Q206" s="10" t="str">
        <f aca="false">IF($A206&lt;&gt;"Ítem","",E206*N(K206))</f>
        <v/>
      </c>
      <c r="R206" s="10" t="str">
        <f aca="false">IF($A206&lt;&gt;"Ítem","",E206*N(M206))</f>
        <v/>
      </c>
      <c r="S206" s="37" t="str">
        <f aca="false">IF($A206&lt;&gt;"Ítem","",E206*N206)</f>
        <v/>
      </c>
      <c r="T206" s="10" t="str">
        <f aca="false">IF($A206&lt;&gt;"Ítem","",G206-S206)</f>
        <v/>
      </c>
      <c r="U206" s="36" t="str">
        <f aca="false">IF(OR($A206&lt;&gt;"Ítem",N(G206)=0),"",T206/G206)</f>
        <v/>
      </c>
      <c r="V206" s="81" t="str">
        <f aca="false">IF(A206="Capítulo",C206,V205)</f>
        <v/>
      </c>
      <c r="W206" s="0" t="str">
        <f aca="false">IF(A206="Capítulo",C206,"")</f>
        <v/>
      </c>
    </row>
    <row r="207" customFormat="false" ht="12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</sheetData>
  <autoFilter ref="A6:U206"/>
  <mergeCells count="5">
    <mergeCell ref="D1:G1"/>
    <mergeCell ref="H1:U1"/>
    <mergeCell ref="A2:B2"/>
    <mergeCell ref="D2:E2"/>
    <mergeCell ref="J2:K2"/>
  </mergeCells>
  <conditionalFormatting sqref="A7:U206">
    <cfRule type="expression" priority="2" aboveAverage="0" equalAverage="0" bottom="0" percent="0" rank="0" text="" dxfId="46">
      <formula>$A7="Subcapítulo"</formula>
    </cfRule>
    <cfRule type="expression" priority="3" aboveAverage="0" equalAverage="0" bottom="0" percent="0" rank="0" text="" dxfId="47">
      <formula>$A7="Capítulo"</formula>
    </cfRule>
  </conditionalFormatting>
  <conditionalFormatting sqref="U7:U206">
    <cfRule type="expression" priority="4" aboveAverage="0" equalAverage="0" bottom="0" percent="0" rank="0" text="" dxfId="3">
      <formula>AND(ISNUMBER(U7),U7&lt;0.12)</formula>
    </cfRule>
  </conditionalFormatting>
  <dataValidations count="1">
    <dataValidation allowBlank="true" error="Seleccione un valor de la lista" errorStyle="stop" operator="between" showDropDown="false" showErrorMessage="true" showInputMessage="false" sqref="A7:A206" type="list">
      <formula1>lst_Tipo</formula1>
      <formula2>0</formula2>
    </dataValidation>
  </dataValidations>
  <hyperlinks>
    <hyperlink ref="A2" r:id="rId1" location="'INICIO'!A1" display="INICIO"/>
    <hyperlink ref="C2" r:id="rId2" location="'TABLERO'!A1" display="TABLERO"/>
    <hyperlink ref="D2" r:id="rId3" location="'CRONOGRAMA'!A1" display="CRONOGRAMA"/>
    <hyperlink ref="F2" r:id="rId4" location="'PRESUPUESTO'!A1" display="● PRESUPUESTO"/>
    <hyperlink ref="G2" r:id="rId5" location="'CORTES%20CLIENTE'!A1" display="CORTES CLIENTE"/>
    <hyperlink ref="H2" r:id="rId6" location="'MANO%20DE%20OBRA'!A1" display="MANO DE OBRA"/>
    <hyperlink ref="I2" r:id="rId7" location="'GASTOS'!A1" display="GASTOS"/>
    <hyperlink ref="J2" r:id="rId8" location="'CONTROL%20DE%20MATERIALES'!A1" display="MATERIALES"/>
    <hyperlink ref="L2" r:id="rId9" location="'GUÍA%20APP'!A1" display="GUÍ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5C7A"/>
    <pageSetUpPr fitToPage="true"/>
  </sheetPr>
  <dimension ref="A1:P2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19" topLeftCell="C20" activePane="bottomRight" state="frozen"/>
      <selection pane="topLeft" activeCell="A1" activeCellId="0" sqref="A1"/>
      <selection pane="topRight" activeCell="C1" activeCellId="0" sqref="C1"/>
      <selection pane="bottomLeft" activeCell="A20" activeCellId="0" sqref="A20"/>
      <selection pane="bottomRight" activeCell="A1" activeCellId="0" sqref="A1"/>
    </sheetView>
  </sheetViews>
  <sheetFormatPr defaultColWidth="13.00390625" defaultRowHeight="15" zeroHeight="tru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11" min="6" style="0" width="15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6"/>
    <col collapsed="false" customWidth="false" hidden="true" outlineLevel="1" max="16384" min="17" style="0" width="13"/>
  </cols>
  <sheetData>
    <row r="1" customFormat="false" ht="54" hidden="false" customHeight="true" outlineLevel="0" collapsed="false">
      <c r="A1" s="1"/>
      <c r="B1" s="1"/>
      <c r="C1" s="2" t="s">
        <v>227</v>
      </c>
      <c r="D1" s="2"/>
      <c r="E1" s="2"/>
      <c r="F1" s="2"/>
      <c r="G1" s="3" t="s">
        <v>228</v>
      </c>
      <c r="H1" s="3"/>
      <c r="I1" s="3"/>
      <c r="J1" s="3"/>
      <c r="K1" s="3"/>
      <c r="L1" s="3"/>
      <c r="M1" s="3"/>
      <c r="N1" s="3"/>
      <c r="O1" s="3"/>
      <c r="P1" s="3"/>
    </row>
    <row r="2" customFormat="false" ht="24" hidden="false" customHeight="true" outlineLevel="0" collapsed="false">
      <c r="A2" s="5" t="s">
        <v>88</v>
      </c>
      <c r="B2" s="5"/>
      <c r="C2" s="5" t="s">
        <v>3</v>
      </c>
      <c r="D2" s="5"/>
      <c r="E2" s="5" t="s">
        <v>4</v>
      </c>
      <c r="F2" s="5" t="s">
        <v>5</v>
      </c>
      <c r="G2" s="4" t="s">
        <v>229</v>
      </c>
      <c r="H2" s="5" t="s">
        <v>7</v>
      </c>
      <c r="I2" s="5" t="s">
        <v>8</v>
      </c>
      <c r="J2" s="5" t="s">
        <v>9</v>
      </c>
      <c r="K2" s="5" t="s">
        <v>10</v>
      </c>
      <c r="L2" s="29"/>
      <c r="M2" s="29"/>
      <c r="N2" s="29"/>
      <c r="O2" s="29"/>
      <c r="P2" s="29"/>
    </row>
    <row r="3" customFormat="false" ht="16.5" hidden="false" customHeight="true" outlineLevel="0" collapsed="false">
      <c r="A3" s="30" t="str">
        <f aca="false">n_Proyecto&amp;"  ·  Cliente: "&amp;n_Cliente</f>
        <v>  ·  Cliente: 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Format="false" ht="16.5" hidden="false" customHeight="true" outlineLevel="0" collapsed="false">
      <c r="A4" s="82" t="s">
        <v>230</v>
      </c>
      <c r="B4" s="82"/>
      <c r="C4" s="82"/>
      <c r="D4" s="82"/>
      <c r="E4" s="82"/>
      <c r="F4" s="77" t="s">
        <v>231</v>
      </c>
      <c r="G4" s="77" t="s">
        <v>232</v>
      </c>
      <c r="H4" s="77" t="s">
        <v>233</v>
      </c>
      <c r="I4" s="77" t="s">
        <v>234</v>
      </c>
      <c r="J4" s="77" t="s">
        <v>235</v>
      </c>
      <c r="K4" s="77" t="s">
        <v>236</v>
      </c>
      <c r="L4" s="35" t="s">
        <v>237</v>
      </c>
      <c r="M4" s="6"/>
      <c r="N4" s="6"/>
      <c r="O4" s="6"/>
      <c r="P4" s="6"/>
    </row>
    <row r="5" customFormat="false" ht="16.5" hidden="false" customHeight="true" outlineLevel="0" collapsed="false">
      <c r="A5" s="82" t="s">
        <v>238</v>
      </c>
      <c r="B5" s="82"/>
      <c r="C5" s="82"/>
      <c r="D5" s="82"/>
      <c r="E5" s="82"/>
      <c r="F5" s="83"/>
      <c r="G5" s="83"/>
      <c r="H5" s="83"/>
      <c r="I5" s="83"/>
      <c r="J5" s="83"/>
      <c r="K5" s="83"/>
      <c r="L5" s="43"/>
      <c r="M5" s="6"/>
      <c r="N5" s="6"/>
      <c r="O5" s="6"/>
      <c r="P5" s="6"/>
    </row>
    <row r="6" customFormat="false" ht="16.5" hidden="false" customHeight="true" outlineLevel="0" collapsed="false">
      <c r="A6" s="82" t="s">
        <v>239</v>
      </c>
      <c r="B6" s="82"/>
      <c r="C6" s="82"/>
      <c r="D6" s="82"/>
      <c r="E6" s="82"/>
      <c r="F6" s="10" t="n">
        <f aca="false">SUMPRODUCT(F20:F219,$E$20:$E$219)</f>
        <v>0</v>
      </c>
      <c r="G6" s="10" t="n">
        <f aca="false">SUMPRODUCT(G20:G219,$E$20:$E$219)</f>
        <v>0</v>
      </c>
      <c r="H6" s="10" t="n">
        <f aca="false">SUMPRODUCT(H20:H219,$E$20:$E$219)</f>
        <v>0</v>
      </c>
      <c r="I6" s="10" t="n">
        <f aca="false">SUMPRODUCT(I20:I219,$E$20:$E$219)</f>
        <v>0</v>
      </c>
      <c r="J6" s="10" t="n">
        <f aca="false">SUMPRODUCT(J20:J219,$E$20:$E$219)</f>
        <v>0</v>
      </c>
      <c r="K6" s="10" t="n">
        <f aca="false">SUMPRODUCT(K20:K219,$E$20:$E$219)</f>
        <v>0</v>
      </c>
      <c r="L6" s="13" t="n">
        <f aca="false">SUM(F6:K6)</f>
        <v>0</v>
      </c>
      <c r="M6" s="6"/>
      <c r="N6" s="6"/>
      <c r="O6" s="6"/>
      <c r="P6" s="6"/>
    </row>
    <row r="7" customFormat="false" ht="16.5" hidden="false" customHeight="true" outlineLevel="0" collapsed="false">
      <c r="A7" s="82" t="s">
        <v>16</v>
      </c>
      <c r="B7" s="82"/>
      <c r="C7" s="82"/>
      <c r="D7" s="82"/>
      <c r="E7" s="82"/>
      <c r="F7" s="10" t="n">
        <f aca="false">F6*p_Admin</f>
        <v>0</v>
      </c>
      <c r="G7" s="10" t="n">
        <f aca="false">G6*p_Admin</f>
        <v>0</v>
      </c>
      <c r="H7" s="10" t="n">
        <f aca="false">H6*p_Admin</f>
        <v>0</v>
      </c>
      <c r="I7" s="10" t="n">
        <f aca="false">I6*p_Admin</f>
        <v>0</v>
      </c>
      <c r="J7" s="10" t="n">
        <f aca="false">J6*p_Admin</f>
        <v>0</v>
      </c>
      <c r="K7" s="10" t="n">
        <f aca="false">K6*p_Admin</f>
        <v>0</v>
      </c>
      <c r="L7" s="13" t="n">
        <f aca="false">SUM(F7:K7)</f>
        <v>0</v>
      </c>
      <c r="M7" s="6"/>
      <c r="N7" s="6"/>
      <c r="O7" s="6"/>
      <c r="P7" s="6"/>
    </row>
    <row r="8" customFormat="false" ht="16.5" hidden="false" customHeight="true" outlineLevel="0" collapsed="false">
      <c r="A8" s="82" t="s">
        <v>18</v>
      </c>
      <c r="B8" s="82"/>
      <c r="C8" s="82"/>
      <c r="D8" s="82"/>
      <c r="E8" s="82"/>
      <c r="F8" s="10" t="n">
        <f aca="false">F6*p_Imprev</f>
        <v>0</v>
      </c>
      <c r="G8" s="10" t="n">
        <f aca="false">G6*p_Imprev</f>
        <v>0</v>
      </c>
      <c r="H8" s="10" t="n">
        <f aca="false">H6*p_Imprev</f>
        <v>0</v>
      </c>
      <c r="I8" s="10" t="n">
        <f aca="false">I6*p_Imprev</f>
        <v>0</v>
      </c>
      <c r="J8" s="10" t="n">
        <f aca="false">J6*p_Imprev</f>
        <v>0</v>
      </c>
      <c r="K8" s="10" t="n">
        <f aca="false">K6*p_Imprev</f>
        <v>0</v>
      </c>
      <c r="L8" s="13" t="n">
        <f aca="false">SUM(F8:K8)</f>
        <v>0</v>
      </c>
      <c r="M8" s="6"/>
      <c r="N8" s="6"/>
      <c r="O8" s="6"/>
      <c r="P8" s="6"/>
    </row>
    <row r="9" customFormat="false" ht="16.5" hidden="false" customHeight="true" outlineLevel="0" collapsed="false">
      <c r="A9" s="82" t="s">
        <v>20</v>
      </c>
      <c r="B9" s="82"/>
      <c r="C9" s="82"/>
      <c r="D9" s="82"/>
      <c r="E9" s="82"/>
      <c r="F9" s="10" t="n">
        <f aca="false">F6*p_Util</f>
        <v>0</v>
      </c>
      <c r="G9" s="10" t="n">
        <f aca="false">G6*p_Util</f>
        <v>0</v>
      </c>
      <c r="H9" s="10" t="n">
        <f aca="false">H6*p_Util</f>
        <v>0</v>
      </c>
      <c r="I9" s="10" t="n">
        <f aca="false">I6*p_Util</f>
        <v>0</v>
      </c>
      <c r="J9" s="10" t="n">
        <f aca="false">J6*p_Util</f>
        <v>0</v>
      </c>
      <c r="K9" s="10" t="n">
        <f aca="false">K6*p_Util</f>
        <v>0</v>
      </c>
      <c r="L9" s="13" t="n">
        <f aca="false">SUM(F9:K9)</f>
        <v>0</v>
      </c>
      <c r="M9" s="6"/>
      <c r="N9" s="6"/>
      <c r="O9" s="6"/>
      <c r="P9" s="6"/>
    </row>
    <row r="10" customFormat="false" ht="16.5" hidden="false" customHeight="true" outlineLevel="0" collapsed="false">
      <c r="A10" s="82" t="s">
        <v>22</v>
      </c>
      <c r="B10" s="82"/>
      <c r="C10" s="82"/>
      <c r="D10" s="82"/>
      <c r="E10" s="82"/>
      <c r="F10" s="10" t="n">
        <f aca="false">F9*p_IVA</f>
        <v>0</v>
      </c>
      <c r="G10" s="10" t="n">
        <f aca="false">G9*p_IVA</f>
        <v>0</v>
      </c>
      <c r="H10" s="10" t="n">
        <f aca="false">H9*p_IVA</f>
        <v>0</v>
      </c>
      <c r="I10" s="10" t="n">
        <f aca="false">I9*p_IVA</f>
        <v>0</v>
      </c>
      <c r="J10" s="10" t="n">
        <f aca="false">J9*p_IVA</f>
        <v>0</v>
      </c>
      <c r="K10" s="10" t="n">
        <f aca="false">K9*p_IVA</f>
        <v>0</v>
      </c>
      <c r="L10" s="13" t="n">
        <f aca="false">SUM(F10:K10)</f>
        <v>0</v>
      </c>
      <c r="M10" s="6"/>
      <c r="N10" s="6"/>
      <c r="O10" s="6"/>
      <c r="P10" s="6"/>
    </row>
    <row r="11" customFormat="false" ht="16.5" hidden="false" customHeight="true" outlineLevel="0" collapsed="false">
      <c r="A11" s="84" t="s">
        <v>240</v>
      </c>
      <c r="B11" s="84"/>
      <c r="C11" s="84"/>
      <c r="D11" s="84"/>
      <c r="E11" s="84"/>
      <c r="F11" s="13" t="n">
        <f aca="false">SUM(F6:F10)</f>
        <v>0</v>
      </c>
      <c r="G11" s="13" t="n">
        <f aca="false">SUM(G6:G10)</f>
        <v>0</v>
      </c>
      <c r="H11" s="13" t="n">
        <f aca="false">SUM(H6:H10)</f>
        <v>0</v>
      </c>
      <c r="I11" s="13" t="n">
        <f aca="false">SUM(I6:I10)</f>
        <v>0</v>
      </c>
      <c r="J11" s="13" t="n">
        <f aca="false">SUM(J6:J10)</f>
        <v>0</v>
      </c>
      <c r="K11" s="13" t="n">
        <f aca="false">SUM(K6:K10)</f>
        <v>0</v>
      </c>
      <c r="L11" s="13" t="n">
        <f aca="false">SUM(F11:K11)</f>
        <v>0</v>
      </c>
      <c r="M11" s="6"/>
      <c r="N11" s="6"/>
      <c r="O11" s="6"/>
      <c r="P11" s="6"/>
    </row>
    <row r="12" customFormat="false" ht="16.5" hidden="false" customHeight="true" outlineLevel="0" collapsed="false">
      <c r="A12" s="82" t="s">
        <v>241</v>
      </c>
      <c r="B12" s="82"/>
      <c r="C12" s="82"/>
      <c r="D12" s="82"/>
      <c r="E12" s="82"/>
      <c r="F12" s="10" t="n">
        <f aca="false">-F11*p_Anticipo</f>
        <v>-0</v>
      </c>
      <c r="G12" s="10" t="n">
        <f aca="false">-G11*p_Anticipo</f>
        <v>-0</v>
      </c>
      <c r="H12" s="10" t="n">
        <f aca="false">-H11*p_Anticipo</f>
        <v>-0</v>
      </c>
      <c r="I12" s="10" t="n">
        <f aca="false">-I11*p_Anticipo</f>
        <v>-0</v>
      </c>
      <c r="J12" s="10" t="n">
        <f aca="false">-J11*p_Anticipo</f>
        <v>-0</v>
      </c>
      <c r="K12" s="10" t="n">
        <f aca="false">-K11*p_Anticipo</f>
        <v>-0</v>
      </c>
      <c r="L12" s="13" t="n">
        <f aca="false">SUM(F12:K12)</f>
        <v>0</v>
      </c>
      <c r="M12" s="6"/>
      <c r="N12" s="6"/>
      <c r="O12" s="6"/>
      <c r="P12" s="6"/>
    </row>
    <row r="13" customFormat="false" ht="16.5" hidden="false" customHeight="true" outlineLevel="0" collapsed="false">
      <c r="A13" s="84" t="s">
        <v>242</v>
      </c>
      <c r="B13" s="84"/>
      <c r="C13" s="84"/>
      <c r="D13" s="84"/>
      <c r="E13" s="84"/>
      <c r="F13" s="13" t="n">
        <f aca="false">F11+F12</f>
        <v>0</v>
      </c>
      <c r="G13" s="13" t="n">
        <f aca="false">G11+G12</f>
        <v>0</v>
      </c>
      <c r="H13" s="13" t="n">
        <f aca="false">H11+H12</f>
        <v>0</v>
      </c>
      <c r="I13" s="13" t="n">
        <f aca="false">I11+I12</f>
        <v>0</v>
      </c>
      <c r="J13" s="13" t="n">
        <f aca="false">J11+J12</f>
        <v>0</v>
      </c>
      <c r="K13" s="13" t="n">
        <f aca="false">K11+K12</f>
        <v>0</v>
      </c>
      <c r="L13" s="13" t="n">
        <f aca="false">SUM(F13:K13)</f>
        <v>0</v>
      </c>
      <c r="M13" s="6"/>
      <c r="N13" s="6"/>
      <c r="O13" s="6"/>
      <c r="P13" s="6"/>
    </row>
    <row r="14" customFormat="false" ht="16.5" hidden="false" customHeight="true" outlineLevel="0" collapsed="false">
      <c r="A14" s="82" t="s">
        <v>243</v>
      </c>
      <c r="B14" s="82"/>
      <c r="C14" s="82"/>
      <c r="D14" s="82"/>
      <c r="E14" s="82"/>
      <c r="F14" s="85"/>
      <c r="G14" s="85"/>
      <c r="H14" s="85"/>
      <c r="I14" s="85"/>
      <c r="J14" s="85"/>
      <c r="K14" s="85"/>
      <c r="L14" s="43"/>
      <c r="M14" s="6"/>
      <c r="N14" s="6"/>
      <c r="O14" s="6"/>
      <c r="P14" s="6"/>
    </row>
    <row r="15" customFormat="false" ht="16.5" hidden="false" customHeight="true" outlineLevel="0" collapsed="false">
      <c r="A15" s="82" t="s">
        <v>244</v>
      </c>
      <c r="B15" s="82"/>
      <c r="C15" s="82"/>
      <c r="D15" s="82"/>
      <c r="E15" s="82"/>
      <c r="F15" s="83"/>
      <c r="G15" s="83"/>
      <c r="H15" s="83"/>
      <c r="I15" s="83"/>
      <c r="J15" s="83"/>
      <c r="K15" s="83"/>
      <c r="L15" s="43"/>
      <c r="M15" s="6"/>
      <c r="N15" s="6"/>
      <c r="O15" s="6"/>
      <c r="P15" s="6"/>
    </row>
    <row r="16" customFormat="false" ht="16.5" hidden="false" customHeight="true" outlineLevel="0" collapsed="false">
      <c r="A16" s="82" t="s">
        <v>245</v>
      </c>
      <c r="B16" s="82"/>
      <c r="C16" s="82"/>
      <c r="D16" s="82"/>
      <c r="E16" s="82"/>
      <c r="F16" s="85"/>
      <c r="G16" s="85"/>
      <c r="H16" s="85"/>
      <c r="I16" s="85"/>
      <c r="J16" s="85"/>
      <c r="K16" s="85"/>
      <c r="L16" s="43"/>
      <c r="M16" s="6"/>
      <c r="N16" s="6"/>
      <c r="O16" s="6"/>
      <c r="P16" s="6"/>
    </row>
    <row r="17" customFormat="false" ht="16.5" hidden="false" customHeight="true" outlineLevel="0" collapsed="false">
      <c r="A17" s="82" t="s">
        <v>246</v>
      </c>
      <c r="B17" s="82"/>
      <c r="C17" s="82"/>
      <c r="D17" s="82"/>
      <c r="E17" s="82"/>
      <c r="F17" s="16"/>
      <c r="G17" s="16"/>
      <c r="H17" s="16"/>
      <c r="I17" s="16"/>
      <c r="J17" s="16"/>
      <c r="K17" s="16"/>
      <c r="L17" s="13" t="n">
        <f aca="false">SUM(F17:K17)</f>
        <v>0</v>
      </c>
      <c r="M17" s="6"/>
      <c r="N17" s="6"/>
      <c r="O17" s="6"/>
      <c r="P17" s="6"/>
    </row>
    <row r="18" customFormat="false" ht="16.5" hidden="false" customHeight="true" outlineLevel="0" collapsed="false">
      <c r="A18" s="84" t="s">
        <v>247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41" t="str">
        <f aca="false">IF(v_CD=0,"",O18/v_CD)</f>
        <v/>
      </c>
      <c r="O18" s="13" t="n">
        <f aca="false">SUM(O20:O219)</f>
        <v>0</v>
      </c>
      <c r="P18" s="13" t="n">
        <f aca="false">SUM(P20:P219)</f>
        <v>0</v>
      </c>
    </row>
    <row r="19" customFormat="false" ht="31.5" hidden="false" customHeight="true" outlineLevel="0" collapsed="false">
      <c r="A19" s="35" t="s">
        <v>206</v>
      </c>
      <c r="B19" s="35" t="s">
        <v>207</v>
      </c>
      <c r="C19" s="35" t="s">
        <v>208</v>
      </c>
      <c r="D19" s="35" t="s">
        <v>248</v>
      </c>
      <c r="E19" s="35" t="s">
        <v>210</v>
      </c>
      <c r="F19" s="77" t="s">
        <v>249</v>
      </c>
      <c r="G19" s="77" t="s">
        <v>250</v>
      </c>
      <c r="H19" s="77" t="s">
        <v>251</v>
      </c>
      <c r="I19" s="77" t="s">
        <v>252</v>
      </c>
      <c r="J19" s="77" t="s">
        <v>253</v>
      </c>
      <c r="K19" s="77" t="s">
        <v>254</v>
      </c>
      <c r="L19" s="35" t="s">
        <v>255</v>
      </c>
      <c r="M19" s="35" t="s">
        <v>256</v>
      </c>
      <c r="N19" s="35" t="s">
        <v>257</v>
      </c>
      <c r="O19" s="35" t="s">
        <v>258</v>
      </c>
      <c r="P19" s="35" t="s">
        <v>259</v>
      </c>
    </row>
    <row r="20" customFormat="false" ht="16.5" hidden="false" customHeight="true" outlineLevel="0" collapsed="false">
      <c r="A20" s="23" t="str">
        <f aca="false">IF(PRESUPUESTO!$A7="Ítem",PRESUPUESTO!B7,"")</f>
        <v/>
      </c>
      <c r="B20" s="23" t="str">
        <f aca="false">IF(PRESUPUESTO!C7="","",PRESUPUESTO!C7)</f>
        <v/>
      </c>
      <c r="C20" s="86" t="str">
        <f aca="false">IF(PRESUPUESTO!$A7="Ítem",PRESUPUESTO!D7,"")</f>
        <v/>
      </c>
      <c r="D20" s="87" t="str">
        <f aca="false">IF(PRESUPUESTO!$A7="Ítem",PRESUPUESTO!E7,"")</f>
        <v/>
      </c>
      <c r="E20" s="10" t="str">
        <f aca="false">IF(D20="","",PRESUPUESTO!F7)</f>
        <v/>
      </c>
      <c r="F20" s="80"/>
      <c r="G20" s="80"/>
      <c r="H20" s="80"/>
      <c r="I20" s="80"/>
      <c r="J20" s="80"/>
      <c r="K20" s="80"/>
      <c r="L20" s="88" t="str">
        <f aca="false">IF(D20="","",SUM(F20:K20))</f>
        <v/>
      </c>
      <c r="M20" s="87" t="str">
        <f aca="false">IF(D20="","",D20-L20)</f>
        <v/>
      </c>
      <c r="N20" s="36" t="str">
        <f aca="false">IF(OR(D20="",N(D20)=0),"",L20/D20)</f>
        <v/>
      </c>
      <c r="O20" s="10" t="str">
        <f aca="false">IF(D20="","",L20*E20)</f>
        <v/>
      </c>
      <c r="P20" s="10" t="str">
        <f aca="false">IF(D20="","",M20*E20)</f>
        <v/>
      </c>
    </row>
    <row r="21" customFormat="false" ht="16.5" hidden="false" customHeight="true" outlineLevel="0" collapsed="false">
      <c r="A21" s="23" t="str">
        <f aca="false">IF(PRESUPUESTO!$A8="Ítem",PRESUPUESTO!B8,"")</f>
        <v/>
      </c>
      <c r="B21" s="23" t="str">
        <f aca="false">IF(PRESUPUESTO!C8="","",PRESUPUESTO!C8)</f>
        <v/>
      </c>
      <c r="C21" s="86" t="str">
        <f aca="false">IF(PRESUPUESTO!$A8="Ítem",PRESUPUESTO!D8,"")</f>
        <v/>
      </c>
      <c r="D21" s="87" t="str">
        <f aca="false">IF(PRESUPUESTO!$A8="Ítem",PRESUPUESTO!E8,"")</f>
        <v/>
      </c>
      <c r="E21" s="10" t="str">
        <f aca="false">IF(D21="","",PRESUPUESTO!F8)</f>
        <v/>
      </c>
      <c r="F21" s="80"/>
      <c r="G21" s="80"/>
      <c r="H21" s="80"/>
      <c r="I21" s="80"/>
      <c r="J21" s="80"/>
      <c r="K21" s="80"/>
      <c r="L21" s="88" t="str">
        <f aca="false">IF(D21="","",SUM(F21:K21))</f>
        <v/>
      </c>
      <c r="M21" s="87" t="str">
        <f aca="false">IF(D21="","",D21-L21)</f>
        <v/>
      </c>
      <c r="N21" s="36" t="str">
        <f aca="false">IF(OR(D21="",N(D21)=0),"",L21/D21)</f>
        <v/>
      </c>
      <c r="O21" s="10" t="str">
        <f aca="false">IF(D21="","",L21*E21)</f>
        <v/>
      </c>
      <c r="P21" s="10" t="str">
        <f aca="false">IF(D21="","",M21*E21)</f>
        <v/>
      </c>
    </row>
    <row r="22" customFormat="false" ht="16.5" hidden="false" customHeight="true" outlineLevel="0" collapsed="false">
      <c r="A22" s="23" t="str">
        <f aca="false">IF(PRESUPUESTO!$A9="Ítem",PRESUPUESTO!B9,"")</f>
        <v/>
      </c>
      <c r="B22" s="23" t="str">
        <f aca="false">IF(PRESUPUESTO!C9="","",PRESUPUESTO!C9)</f>
        <v/>
      </c>
      <c r="C22" s="86" t="str">
        <f aca="false">IF(PRESUPUESTO!$A9="Ítem",PRESUPUESTO!D9,"")</f>
        <v/>
      </c>
      <c r="D22" s="87" t="str">
        <f aca="false">IF(PRESUPUESTO!$A9="Ítem",PRESUPUESTO!E9,"")</f>
        <v/>
      </c>
      <c r="E22" s="10" t="str">
        <f aca="false">IF(D22="","",PRESUPUESTO!F9)</f>
        <v/>
      </c>
      <c r="F22" s="80"/>
      <c r="G22" s="80"/>
      <c r="H22" s="80"/>
      <c r="I22" s="80"/>
      <c r="J22" s="80"/>
      <c r="K22" s="80"/>
      <c r="L22" s="88" t="str">
        <f aca="false">IF(D22="","",SUM(F22:K22))</f>
        <v/>
      </c>
      <c r="M22" s="87" t="str">
        <f aca="false">IF(D22="","",D22-L22)</f>
        <v/>
      </c>
      <c r="N22" s="36" t="str">
        <f aca="false">IF(OR(D22="",N(D22)=0),"",L22/D22)</f>
        <v/>
      </c>
      <c r="O22" s="10" t="str">
        <f aca="false">IF(D22="","",L22*E22)</f>
        <v/>
      </c>
      <c r="P22" s="10" t="str">
        <f aca="false">IF(D22="","",M22*E22)</f>
        <v/>
      </c>
    </row>
    <row r="23" customFormat="false" ht="16.5" hidden="false" customHeight="true" outlineLevel="0" collapsed="false">
      <c r="A23" s="23" t="str">
        <f aca="false">IF(PRESUPUESTO!$A10="Ítem",PRESUPUESTO!B10,"")</f>
        <v/>
      </c>
      <c r="B23" s="23" t="str">
        <f aca="false">IF(PRESUPUESTO!C10="","",PRESUPUESTO!C10)</f>
        <v/>
      </c>
      <c r="C23" s="86" t="str">
        <f aca="false">IF(PRESUPUESTO!$A10="Ítem",PRESUPUESTO!D10,"")</f>
        <v/>
      </c>
      <c r="D23" s="87" t="str">
        <f aca="false">IF(PRESUPUESTO!$A10="Ítem",PRESUPUESTO!E10,"")</f>
        <v/>
      </c>
      <c r="E23" s="10" t="str">
        <f aca="false">IF(D23="","",PRESUPUESTO!F10)</f>
        <v/>
      </c>
      <c r="F23" s="80"/>
      <c r="G23" s="80"/>
      <c r="H23" s="80"/>
      <c r="I23" s="80"/>
      <c r="J23" s="80"/>
      <c r="K23" s="80"/>
      <c r="L23" s="88" t="str">
        <f aca="false">IF(D23="","",SUM(F23:K23))</f>
        <v/>
      </c>
      <c r="M23" s="87" t="str">
        <f aca="false">IF(D23="","",D23-L23)</f>
        <v/>
      </c>
      <c r="N23" s="36" t="str">
        <f aca="false">IF(OR(D23="",N(D23)=0),"",L23/D23)</f>
        <v/>
      </c>
      <c r="O23" s="10" t="str">
        <f aca="false">IF(D23="","",L23*E23)</f>
        <v/>
      </c>
      <c r="P23" s="10" t="str">
        <f aca="false">IF(D23="","",M23*E23)</f>
        <v/>
      </c>
    </row>
    <row r="24" customFormat="false" ht="16.5" hidden="false" customHeight="true" outlineLevel="0" collapsed="false">
      <c r="A24" s="23" t="str">
        <f aca="false">IF(PRESUPUESTO!$A11="Ítem",PRESUPUESTO!B11,"")</f>
        <v/>
      </c>
      <c r="B24" s="23" t="str">
        <f aca="false">IF(PRESUPUESTO!C11="","",PRESUPUESTO!C11)</f>
        <v/>
      </c>
      <c r="C24" s="86" t="str">
        <f aca="false">IF(PRESUPUESTO!$A11="Ítem",PRESUPUESTO!D11,"")</f>
        <v/>
      </c>
      <c r="D24" s="87" t="str">
        <f aca="false">IF(PRESUPUESTO!$A11="Ítem",PRESUPUESTO!E11,"")</f>
        <v/>
      </c>
      <c r="E24" s="10" t="str">
        <f aca="false">IF(D24="","",PRESUPUESTO!F11)</f>
        <v/>
      </c>
      <c r="F24" s="80"/>
      <c r="G24" s="80"/>
      <c r="H24" s="80"/>
      <c r="I24" s="80"/>
      <c r="J24" s="80"/>
      <c r="K24" s="80"/>
      <c r="L24" s="88" t="str">
        <f aca="false">IF(D24="","",SUM(F24:K24))</f>
        <v/>
      </c>
      <c r="M24" s="87" t="str">
        <f aca="false">IF(D24="","",D24-L24)</f>
        <v/>
      </c>
      <c r="N24" s="36" t="str">
        <f aca="false">IF(OR(D24="",N(D24)=0),"",L24/D24)</f>
        <v/>
      </c>
      <c r="O24" s="10" t="str">
        <f aca="false">IF(D24="","",L24*E24)</f>
        <v/>
      </c>
      <c r="P24" s="10" t="str">
        <f aca="false">IF(D24="","",M24*E24)</f>
        <v/>
      </c>
    </row>
    <row r="25" customFormat="false" ht="16.5" hidden="false" customHeight="true" outlineLevel="0" collapsed="false">
      <c r="A25" s="23" t="str">
        <f aca="false">IF(PRESUPUESTO!$A12="Ítem",PRESUPUESTO!B12,"")</f>
        <v/>
      </c>
      <c r="B25" s="23" t="str">
        <f aca="false">IF(PRESUPUESTO!C12="","",PRESUPUESTO!C12)</f>
        <v/>
      </c>
      <c r="C25" s="86" t="str">
        <f aca="false">IF(PRESUPUESTO!$A12="Ítem",PRESUPUESTO!D12,"")</f>
        <v/>
      </c>
      <c r="D25" s="87" t="str">
        <f aca="false">IF(PRESUPUESTO!$A12="Ítem",PRESUPUESTO!E12,"")</f>
        <v/>
      </c>
      <c r="E25" s="10" t="str">
        <f aca="false">IF(D25="","",PRESUPUESTO!F12)</f>
        <v/>
      </c>
      <c r="F25" s="80"/>
      <c r="G25" s="80"/>
      <c r="H25" s="80"/>
      <c r="I25" s="80"/>
      <c r="J25" s="80"/>
      <c r="K25" s="80"/>
      <c r="L25" s="88" t="str">
        <f aca="false">IF(D25="","",SUM(F25:K25))</f>
        <v/>
      </c>
      <c r="M25" s="87" t="str">
        <f aca="false">IF(D25="","",D25-L25)</f>
        <v/>
      </c>
      <c r="N25" s="36" t="str">
        <f aca="false">IF(OR(D25="",N(D25)=0),"",L25/D25)</f>
        <v/>
      </c>
      <c r="O25" s="10" t="str">
        <f aca="false">IF(D25="","",L25*E25)</f>
        <v/>
      </c>
      <c r="P25" s="10" t="str">
        <f aca="false">IF(D25="","",M25*E25)</f>
        <v/>
      </c>
    </row>
    <row r="26" customFormat="false" ht="16.5" hidden="false" customHeight="true" outlineLevel="0" collapsed="false">
      <c r="A26" s="23" t="str">
        <f aca="false">IF(PRESUPUESTO!$A13="Ítem",PRESUPUESTO!B13,"")</f>
        <v/>
      </c>
      <c r="B26" s="23" t="str">
        <f aca="false">IF(PRESUPUESTO!C13="","",PRESUPUESTO!C13)</f>
        <v/>
      </c>
      <c r="C26" s="86" t="str">
        <f aca="false">IF(PRESUPUESTO!$A13="Ítem",PRESUPUESTO!D13,"")</f>
        <v/>
      </c>
      <c r="D26" s="87" t="str">
        <f aca="false">IF(PRESUPUESTO!$A13="Ítem",PRESUPUESTO!E13,"")</f>
        <v/>
      </c>
      <c r="E26" s="10" t="str">
        <f aca="false">IF(D26="","",PRESUPUESTO!F13)</f>
        <v/>
      </c>
      <c r="F26" s="80"/>
      <c r="G26" s="80"/>
      <c r="H26" s="80"/>
      <c r="I26" s="80"/>
      <c r="J26" s="80"/>
      <c r="K26" s="80"/>
      <c r="L26" s="88" t="str">
        <f aca="false">IF(D26="","",SUM(F26:K26))</f>
        <v/>
      </c>
      <c r="M26" s="87" t="str">
        <f aca="false">IF(D26="","",D26-L26)</f>
        <v/>
      </c>
      <c r="N26" s="36" t="str">
        <f aca="false">IF(OR(D26="",N(D26)=0),"",L26/D26)</f>
        <v/>
      </c>
      <c r="O26" s="10" t="str">
        <f aca="false">IF(D26="","",L26*E26)</f>
        <v/>
      </c>
      <c r="P26" s="10" t="str">
        <f aca="false">IF(D26="","",M26*E26)</f>
        <v/>
      </c>
    </row>
    <row r="27" customFormat="false" ht="16.5" hidden="false" customHeight="true" outlineLevel="0" collapsed="false">
      <c r="A27" s="23" t="str">
        <f aca="false">IF(PRESUPUESTO!$A14="Ítem",PRESUPUESTO!B14,"")</f>
        <v/>
      </c>
      <c r="B27" s="23" t="str">
        <f aca="false">IF(PRESUPUESTO!C14="","",PRESUPUESTO!C14)</f>
        <v/>
      </c>
      <c r="C27" s="86" t="str">
        <f aca="false">IF(PRESUPUESTO!$A14="Ítem",PRESUPUESTO!D14,"")</f>
        <v/>
      </c>
      <c r="D27" s="87" t="str">
        <f aca="false">IF(PRESUPUESTO!$A14="Ítem",PRESUPUESTO!E14,"")</f>
        <v/>
      </c>
      <c r="E27" s="10" t="str">
        <f aca="false">IF(D27="","",PRESUPUESTO!F14)</f>
        <v/>
      </c>
      <c r="F27" s="80"/>
      <c r="G27" s="80"/>
      <c r="H27" s="80"/>
      <c r="I27" s="80"/>
      <c r="J27" s="80"/>
      <c r="K27" s="80"/>
      <c r="L27" s="88" t="str">
        <f aca="false">IF(D27="","",SUM(F27:K27))</f>
        <v/>
      </c>
      <c r="M27" s="87" t="str">
        <f aca="false">IF(D27="","",D27-L27)</f>
        <v/>
      </c>
      <c r="N27" s="36" t="str">
        <f aca="false">IF(OR(D27="",N(D27)=0),"",L27/D27)</f>
        <v/>
      </c>
      <c r="O27" s="10" t="str">
        <f aca="false">IF(D27="","",L27*E27)</f>
        <v/>
      </c>
      <c r="P27" s="10" t="str">
        <f aca="false">IF(D27="","",M27*E27)</f>
        <v/>
      </c>
    </row>
    <row r="28" customFormat="false" ht="16.5" hidden="false" customHeight="true" outlineLevel="0" collapsed="false">
      <c r="A28" s="23" t="str">
        <f aca="false">IF(PRESUPUESTO!$A15="Ítem",PRESUPUESTO!B15,"")</f>
        <v/>
      </c>
      <c r="B28" s="23" t="str">
        <f aca="false">IF(PRESUPUESTO!C15="","",PRESUPUESTO!C15)</f>
        <v/>
      </c>
      <c r="C28" s="86" t="str">
        <f aca="false">IF(PRESUPUESTO!$A15="Ítem",PRESUPUESTO!D15,"")</f>
        <v/>
      </c>
      <c r="D28" s="87" t="str">
        <f aca="false">IF(PRESUPUESTO!$A15="Ítem",PRESUPUESTO!E15,"")</f>
        <v/>
      </c>
      <c r="E28" s="10" t="str">
        <f aca="false">IF(D28="","",PRESUPUESTO!F15)</f>
        <v/>
      </c>
      <c r="F28" s="80"/>
      <c r="G28" s="80"/>
      <c r="H28" s="80"/>
      <c r="I28" s="80"/>
      <c r="J28" s="80"/>
      <c r="K28" s="80"/>
      <c r="L28" s="88" t="str">
        <f aca="false">IF(D28="","",SUM(F28:K28))</f>
        <v/>
      </c>
      <c r="M28" s="87" t="str">
        <f aca="false">IF(D28="","",D28-L28)</f>
        <v/>
      </c>
      <c r="N28" s="36" t="str">
        <f aca="false">IF(OR(D28="",N(D28)=0),"",L28/D28)</f>
        <v/>
      </c>
      <c r="O28" s="10" t="str">
        <f aca="false">IF(D28="","",L28*E28)</f>
        <v/>
      </c>
      <c r="P28" s="10" t="str">
        <f aca="false">IF(D28="","",M28*E28)</f>
        <v/>
      </c>
    </row>
    <row r="29" customFormat="false" ht="16.5" hidden="false" customHeight="true" outlineLevel="0" collapsed="false">
      <c r="A29" s="23" t="str">
        <f aca="false">IF(PRESUPUESTO!$A16="Ítem",PRESUPUESTO!B16,"")</f>
        <v/>
      </c>
      <c r="B29" s="23" t="str">
        <f aca="false">IF(PRESUPUESTO!C16="","",PRESUPUESTO!C16)</f>
        <v/>
      </c>
      <c r="C29" s="86" t="str">
        <f aca="false">IF(PRESUPUESTO!$A16="Ítem",PRESUPUESTO!D16,"")</f>
        <v/>
      </c>
      <c r="D29" s="87" t="str">
        <f aca="false">IF(PRESUPUESTO!$A16="Ítem",PRESUPUESTO!E16,"")</f>
        <v/>
      </c>
      <c r="E29" s="10" t="str">
        <f aca="false">IF(D29="","",PRESUPUESTO!F16)</f>
        <v/>
      </c>
      <c r="F29" s="80"/>
      <c r="G29" s="80"/>
      <c r="H29" s="80"/>
      <c r="I29" s="80"/>
      <c r="J29" s="80"/>
      <c r="K29" s="80"/>
      <c r="L29" s="88" t="str">
        <f aca="false">IF(D29="","",SUM(F29:K29))</f>
        <v/>
      </c>
      <c r="M29" s="87" t="str">
        <f aca="false">IF(D29="","",D29-L29)</f>
        <v/>
      </c>
      <c r="N29" s="36" t="str">
        <f aca="false">IF(OR(D29="",N(D29)=0),"",L29/D29)</f>
        <v/>
      </c>
      <c r="O29" s="10" t="str">
        <f aca="false">IF(D29="","",L29*E29)</f>
        <v/>
      </c>
      <c r="P29" s="10" t="str">
        <f aca="false">IF(D29="","",M29*E29)</f>
        <v/>
      </c>
    </row>
    <row r="30" customFormat="false" ht="16.5" hidden="false" customHeight="true" outlineLevel="0" collapsed="false">
      <c r="A30" s="23" t="str">
        <f aca="false">IF(PRESUPUESTO!$A17="Ítem",PRESUPUESTO!B17,"")</f>
        <v/>
      </c>
      <c r="B30" s="23" t="str">
        <f aca="false">IF(PRESUPUESTO!C17="","",PRESUPUESTO!C17)</f>
        <v/>
      </c>
      <c r="C30" s="86" t="str">
        <f aca="false">IF(PRESUPUESTO!$A17="Ítem",PRESUPUESTO!D17,"")</f>
        <v/>
      </c>
      <c r="D30" s="87" t="str">
        <f aca="false">IF(PRESUPUESTO!$A17="Ítem",PRESUPUESTO!E17,"")</f>
        <v/>
      </c>
      <c r="E30" s="10" t="str">
        <f aca="false">IF(D30="","",PRESUPUESTO!F17)</f>
        <v/>
      </c>
      <c r="F30" s="80"/>
      <c r="G30" s="80"/>
      <c r="H30" s="80"/>
      <c r="I30" s="80"/>
      <c r="J30" s="80"/>
      <c r="K30" s="80"/>
      <c r="L30" s="88" t="str">
        <f aca="false">IF(D30="","",SUM(F30:K30))</f>
        <v/>
      </c>
      <c r="M30" s="87" t="str">
        <f aca="false">IF(D30="","",D30-L30)</f>
        <v/>
      </c>
      <c r="N30" s="36" t="str">
        <f aca="false">IF(OR(D30="",N(D30)=0),"",L30/D30)</f>
        <v/>
      </c>
      <c r="O30" s="10" t="str">
        <f aca="false">IF(D30="","",L30*E30)</f>
        <v/>
      </c>
      <c r="P30" s="10" t="str">
        <f aca="false">IF(D30="","",M30*E30)</f>
        <v/>
      </c>
    </row>
    <row r="31" customFormat="false" ht="16.5" hidden="false" customHeight="true" outlineLevel="0" collapsed="false">
      <c r="A31" s="23" t="str">
        <f aca="false">IF(PRESUPUESTO!$A18="Ítem",PRESUPUESTO!B18,"")</f>
        <v/>
      </c>
      <c r="B31" s="23" t="str">
        <f aca="false">IF(PRESUPUESTO!C18="","",PRESUPUESTO!C18)</f>
        <v/>
      </c>
      <c r="C31" s="86" t="str">
        <f aca="false">IF(PRESUPUESTO!$A18="Ítem",PRESUPUESTO!D18,"")</f>
        <v/>
      </c>
      <c r="D31" s="87" t="str">
        <f aca="false">IF(PRESUPUESTO!$A18="Ítem",PRESUPUESTO!E18,"")</f>
        <v/>
      </c>
      <c r="E31" s="10" t="str">
        <f aca="false">IF(D31="","",PRESUPUESTO!F18)</f>
        <v/>
      </c>
      <c r="F31" s="80"/>
      <c r="G31" s="80"/>
      <c r="H31" s="80"/>
      <c r="I31" s="80"/>
      <c r="J31" s="80"/>
      <c r="K31" s="80"/>
      <c r="L31" s="88" t="str">
        <f aca="false">IF(D31="","",SUM(F31:K31))</f>
        <v/>
      </c>
      <c r="M31" s="87" t="str">
        <f aca="false">IF(D31="","",D31-L31)</f>
        <v/>
      </c>
      <c r="N31" s="36" t="str">
        <f aca="false">IF(OR(D31="",N(D31)=0),"",L31/D31)</f>
        <v/>
      </c>
      <c r="O31" s="10" t="str">
        <f aca="false">IF(D31="","",L31*E31)</f>
        <v/>
      </c>
      <c r="P31" s="10" t="str">
        <f aca="false">IF(D31="","",M31*E31)</f>
        <v/>
      </c>
    </row>
    <row r="32" customFormat="false" ht="16.5" hidden="false" customHeight="true" outlineLevel="0" collapsed="false">
      <c r="A32" s="23" t="str">
        <f aca="false">IF(PRESUPUESTO!$A19="Ítem",PRESUPUESTO!B19,"")</f>
        <v/>
      </c>
      <c r="B32" s="23" t="str">
        <f aca="false">IF(PRESUPUESTO!C19="","",PRESUPUESTO!C19)</f>
        <v/>
      </c>
      <c r="C32" s="86" t="str">
        <f aca="false">IF(PRESUPUESTO!$A19="Ítem",PRESUPUESTO!D19,"")</f>
        <v/>
      </c>
      <c r="D32" s="87" t="str">
        <f aca="false">IF(PRESUPUESTO!$A19="Ítem",PRESUPUESTO!E19,"")</f>
        <v/>
      </c>
      <c r="E32" s="10" t="str">
        <f aca="false">IF(D32="","",PRESUPUESTO!F19)</f>
        <v/>
      </c>
      <c r="F32" s="80"/>
      <c r="G32" s="80"/>
      <c r="H32" s="80"/>
      <c r="I32" s="80"/>
      <c r="J32" s="80"/>
      <c r="K32" s="80"/>
      <c r="L32" s="88" t="str">
        <f aca="false">IF(D32="","",SUM(F32:K32))</f>
        <v/>
      </c>
      <c r="M32" s="87" t="str">
        <f aca="false">IF(D32="","",D32-L32)</f>
        <v/>
      </c>
      <c r="N32" s="36" t="str">
        <f aca="false">IF(OR(D32="",N(D32)=0),"",L32/D32)</f>
        <v/>
      </c>
      <c r="O32" s="10" t="str">
        <f aca="false">IF(D32="","",L32*E32)</f>
        <v/>
      </c>
      <c r="P32" s="10" t="str">
        <f aca="false">IF(D32="","",M32*E32)</f>
        <v/>
      </c>
    </row>
    <row r="33" customFormat="false" ht="16.5" hidden="false" customHeight="true" outlineLevel="0" collapsed="false">
      <c r="A33" s="23" t="str">
        <f aca="false">IF(PRESUPUESTO!$A20="Ítem",PRESUPUESTO!B20,"")</f>
        <v/>
      </c>
      <c r="B33" s="23" t="str">
        <f aca="false">IF(PRESUPUESTO!C20="","",PRESUPUESTO!C20)</f>
        <v/>
      </c>
      <c r="C33" s="86" t="str">
        <f aca="false">IF(PRESUPUESTO!$A20="Ítem",PRESUPUESTO!D20,"")</f>
        <v/>
      </c>
      <c r="D33" s="87" t="str">
        <f aca="false">IF(PRESUPUESTO!$A20="Ítem",PRESUPUESTO!E20,"")</f>
        <v/>
      </c>
      <c r="E33" s="10" t="str">
        <f aca="false">IF(D33="","",PRESUPUESTO!F20)</f>
        <v/>
      </c>
      <c r="F33" s="80"/>
      <c r="G33" s="80"/>
      <c r="H33" s="80"/>
      <c r="I33" s="80"/>
      <c r="J33" s="80"/>
      <c r="K33" s="80"/>
      <c r="L33" s="88" t="str">
        <f aca="false">IF(D33="","",SUM(F33:K33))</f>
        <v/>
      </c>
      <c r="M33" s="87" t="str">
        <f aca="false">IF(D33="","",D33-L33)</f>
        <v/>
      </c>
      <c r="N33" s="36" t="str">
        <f aca="false">IF(OR(D33="",N(D33)=0),"",L33/D33)</f>
        <v/>
      </c>
      <c r="O33" s="10" t="str">
        <f aca="false">IF(D33="","",L33*E33)</f>
        <v/>
      </c>
      <c r="P33" s="10" t="str">
        <f aca="false">IF(D33="","",M33*E33)</f>
        <v/>
      </c>
    </row>
    <row r="34" customFormat="false" ht="16.5" hidden="false" customHeight="true" outlineLevel="0" collapsed="false">
      <c r="A34" s="23" t="str">
        <f aca="false">IF(PRESUPUESTO!$A21="Ítem",PRESUPUESTO!B21,"")</f>
        <v/>
      </c>
      <c r="B34" s="23" t="str">
        <f aca="false">IF(PRESUPUESTO!C21="","",PRESUPUESTO!C21)</f>
        <v/>
      </c>
      <c r="C34" s="86" t="str">
        <f aca="false">IF(PRESUPUESTO!$A21="Ítem",PRESUPUESTO!D21,"")</f>
        <v/>
      </c>
      <c r="D34" s="87" t="str">
        <f aca="false">IF(PRESUPUESTO!$A21="Ítem",PRESUPUESTO!E21,"")</f>
        <v/>
      </c>
      <c r="E34" s="10" t="str">
        <f aca="false">IF(D34="","",PRESUPUESTO!F21)</f>
        <v/>
      </c>
      <c r="F34" s="80"/>
      <c r="G34" s="80"/>
      <c r="H34" s="80"/>
      <c r="I34" s="80"/>
      <c r="J34" s="80"/>
      <c r="K34" s="80"/>
      <c r="L34" s="88" t="str">
        <f aca="false">IF(D34="","",SUM(F34:K34))</f>
        <v/>
      </c>
      <c r="M34" s="87" t="str">
        <f aca="false">IF(D34="","",D34-L34)</f>
        <v/>
      </c>
      <c r="N34" s="36" t="str">
        <f aca="false">IF(OR(D34="",N(D34)=0),"",L34/D34)</f>
        <v/>
      </c>
      <c r="O34" s="10" t="str">
        <f aca="false">IF(D34="","",L34*E34)</f>
        <v/>
      </c>
      <c r="P34" s="10" t="str">
        <f aca="false">IF(D34="","",M34*E34)</f>
        <v/>
      </c>
    </row>
    <row r="35" customFormat="false" ht="16.5" hidden="false" customHeight="true" outlineLevel="0" collapsed="false">
      <c r="A35" s="23" t="str">
        <f aca="false">IF(PRESUPUESTO!$A22="Ítem",PRESUPUESTO!B22,"")</f>
        <v/>
      </c>
      <c r="B35" s="23" t="str">
        <f aca="false">IF(PRESUPUESTO!C22="","",PRESUPUESTO!C22)</f>
        <v/>
      </c>
      <c r="C35" s="86" t="str">
        <f aca="false">IF(PRESUPUESTO!$A22="Ítem",PRESUPUESTO!D22,"")</f>
        <v/>
      </c>
      <c r="D35" s="87" t="str">
        <f aca="false">IF(PRESUPUESTO!$A22="Ítem",PRESUPUESTO!E22,"")</f>
        <v/>
      </c>
      <c r="E35" s="10" t="str">
        <f aca="false">IF(D35="","",PRESUPUESTO!F22)</f>
        <v/>
      </c>
      <c r="F35" s="80"/>
      <c r="G35" s="80"/>
      <c r="H35" s="80"/>
      <c r="I35" s="80"/>
      <c r="J35" s="80"/>
      <c r="K35" s="80"/>
      <c r="L35" s="88" t="str">
        <f aca="false">IF(D35="","",SUM(F35:K35))</f>
        <v/>
      </c>
      <c r="M35" s="87" t="str">
        <f aca="false">IF(D35="","",D35-L35)</f>
        <v/>
      </c>
      <c r="N35" s="36" t="str">
        <f aca="false">IF(OR(D35="",N(D35)=0),"",L35/D35)</f>
        <v/>
      </c>
      <c r="O35" s="10" t="str">
        <f aca="false">IF(D35="","",L35*E35)</f>
        <v/>
      </c>
      <c r="P35" s="10" t="str">
        <f aca="false">IF(D35="","",M35*E35)</f>
        <v/>
      </c>
    </row>
    <row r="36" customFormat="false" ht="16.5" hidden="false" customHeight="true" outlineLevel="0" collapsed="false">
      <c r="A36" s="23" t="str">
        <f aca="false">IF(PRESUPUESTO!$A23="Ítem",PRESUPUESTO!B23,"")</f>
        <v/>
      </c>
      <c r="B36" s="23" t="str">
        <f aca="false">IF(PRESUPUESTO!C23="","",PRESUPUESTO!C23)</f>
        <v/>
      </c>
      <c r="C36" s="86" t="str">
        <f aca="false">IF(PRESUPUESTO!$A23="Ítem",PRESUPUESTO!D23,"")</f>
        <v/>
      </c>
      <c r="D36" s="87" t="str">
        <f aca="false">IF(PRESUPUESTO!$A23="Ítem",PRESUPUESTO!E23,"")</f>
        <v/>
      </c>
      <c r="E36" s="10" t="str">
        <f aca="false">IF(D36="","",PRESUPUESTO!F23)</f>
        <v/>
      </c>
      <c r="F36" s="80"/>
      <c r="G36" s="80"/>
      <c r="H36" s="80"/>
      <c r="I36" s="80"/>
      <c r="J36" s="80"/>
      <c r="K36" s="80"/>
      <c r="L36" s="88" t="str">
        <f aca="false">IF(D36="","",SUM(F36:K36))</f>
        <v/>
      </c>
      <c r="M36" s="87" t="str">
        <f aca="false">IF(D36="","",D36-L36)</f>
        <v/>
      </c>
      <c r="N36" s="36" t="str">
        <f aca="false">IF(OR(D36="",N(D36)=0),"",L36/D36)</f>
        <v/>
      </c>
      <c r="O36" s="10" t="str">
        <f aca="false">IF(D36="","",L36*E36)</f>
        <v/>
      </c>
      <c r="P36" s="10" t="str">
        <f aca="false">IF(D36="","",M36*E36)</f>
        <v/>
      </c>
    </row>
    <row r="37" customFormat="false" ht="16.5" hidden="false" customHeight="true" outlineLevel="0" collapsed="false">
      <c r="A37" s="23" t="str">
        <f aca="false">IF(PRESUPUESTO!$A24="Ítem",PRESUPUESTO!B24,"")</f>
        <v/>
      </c>
      <c r="B37" s="23" t="str">
        <f aca="false">IF(PRESUPUESTO!C24="","",PRESUPUESTO!C24)</f>
        <v/>
      </c>
      <c r="C37" s="86" t="str">
        <f aca="false">IF(PRESUPUESTO!$A24="Ítem",PRESUPUESTO!D24,"")</f>
        <v/>
      </c>
      <c r="D37" s="87" t="str">
        <f aca="false">IF(PRESUPUESTO!$A24="Ítem",PRESUPUESTO!E24,"")</f>
        <v/>
      </c>
      <c r="E37" s="10" t="str">
        <f aca="false">IF(D37="","",PRESUPUESTO!F24)</f>
        <v/>
      </c>
      <c r="F37" s="80"/>
      <c r="G37" s="80"/>
      <c r="H37" s="80"/>
      <c r="I37" s="80"/>
      <c r="J37" s="80"/>
      <c r="K37" s="80"/>
      <c r="L37" s="88" t="str">
        <f aca="false">IF(D37="","",SUM(F37:K37))</f>
        <v/>
      </c>
      <c r="M37" s="87" t="str">
        <f aca="false">IF(D37="","",D37-L37)</f>
        <v/>
      </c>
      <c r="N37" s="36" t="str">
        <f aca="false">IF(OR(D37="",N(D37)=0),"",L37/D37)</f>
        <v/>
      </c>
      <c r="O37" s="10" t="str">
        <f aca="false">IF(D37="","",L37*E37)</f>
        <v/>
      </c>
      <c r="P37" s="10" t="str">
        <f aca="false">IF(D37="","",M37*E37)</f>
        <v/>
      </c>
    </row>
    <row r="38" customFormat="false" ht="16.5" hidden="false" customHeight="true" outlineLevel="0" collapsed="false">
      <c r="A38" s="23" t="str">
        <f aca="false">IF(PRESUPUESTO!$A25="Ítem",PRESUPUESTO!B25,"")</f>
        <v/>
      </c>
      <c r="B38" s="23" t="str">
        <f aca="false">IF(PRESUPUESTO!C25="","",PRESUPUESTO!C25)</f>
        <v/>
      </c>
      <c r="C38" s="86" t="str">
        <f aca="false">IF(PRESUPUESTO!$A25="Ítem",PRESUPUESTO!D25,"")</f>
        <v/>
      </c>
      <c r="D38" s="87" t="str">
        <f aca="false">IF(PRESUPUESTO!$A25="Ítem",PRESUPUESTO!E25,"")</f>
        <v/>
      </c>
      <c r="E38" s="10" t="str">
        <f aca="false">IF(D38="","",PRESUPUESTO!F25)</f>
        <v/>
      </c>
      <c r="F38" s="80"/>
      <c r="G38" s="80"/>
      <c r="H38" s="80"/>
      <c r="I38" s="80"/>
      <c r="J38" s="80"/>
      <c r="K38" s="80"/>
      <c r="L38" s="88" t="str">
        <f aca="false">IF(D38="","",SUM(F38:K38))</f>
        <v/>
      </c>
      <c r="M38" s="87" t="str">
        <f aca="false">IF(D38="","",D38-L38)</f>
        <v/>
      </c>
      <c r="N38" s="36" t="str">
        <f aca="false">IF(OR(D38="",N(D38)=0),"",L38/D38)</f>
        <v/>
      </c>
      <c r="O38" s="10" t="str">
        <f aca="false">IF(D38="","",L38*E38)</f>
        <v/>
      </c>
      <c r="P38" s="10" t="str">
        <f aca="false">IF(D38="","",M38*E38)</f>
        <v/>
      </c>
    </row>
    <row r="39" customFormat="false" ht="16.5" hidden="false" customHeight="true" outlineLevel="0" collapsed="false">
      <c r="A39" s="23" t="str">
        <f aca="false">IF(PRESUPUESTO!$A26="Ítem",PRESUPUESTO!B26,"")</f>
        <v/>
      </c>
      <c r="B39" s="23" t="str">
        <f aca="false">IF(PRESUPUESTO!C26="","",PRESUPUESTO!C26)</f>
        <v/>
      </c>
      <c r="C39" s="86" t="str">
        <f aca="false">IF(PRESUPUESTO!$A26="Ítem",PRESUPUESTO!D26,"")</f>
        <v/>
      </c>
      <c r="D39" s="87" t="str">
        <f aca="false">IF(PRESUPUESTO!$A26="Ítem",PRESUPUESTO!E26,"")</f>
        <v/>
      </c>
      <c r="E39" s="10" t="str">
        <f aca="false">IF(D39="","",PRESUPUESTO!F26)</f>
        <v/>
      </c>
      <c r="F39" s="80"/>
      <c r="G39" s="80"/>
      <c r="H39" s="80"/>
      <c r="I39" s="80"/>
      <c r="J39" s="80"/>
      <c r="K39" s="80"/>
      <c r="L39" s="88" t="str">
        <f aca="false">IF(D39="","",SUM(F39:K39))</f>
        <v/>
      </c>
      <c r="M39" s="87" t="str">
        <f aca="false">IF(D39="","",D39-L39)</f>
        <v/>
      </c>
      <c r="N39" s="36" t="str">
        <f aca="false">IF(OR(D39="",N(D39)=0),"",L39/D39)</f>
        <v/>
      </c>
      <c r="O39" s="10" t="str">
        <f aca="false">IF(D39="","",L39*E39)</f>
        <v/>
      </c>
      <c r="P39" s="10" t="str">
        <f aca="false">IF(D39="","",M39*E39)</f>
        <v/>
      </c>
    </row>
    <row r="40" customFormat="false" ht="16.5" hidden="false" customHeight="true" outlineLevel="0" collapsed="false">
      <c r="A40" s="23" t="str">
        <f aca="false">IF(PRESUPUESTO!$A27="Ítem",PRESUPUESTO!B27,"")</f>
        <v/>
      </c>
      <c r="B40" s="23" t="str">
        <f aca="false">IF(PRESUPUESTO!C27="","",PRESUPUESTO!C27)</f>
        <v/>
      </c>
      <c r="C40" s="86" t="str">
        <f aca="false">IF(PRESUPUESTO!$A27="Ítem",PRESUPUESTO!D27,"")</f>
        <v/>
      </c>
      <c r="D40" s="87" t="str">
        <f aca="false">IF(PRESUPUESTO!$A27="Ítem",PRESUPUESTO!E27,"")</f>
        <v/>
      </c>
      <c r="E40" s="10" t="str">
        <f aca="false">IF(D40="","",PRESUPUESTO!F27)</f>
        <v/>
      </c>
      <c r="F40" s="80"/>
      <c r="G40" s="80"/>
      <c r="H40" s="80"/>
      <c r="I40" s="80"/>
      <c r="J40" s="80"/>
      <c r="K40" s="80"/>
      <c r="L40" s="88" t="str">
        <f aca="false">IF(D40="","",SUM(F40:K40))</f>
        <v/>
      </c>
      <c r="M40" s="87" t="str">
        <f aca="false">IF(D40="","",D40-L40)</f>
        <v/>
      </c>
      <c r="N40" s="36" t="str">
        <f aca="false">IF(OR(D40="",N(D40)=0),"",L40/D40)</f>
        <v/>
      </c>
      <c r="O40" s="10" t="str">
        <f aca="false">IF(D40="","",L40*E40)</f>
        <v/>
      </c>
      <c r="P40" s="10" t="str">
        <f aca="false">IF(D40="","",M40*E40)</f>
        <v/>
      </c>
    </row>
    <row r="41" customFormat="false" ht="16.5" hidden="false" customHeight="true" outlineLevel="0" collapsed="false">
      <c r="A41" s="23" t="str">
        <f aca="false">IF(PRESUPUESTO!$A28="Ítem",PRESUPUESTO!B28,"")</f>
        <v/>
      </c>
      <c r="B41" s="23" t="str">
        <f aca="false">IF(PRESUPUESTO!C28="","",PRESUPUESTO!C28)</f>
        <v/>
      </c>
      <c r="C41" s="86" t="str">
        <f aca="false">IF(PRESUPUESTO!$A28="Ítem",PRESUPUESTO!D28,"")</f>
        <v/>
      </c>
      <c r="D41" s="87" t="str">
        <f aca="false">IF(PRESUPUESTO!$A28="Ítem",PRESUPUESTO!E28,"")</f>
        <v/>
      </c>
      <c r="E41" s="10" t="str">
        <f aca="false">IF(D41="","",PRESUPUESTO!F28)</f>
        <v/>
      </c>
      <c r="F41" s="80"/>
      <c r="G41" s="80"/>
      <c r="H41" s="80"/>
      <c r="I41" s="80"/>
      <c r="J41" s="80"/>
      <c r="K41" s="80"/>
      <c r="L41" s="88" t="str">
        <f aca="false">IF(D41="","",SUM(F41:K41))</f>
        <v/>
      </c>
      <c r="M41" s="87" t="str">
        <f aca="false">IF(D41="","",D41-L41)</f>
        <v/>
      </c>
      <c r="N41" s="36" t="str">
        <f aca="false">IF(OR(D41="",N(D41)=0),"",L41/D41)</f>
        <v/>
      </c>
      <c r="O41" s="10" t="str">
        <f aca="false">IF(D41="","",L41*E41)</f>
        <v/>
      </c>
      <c r="P41" s="10" t="str">
        <f aca="false">IF(D41="","",M41*E41)</f>
        <v/>
      </c>
    </row>
    <row r="42" customFormat="false" ht="16.5" hidden="false" customHeight="true" outlineLevel="0" collapsed="false">
      <c r="A42" s="23" t="str">
        <f aca="false">IF(PRESUPUESTO!$A29="Ítem",PRESUPUESTO!B29,"")</f>
        <v/>
      </c>
      <c r="B42" s="23" t="str">
        <f aca="false">IF(PRESUPUESTO!C29="","",PRESUPUESTO!C29)</f>
        <v/>
      </c>
      <c r="C42" s="86" t="str">
        <f aca="false">IF(PRESUPUESTO!$A29="Ítem",PRESUPUESTO!D29,"")</f>
        <v/>
      </c>
      <c r="D42" s="87" t="str">
        <f aca="false">IF(PRESUPUESTO!$A29="Ítem",PRESUPUESTO!E29,"")</f>
        <v/>
      </c>
      <c r="E42" s="10" t="str">
        <f aca="false">IF(D42="","",PRESUPUESTO!F29)</f>
        <v/>
      </c>
      <c r="F42" s="80"/>
      <c r="G42" s="80"/>
      <c r="H42" s="80"/>
      <c r="I42" s="80"/>
      <c r="J42" s="80"/>
      <c r="K42" s="80"/>
      <c r="L42" s="88" t="str">
        <f aca="false">IF(D42="","",SUM(F42:K42))</f>
        <v/>
      </c>
      <c r="M42" s="87" t="str">
        <f aca="false">IF(D42="","",D42-L42)</f>
        <v/>
      </c>
      <c r="N42" s="36" t="str">
        <f aca="false">IF(OR(D42="",N(D42)=0),"",L42/D42)</f>
        <v/>
      </c>
      <c r="O42" s="10" t="str">
        <f aca="false">IF(D42="","",L42*E42)</f>
        <v/>
      </c>
      <c r="P42" s="10" t="str">
        <f aca="false">IF(D42="","",M42*E42)</f>
        <v/>
      </c>
    </row>
    <row r="43" customFormat="false" ht="16.5" hidden="false" customHeight="true" outlineLevel="0" collapsed="false">
      <c r="A43" s="23" t="str">
        <f aca="false">IF(PRESUPUESTO!$A30="Ítem",PRESUPUESTO!B30,"")</f>
        <v/>
      </c>
      <c r="B43" s="23" t="str">
        <f aca="false">IF(PRESUPUESTO!C30="","",PRESUPUESTO!C30)</f>
        <v/>
      </c>
      <c r="C43" s="86" t="str">
        <f aca="false">IF(PRESUPUESTO!$A30="Ítem",PRESUPUESTO!D30,"")</f>
        <v/>
      </c>
      <c r="D43" s="87" t="str">
        <f aca="false">IF(PRESUPUESTO!$A30="Ítem",PRESUPUESTO!E30,"")</f>
        <v/>
      </c>
      <c r="E43" s="10" t="str">
        <f aca="false">IF(D43="","",PRESUPUESTO!F30)</f>
        <v/>
      </c>
      <c r="F43" s="80"/>
      <c r="G43" s="80"/>
      <c r="H43" s="80"/>
      <c r="I43" s="80"/>
      <c r="J43" s="80"/>
      <c r="K43" s="80"/>
      <c r="L43" s="88" t="str">
        <f aca="false">IF(D43="","",SUM(F43:K43))</f>
        <v/>
      </c>
      <c r="M43" s="87" t="str">
        <f aca="false">IF(D43="","",D43-L43)</f>
        <v/>
      </c>
      <c r="N43" s="36" t="str">
        <f aca="false">IF(OR(D43="",N(D43)=0),"",L43/D43)</f>
        <v/>
      </c>
      <c r="O43" s="10" t="str">
        <f aca="false">IF(D43="","",L43*E43)</f>
        <v/>
      </c>
      <c r="P43" s="10" t="str">
        <f aca="false">IF(D43="","",M43*E43)</f>
        <v/>
      </c>
    </row>
    <row r="44" customFormat="false" ht="16.5" hidden="false" customHeight="true" outlineLevel="0" collapsed="false">
      <c r="A44" s="23" t="str">
        <f aca="false">IF(PRESUPUESTO!$A31="Ítem",PRESUPUESTO!B31,"")</f>
        <v/>
      </c>
      <c r="B44" s="23" t="str">
        <f aca="false">IF(PRESUPUESTO!C31="","",PRESUPUESTO!C31)</f>
        <v/>
      </c>
      <c r="C44" s="86" t="str">
        <f aca="false">IF(PRESUPUESTO!$A31="Ítem",PRESUPUESTO!D31,"")</f>
        <v/>
      </c>
      <c r="D44" s="87" t="str">
        <f aca="false">IF(PRESUPUESTO!$A31="Ítem",PRESUPUESTO!E31,"")</f>
        <v/>
      </c>
      <c r="E44" s="10" t="str">
        <f aca="false">IF(D44="","",PRESUPUESTO!F31)</f>
        <v/>
      </c>
      <c r="F44" s="80"/>
      <c r="G44" s="80"/>
      <c r="H44" s="80"/>
      <c r="I44" s="80"/>
      <c r="J44" s="80"/>
      <c r="K44" s="80"/>
      <c r="L44" s="88" t="str">
        <f aca="false">IF(D44="","",SUM(F44:K44))</f>
        <v/>
      </c>
      <c r="M44" s="87" t="str">
        <f aca="false">IF(D44="","",D44-L44)</f>
        <v/>
      </c>
      <c r="N44" s="36" t="str">
        <f aca="false">IF(OR(D44="",N(D44)=0),"",L44/D44)</f>
        <v/>
      </c>
      <c r="O44" s="10" t="str">
        <f aca="false">IF(D44="","",L44*E44)</f>
        <v/>
      </c>
      <c r="P44" s="10" t="str">
        <f aca="false">IF(D44="","",M44*E44)</f>
        <v/>
      </c>
    </row>
    <row r="45" customFormat="false" ht="16.5" hidden="false" customHeight="true" outlineLevel="0" collapsed="false">
      <c r="A45" s="23" t="str">
        <f aca="false">IF(PRESUPUESTO!$A32="Ítem",PRESUPUESTO!B32,"")</f>
        <v/>
      </c>
      <c r="B45" s="23" t="str">
        <f aca="false">IF(PRESUPUESTO!C32="","",PRESUPUESTO!C32)</f>
        <v/>
      </c>
      <c r="C45" s="86" t="str">
        <f aca="false">IF(PRESUPUESTO!$A32="Ítem",PRESUPUESTO!D32,"")</f>
        <v/>
      </c>
      <c r="D45" s="87" t="str">
        <f aca="false">IF(PRESUPUESTO!$A32="Ítem",PRESUPUESTO!E32,"")</f>
        <v/>
      </c>
      <c r="E45" s="10" t="str">
        <f aca="false">IF(D45="","",PRESUPUESTO!F32)</f>
        <v/>
      </c>
      <c r="F45" s="80"/>
      <c r="G45" s="80"/>
      <c r="H45" s="80"/>
      <c r="I45" s="80"/>
      <c r="J45" s="80"/>
      <c r="K45" s="80"/>
      <c r="L45" s="88" t="str">
        <f aca="false">IF(D45="","",SUM(F45:K45))</f>
        <v/>
      </c>
      <c r="M45" s="87" t="str">
        <f aca="false">IF(D45="","",D45-L45)</f>
        <v/>
      </c>
      <c r="N45" s="36" t="str">
        <f aca="false">IF(OR(D45="",N(D45)=0),"",L45/D45)</f>
        <v/>
      </c>
      <c r="O45" s="10" t="str">
        <f aca="false">IF(D45="","",L45*E45)</f>
        <v/>
      </c>
      <c r="P45" s="10" t="str">
        <f aca="false">IF(D45="","",M45*E45)</f>
        <v/>
      </c>
    </row>
    <row r="46" customFormat="false" ht="16.5" hidden="false" customHeight="true" outlineLevel="0" collapsed="false">
      <c r="A46" s="23" t="str">
        <f aca="false">IF(PRESUPUESTO!$A33="Ítem",PRESUPUESTO!B33,"")</f>
        <v/>
      </c>
      <c r="B46" s="23" t="str">
        <f aca="false">IF(PRESUPUESTO!C33="","",PRESUPUESTO!C33)</f>
        <v/>
      </c>
      <c r="C46" s="86" t="str">
        <f aca="false">IF(PRESUPUESTO!$A33="Ítem",PRESUPUESTO!D33,"")</f>
        <v/>
      </c>
      <c r="D46" s="87" t="str">
        <f aca="false">IF(PRESUPUESTO!$A33="Ítem",PRESUPUESTO!E33,"")</f>
        <v/>
      </c>
      <c r="E46" s="10" t="str">
        <f aca="false">IF(D46="","",PRESUPUESTO!F33)</f>
        <v/>
      </c>
      <c r="F46" s="80"/>
      <c r="G46" s="80"/>
      <c r="H46" s="80"/>
      <c r="I46" s="80"/>
      <c r="J46" s="80"/>
      <c r="K46" s="80"/>
      <c r="L46" s="88" t="str">
        <f aca="false">IF(D46="","",SUM(F46:K46))</f>
        <v/>
      </c>
      <c r="M46" s="87" t="str">
        <f aca="false">IF(D46="","",D46-L46)</f>
        <v/>
      </c>
      <c r="N46" s="36" t="str">
        <f aca="false">IF(OR(D46="",N(D46)=0),"",L46/D46)</f>
        <v/>
      </c>
      <c r="O46" s="10" t="str">
        <f aca="false">IF(D46="","",L46*E46)</f>
        <v/>
      </c>
      <c r="P46" s="10" t="str">
        <f aca="false">IF(D46="","",M46*E46)</f>
        <v/>
      </c>
    </row>
    <row r="47" customFormat="false" ht="16.5" hidden="false" customHeight="true" outlineLevel="0" collapsed="false">
      <c r="A47" s="23" t="str">
        <f aca="false">IF(PRESUPUESTO!$A34="Ítem",PRESUPUESTO!B34,"")</f>
        <v/>
      </c>
      <c r="B47" s="23" t="str">
        <f aca="false">IF(PRESUPUESTO!C34="","",PRESUPUESTO!C34)</f>
        <v/>
      </c>
      <c r="C47" s="86" t="str">
        <f aca="false">IF(PRESUPUESTO!$A34="Ítem",PRESUPUESTO!D34,"")</f>
        <v/>
      </c>
      <c r="D47" s="87" t="str">
        <f aca="false">IF(PRESUPUESTO!$A34="Ítem",PRESUPUESTO!E34,"")</f>
        <v/>
      </c>
      <c r="E47" s="10" t="str">
        <f aca="false">IF(D47="","",PRESUPUESTO!F34)</f>
        <v/>
      </c>
      <c r="F47" s="80"/>
      <c r="G47" s="80"/>
      <c r="H47" s="80"/>
      <c r="I47" s="80"/>
      <c r="J47" s="80"/>
      <c r="K47" s="80"/>
      <c r="L47" s="88" t="str">
        <f aca="false">IF(D47="","",SUM(F47:K47))</f>
        <v/>
      </c>
      <c r="M47" s="87" t="str">
        <f aca="false">IF(D47="","",D47-L47)</f>
        <v/>
      </c>
      <c r="N47" s="36" t="str">
        <f aca="false">IF(OR(D47="",N(D47)=0),"",L47/D47)</f>
        <v/>
      </c>
      <c r="O47" s="10" t="str">
        <f aca="false">IF(D47="","",L47*E47)</f>
        <v/>
      </c>
      <c r="P47" s="10" t="str">
        <f aca="false">IF(D47="","",M47*E47)</f>
        <v/>
      </c>
    </row>
    <row r="48" customFormat="false" ht="16.5" hidden="false" customHeight="true" outlineLevel="0" collapsed="false">
      <c r="A48" s="23" t="str">
        <f aca="false">IF(PRESUPUESTO!$A35="Ítem",PRESUPUESTO!B35,"")</f>
        <v/>
      </c>
      <c r="B48" s="23" t="str">
        <f aca="false">IF(PRESUPUESTO!C35="","",PRESUPUESTO!C35)</f>
        <v/>
      </c>
      <c r="C48" s="86" t="str">
        <f aca="false">IF(PRESUPUESTO!$A35="Ítem",PRESUPUESTO!D35,"")</f>
        <v/>
      </c>
      <c r="D48" s="87" t="str">
        <f aca="false">IF(PRESUPUESTO!$A35="Ítem",PRESUPUESTO!E35,"")</f>
        <v/>
      </c>
      <c r="E48" s="10" t="str">
        <f aca="false">IF(D48="","",PRESUPUESTO!F35)</f>
        <v/>
      </c>
      <c r="F48" s="80"/>
      <c r="G48" s="80"/>
      <c r="H48" s="80"/>
      <c r="I48" s="80"/>
      <c r="J48" s="80"/>
      <c r="K48" s="80"/>
      <c r="L48" s="88" t="str">
        <f aca="false">IF(D48="","",SUM(F48:K48))</f>
        <v/>
      </c>
      <c r="M48" s="87" t="str">
        <f aca="false">IF(D48="","",D48-L48)</f>
        <v/>
      </c>
      <c r="N48" s="36" t="str">
        <f aca="false">IF(OR(D48="",N(D48)=0),"",L48/D48)</f>
        <v/>
      </c>
      <c r="O48" s="10" t="str">
        <f aca="false">IF(D48="","",L48*E48)</f>
        <v/>
      </c>
      <c r="P48" s="10" t="str">
        <f aca="false">IF(D48="","",M48*E48)</f>
        <v/>
      </c>
    </row>
    <row r="49" customFormat="false" ht="16.5" hidden="false" customHeight="true" outlineLevel="0" collapsed="false">
      <c r="A49" s="23" t="str">
        <f aca="false">IF(PRESUPUESTO!$A36="Ítem",PRESUPUESTO!B36,"")</f>
        <v/>
      </c>
      <c r="B49" s="23" t="str">
        <f aca="false">IF(PRESUPUESTO!C36="","",PRESUPUESTO!C36)</f>
        <v/>
      </c>
      <c r="C49" s="86" t="str">
        <f aca="false">IF(PRESUPUESTO!$A36="Ítem",PRESUPUESTO!D36,"")</f>
        <v/>
      </c>
      <c r="D49" s="87" t="str">
        <f aca="false">IF(PRESUPUESTO!$A36="Ítem",PRESUPUESTO!E36,"")</f>
        <v/>
      </c>
      <c r="E49" s="10" t="str">
        <f aca="false">IF(D49="","",PRESUPUESTO!F36)</f>
        <v/>
      </c>
      <c r="F49" s="80"/>
      <c r="G49" s="80"/>
      <c r="H49" s="80"/>
      <c r="I49" s="80"/>
      <c r="J49" s="80"/>
      <c r="K49" s="80"/>
      <c r="L49" s="88" t="str">
        <f aca="false">IF(D49="","",SUM(F49:K49))</f>
        <v/>
      </c>
      <c r="M49" s="87" t="str">
        <f aca="false">IF(D49="","",D49-L49)</f>
        <v/>
      </c>
      <c r="N49" s="36" t="str">
        <f aca="false">IF(OR(D49="",N(D49)=0),"",L49/D49)</f>
        <v/>
      </c>
      <c r="O49" s="10" t="str">
        <f aca="false">IF(D49="","",L49*E49)</f>
        <v/>
      </c>
      <c r="P49" s="10" t="str">
        <f aca="false">IF(D49="","",M49*E49)</f>
        <v/>
      </c>
    </row>
    <row r="50" customFormat="false" ht="16.5" hidden="false" customHeight="true" outlineLevel="0" collapsed="false">
      <c r="A50" s="23" t="str">
        <f aca="false">IF(PRESUPUESTO!$A37="Ítem",PRESUPUESTO!B37,"")</f>
        <v/>
      </c>
      <c r="B50" s="23" t="str">
        <f aca="false">IF(PRESUPUESTO!C37="","",PRESUPUESTO!C37)</f>
        <v/>
      </c>
      <c r="C50" s="86" t="str">
        <f aca="false">IF(PRESUPUESTO!$A37="Ítem",PRESUPUESTO!D37,"")</f>
        <v/>
      </c>
      <c r="D50" s="87" t="str">
        <f aca="false">IF(PRESUPUESTO!$A37="Ítem",PRESUPUESTO!E37,"")</f>
        <v/>
      </c>
      <c r="E50" s="10" t="str">
        <f aca="false">IF(D50="","",PRESUPUESTO!F37)</f>
        <v/>
      </c>
      <c r="F50" s="80"/>
      <c r="G50" s="80"/>
      <c r="H50" s="80"/>
      <c r="I50" s="80"/>
      <c r="J50" s="80"/>
      <c r="K50" s="80"/>
      <c r="L50" s="88" t="str">
        <f aca="false">IF(D50="","",SUM(F50:K50))</f>
        <v/>
      </c>
      <c r="M50" s="87" t="str">
        <f aca="false">IF(D50="","",D50-L50)</f>
        <v/>
      </c>
      <c r="N50" s="36" t="str">
        <f aca="false">IF(OR(D50="",N(D50)=0),"",L50/D50)</f>
        <v/>
      </c>
      <c r="O50" s="10" t="str">
        <f aca="false">IF(D50="","",L50*E50)</f>
        <v/>
      </c>
      <c r="P50" s="10" t="str">
        <f aca="false">IF(D50="","",M50*E50)</f>
        <v/>
      </c>
    </row>
    <row r="51" customFormat="false" ht="16.5" hidden="false" customHeight="true" outlineLevel="0" collapsed="false">
      <c r="A51" s="23" t="str">
        <f aca="false">IF(PRESUPUESTO!$A38="Ítem",PRESUPUESTO!B38,"")</f>
        <v/>
      </c>
      <c r="B51" s="23" t="str">
        <f aca="false">IF(PRESUPUESTO!C38="","",PRESUPUESTO!C38)</f>
        <v/>
      </c>
      <c r="C51" s="86" t="str">
        <f aca="false">IF(PRESUPUESTO!$A38="Ítem",PRESUPUESTO!D38,"")</f>
        <v/>
      </c>
      <c r="D51" s="87" t="str">
        <f aca="false">IF(PRESUPUESTO!$A38="Ítem",PRESUPUESTO!E38,"")</f>
        <v/>
      </c>
      <c r="E51" s="10" t="str">
        <f aca="false">IF(D51="","",PRESUPUESTO!F38)</f>
        <v/>
      </c>
      <c r="F51" s="80"/>
      <c r="G51" s="80"/>
      <c r="H51" s="80"/>
      <c r="I51" s="80"/>
      <c r="J51" s="80"/>
      <c r="K51" s="80"/>
      <c r="L51" s="88" t="str">
        <f aca="false">IF(D51="","",SUM(F51:K51))</f>
        <v/>
      </c>
      <c r="M51" s="87" t="str">
        <f aca="false">IF(D51="","",D51-L51)</f>
        <v/>
      </c>
      <c r="N51" s="36" t="str">
        <f aca="false">IF(OR(D51="",N(D51)=0),"",L51/D51)</f>
        <v/>
      </c>
      <c r="O51" s="10" t="str">
        <f aca="false">IF(D51="","",L51*E51)</f>
        <v/>
      </c>
      <c r="P51" s="10" t="str">
        <f aca="false">IF(D51="","",M51*E51)</f>
        <v/>
      </c>
    </row>
    <row r="52" customFormat="false" ht="16.5" hidden="false" customHeight="true" outlineLevel="0" collapsed="false">
      <c r="A52" s="23" t="str">
        <f aca="false">IF(PRESUPUESTO!$A39="Ítem",PRESUPUESTO!B39,"")</f>
        <v/>
      </c>
      <c r="B52" s="23" t="str">
        <f aca="false">IF(PRESUPUESTO!C39="","",PRESUPUESTO!C39)</f>
        <v/>
      </c>
      <c r="C52" s="86" t="str">
        <f aca="false">IF(PRESUPUESTO!$A39="Ítem",PRESUPUESTO!D39,"")</f>
        <v/>
      </c>
      <c r="D52" s="87" t="str">
        <f aca="false">IF(PRESUPUESTO!$A39="Ítem",PRESUPUESTO!E39,"")</f>
        <v/>
      </c>
      <c r="E52" s="10" t="str">
        <f aca="false">IF(D52="","",PRESUPUESTO!F39)</f>
        <v/>
      </c>
      <c r="F52" s="80"/>
      <c r="G52" s="80"/>
      <c r="H52" s="80"/>
      <c r="I52" s="80"/>
      <c r="J52" s="80"/>
      <c r="K52" s="80"/>
      <c r="L52" s="88" t="str">
        <f aca="false">IF(D52="","",SUM(F52:K52))</f>
        <v/>
      </c>
      <c r="M52" s="87" t="str">
        <f aca="false">IF(D52="","",D52-L52)</f>
        <v/>
      </c>
      <c r="N52" s="36" t="str">
        <f aca="false">IF(OR(D52="",N(D52)=0),"",L52/D52)</f>
        <v/>
      </c>
      <c r="O52" s="10" t="str">
        <f aca="false">IF(D52="","",L52*E52)</f>
        <v/>
      </c>
      <c r="P52" s="10" t="str">
        <f aca="false">IF(D52="","",M52*E52)</f>
        <v/>
      </c>
    </row>
    <row r="53" customFormat="false" ht="16.5" hidden="false" customHeight="true" outlineLevel="0" collapsed="false">
      <c r="A53" s="23" t="str">
        <f aca="false">IF(PRESUPUESTO!$A40="Ítem",PRESUPUESTO!B40,"")</f>
        <v/>
      </c>
      <c r="B53" s="23" t="str">
        <f aca="false">IF(PRESUPUESTO!C40="","",PRESUPUESTO!C40)</f>
        <v/>
      </c>
      <c r="C53" s="86" t="str">
        <f aca="false">IF(PRESUPUESTO!$A40="Ítem",PRESUPUESTO!D40,"")</f>
        <v/>
      </c>
      <c r="D53" s="87" t="str">
        <f aca="false">IF(PRESUPUESTO!$A40="Ítem",PRESUPUESTO!E40,"")</f>
        <v/>
      </c>
      <c r="E53" s="10" t="str">
        <f aca="false">IF(D53="","",PRESUPUESTO!F40)</f>
        <v/>
      </c>
      <c r="F53" s="80"/>
      <c r="G53" s="80"/>
      <c r="H53" s="80"/>
      <c r="I53" s="80"/>
      <c r="J53" s="80"/>
      <c r="K53" s="80"/>
      <c r="L53" s="88" t="str">
        <f aca="false">IF(D53="","",SUM(F53:K53))</f>
        <v/>
      </c>
      <c r="M53" s="87" t="str">
        <f aca="false">IF(D53="","",D53-L53)</f>
        <v/>
      </c>
      <c r="N53" s="36" t="str">
        <f aca="false">IF(OR(D53="",N(D53)=0),"",L53/D53)</f>
        <v/>
      </c>
      <c r="O53" s="10" t="str">
        <f aca="false">IF(D53="","",L53*E53)</f>
        <v/>
      </c>
      <c r="P53" s="10" t="str">
        <f aca="false">IF(D53="","",M53*E53)</f>
        <v/>
      </c>
    </row>
    <row r="54" customFormat="false" ht="16.5" hidden="false" customHeight="true" outlineLevel="0" collapsed="false">
      <c r="A54" s="23" t="str">
        <f aca="false">IF(PRESUPUESTO!$A41="Ítem",PRESUPUESTO!B41,"")</f>
        <v/>
      </c>
      <c r="B54" s="23" t="str">
        <f aca="false">IF(PRESUPUESTO!C41="","",PRESUPUESTO!C41)</f>
        <v/>
      </c>
      <c r="C54" s="86" t="str">
        <f aca="false">IF(PRESUPUESTO!$A41="Ítem",PRESUPUESTO!D41,"")</f>
        <v/>
      </c>
      <c r="D54" s="87" t="str">
        <f aca="false">IF(PRESUPUESTO!$A41="Ítem",PRESUPUESTO!E41,"")</f>
        <v/>
      </c>
      <c r="E54" s="10" t="str">
        <f aca="false">IF(D54="","",PRESUPUESTO!F41)</f>
        <v/>
      </c>
      <c r="F54" s="80"/>
      <c r="G54" s="80"/>
      <c r="H54" s="80"/>
      <c r="I54" s="80"/>
      <c r="J54" s="80"/>
      <c r="K54" s="80"/>
      <c r="L54" s="88" t="str">
        <f aca="false">IF(D54="","",SUM(F54:K54))</f>
        <v/>
      </c>
      <c r="M54" s="87" t="str">
        <f aca="false">IF(D54="","",D54-L54)</f>
        <v/>
      </c>
      <c r="N54" s="36" t="str">
        <f aca="false">IF(OR(D54="",N(D54)=0),"",L54/D54)</f>
        <v/>
      </c>
      <c r="O54" s="10" t="str">
        <f aca="false">IF(D54="","",L54*E54)</f>
        <v/>
      </c>
      <c r="P54" s="10" t="str">
        <f aca="false">IF(D54="","",M54*E54)</f>
        <v/>
      </c>
    </row>
    <row r="55" customFormat="false" ht="16.5" hidden="false" customHeight="true" outlineLevel="0" collapsed="false">
      <c r="A55" s="23" t="str">
        <f aca="false">IF(PRESUPUESTO!$A42="Ítem",PRESUPUESTO!B42,"")</f>
        <v/>
      </c>
      <c r="B55" s="23" t="str">
        <f aca="false">IF(PRESUPUESTO!C42="","",PRESUPUESTO!C42)</f>
        <v/>
      </c>
      <c r="C55" s="86" t="str">
        <f aca="false">IF(PRESUPUESTO!$A42="Ítem",PRESUPUESTO!D42,"")</f>
        <v/>
      </c>
      <c r="D55" s="87" t="str">
        <f aca="false">IF(PRESUPUESTO!$A42="Ítem",PRESUPUESTO!E42,"")</f>
        <v/>
      </c>
      <c r="E55" s="10" t="str">
        <f aca="false">IF(D55="","",PRESUPUESTO!F42)</f>
        <v/>
      </c>
      <c r="F55" s="80"/>
      <c r="G55" s="80"/>
      <c r="H55" s="80"/>
      <c r="I55" s="80"/>
      <c r="J55" s="80"/>
      <c r="K55" s="80"/>
      <c r="L55" s="88" t="str">
        <f aca="false">IF(D55="","",SUM(F55:K55))</f>
        <v/>
      </c>
      <c r="M55" s="87" t="str">
        <f aca="false">IF(D55="","",D55-L55)</f>
        <v/>
      </c>
      <c r="N55" s="36" t="str">
        <f aca="false">IF(OR(D55="",N(D55)=0),"",L55/D55)</f>
        <v/>
      </c>
      <c r="O55" s="10" t="str">
        <f aca="false">IF(D55="","",L55*E55)</f>
        <v/>
      </c>
      <c r="P55" s="10" t="str">
        <f aca="false">IF(D55="","",M55*E55)</f>
        <v/>
      </c>
    </row>
    <row r="56" customFormat="false" ht="16.5" hidden="false" customHeight="true" outlineLevel="0" collapsed="false">
      <c r="A56" s="23" t="str">
        <f aca="false">IF(PRESUPUESTO!$A43="Ítem",PRESUPUESTO!B43,"")</f>
        <v/>
      </c>
      <c r="B56" s="23" t="str">
        <f aca="false">IF(PRESUPUESTO!C43="","",PRESUPUESTO!C43)</f>
        <v/>
      </c>
      <c r="C56" s="86" t="str">
        <f aca="false">IF(PRESUPUESTO!$A43="Ítem",PRESUPUESTO!D43,"")</f>
        <v/>
      </c>
      <c r="D56" s="87" t="str">
        <f aca="false">IF(PRESUPUESTO!$A43="Ítem",PRESUPUESTO!E43,"")</f>
        <v/>
      </c>
      <c r="E56" s="10" t="str">
        <f aca="false">IF(D56="","",PRESUPUESTO!F43)</f>
        <v/>
      </c>
      <c r="F56" s="80"/>
      <c r="G56" s="80"/>
      <c r="H56" s="80"/>
      <c r="I56" s="80"/>
      <c r="J56" s="80"/>
      <c r="K56" s="80"/>
      <c r="L56" s="88" t="str">
        <f aca="false">IF(D56="","",SUM(F56:K56))</f>
        <v/>
      </c>
      <c r="M56" s="87" t="str">
        <f aca="false">IF(D56="","",D56-L56)</f>
        <v/>
      </c>
      <c r="N56" s="36" t="str">
        <f aca="false">IF(OR(D56="",N(D56)=0),"",L56/D56)</f>
        <v/>
      </c>
      <c r="O56" s="10" t="str">
        <f aca="false">IF(D56="","",L56*E56)</f>
        <v/>
      </c>
      <c r="P56" s="10" t="str">
        <f aca="false">IF(D56="","",M56*E56)</f>
        <v/>
      </c>
    </row>
    <row r="57" customFormat="false" ht="16.5" hidden="false" customHeight="true" outlineLevel="0" collapsed="false">
      <c r="A57" s="23" t="str">
        <f aca="false">IF(PRESUPUESTO!$A44="Ítem",PRESUPUESTO!B44,"")</f>
        <v/>
      </c>
      <c r="B57" s="23" t="str">
        <f aca="false">IF(PRESUPUESTO!C44="","",PRESUPUESTO!C44)</f>
        <v/>
      </c>
      <c r="C57" s="86" t="str">
        <f aca="false">IF(PRESUPUESTO!$A44="Ítem",PRESUPUESTO!D44,"")</f>
        <v/>
      </c>
      <c r="D57" s="87" t="str">
        <f aca="false">IF(PRESUPUESTO!$A44="Ítem",PRESUPUESTO!E44,"")</f>
        <v/>
      </c>
      <c r="E57" s="10" t="str">
        <f aca="false">IF(D57="","",PRESUPUESTO!F44)</f>
        <v/>
      </c>
      <c r="F57" s="80"/>
      <c r="G57" s="80"/>
      <c r="H57" s="80"/>
      <c r="I57" s="80"/>
      <c r="J57" s="80"/>
      <c r="K57" s="80"/>
      <c r="L57" s="88" t="str">
        <f aca="false">IF(D57="","",SUM(F57:K57))</f>
        <v/>
      </c>
      <c r="M57" s="87" t="str">
        <f aca="false">IF(D57="","",D57-L57)</f>
        <v/>
      </c>
      <c r="N57" s="36" t="str">
        <f aca="false">IF(OR(D57="",N(D57)=0),"",L57/D57)</f>
        <v/>
      </c>
      <c r="O57" s="10" t="str">
        <f aca="false">IF(D57="","",L57*E57)</f>
        <v/>
      </c>
      <c r="P57" s="10" t="str">
        <f aca="false">IF(D57="","",M57*E57)</f>
        <v/>
      </c>
    </row>
    <row r="58" customFormat="false" ht="16.5" hidden="false" customHeight="true" outlineLevel="0" collapsed="false">
      <c r="A58" s="23" t="str">
        <f aca="false">IF(PRESUPUESTO!$A45="Ítem",PRESUPUESTO!B45,"")</f>
        <v/>
      </c>
      <c r="B58" s="23" t="str">
        <f aca="false">IF(PRESUPUESTO!C45="","",PRESUPUESTO!C45)</f>
        <v/>
      </c>
      <c r="C58" s="86" t="str">
        <f aca="false">IF(PRESUPUESTO!$A45="Ítem",PRESUPUESTO!D45,"")</f>
        <v/>
      </c>
      <c r="D58" s="87" t="str">
        <f aca="false">IF(PRESUPUESTO!$A45="Ítem",PRESUPUESTO!E45,"")</f>
        <v/>
      </c>
      <c r="E58" s="10" t="str">
        <f aca="false">IF(D58="","",PRESUPUESTO!F45)</f>
        <v/>
      </c>
      <c r="F58" s="80"/>
      <c r="G58" s="80"/>
      <c r="H58" s="80"/>
      <c r="I58" s="80"/>
      <c r="J58" s="80"/>
      <c r="K58" s="80"/>
      <c r="L58" s="88" t="str">
        <f aca="false">IF(D58="","",SUM(F58:K58))</f>
        <v/>
      </c>
      <c r="M58" s="87" t="str">
        <f aca="false">IF(D58="","",D58-L58)</f>
        <v/>
      </c>
      <c r="N58" s="36" t="str">
        <f aca="false">IF(OR(D58="",N(D58)=0),"",L58/D58)</f>
        <v/>
      </c>
      <c r="O58" s="10" t="str">
        <f aca="false">IF(D58="","",L58*E58)</f>
        <v/>
      </c>
      <c r="P58" s="10" t="str">
        <f aca="false">IF(D58="","",M58*E58)</f>
        <v/>
      </c>
    </row>
    <row r="59" customFormat="false" ht="16.5" hidden="false" customHeight="true" outlineLevel="0" collapsed="false">
      <c r="A59" s="23" t="str">
        <f aca="false">IF(PRESUPUESTO!$A46="Ítem",PRESUPUESTO!B46,"")</f>
        <v/>
      </c>
      <c r="B59" s="23" t="str">
        <f aca="false">IF(PRESUPUESTO!C46="","",PRESUPUESTO!C46)</f>
        <v/>
      </c>
      <c r="C59" s="86" t="str">
        <f aca="false">IF(PRESUPUESTO!$A46="Ítem",PRESUPUESTO!D46,"")</f>
        <v/>
      </c>
      <c r="D59" s="87" t="str">
        <f aca="false">IF(PRESUPUESTO!$A46="Ítem",PRESUPUESTO!E46,"")</f>
        <v/>
      </c>
      <c r="E59" s="10" t="str">
        <f aca="false">IF(D59="","",PRESUPUESTO!F46)</f>
        <v/>
      </c>
      <c r="F59" s="80"/>
      <c r="G59" s="80"/>
      <c r="H59" s="80"/>
      <c r="I59" s="80"/>
      <c r="J59" s="80"/>
      <c r="K59" s="80"/>
      <c r="L59" s="88" t="str">
        <f aca="false">IF(D59="","",SUM(F59:K59))</f>
        <v/>
      </c>
      <c r="M59" s="87" t="str">
        <f aca="false">IF(D59="","",D59-L59)</f>
        <v/>
      </c>
      <c r="N59" s="36" t="str">
        <f aca="false">IF(OR(D59="",N(D59)=0),"",L59/D59)</f>
        <v/>
      </c>
      <c r="O59" s="10" t="str">
        <f aca="false">IF(D59="","",L59*E59)</f>
        <v/>
      </c>
      <c r="P59" s="10" t="str">
        <f aca="false">IF(D59="","",M59*E59)</f>
        <v/>
      </c>
    </row>
    <row r="60" customFormat="false" ht="16.5" hidden="false" customHeight="true" outlineLevel="0" collapsed="false">
      <c r="A60" s="23" t="str">
        <f aca="false">IF(PRESUPUESTO!$A47="Ítem",PRESUPUESTO!B47,"")</f>
        <v/>
      </c>
      <c r="B60" s="23" t="str">
        <f aca="false">IF(PRESUPUESTO!C47="","",PRESUPUESTO!C47)</f>
        <v/>
      </c>
      <c r="C60" s="86" t="str">
        <f aca="false">IF(PRESUPUESTO!$A47="Ítem",PRESUPUESTO!D47,"")</f>
        <v/>
      </c>
      <c r="D60" s="87" t="str">
        <f aca="false">IF(PRESUPUESTO!$A47="Ítem",PRESUPUESTO!E47,"")</f>
        <v/>
      </c>
      <c r="E60" s="10" t="str">
        <f aca="false">IF(D60="","",PRESUPUESTO!F47)</f>
        <v/>
      </c>
      <c r="F60" s="80"/>
      <c r="G60" s="80"/>
      <c r="H60" s="80"/>
      <c r="I60" s="80"/>
      <c r="J60" s="80"/>
      <c r="K60" s="80"/>
      <c r="L60" s="88" t="str">
        <f aca="false">IF(D60="","",SUM(F60:K60))</f>
        <v/>
      </c>
      <c r="M60" s="87" t="str">
        <f aca="false">IF(D60="","",D60-L60)</f>
        <v/>
      </c>
      <c r="N60" s="36" t="str">
        <f aca="false">IF(OR(D60="",N(D60)=0),"",L60/D60)</f>
        <v/>
      </c>
      <c r="O60" s="10" t="str">
        <f aca="false">IF(D60="","",L60*E60)</f>
        <v/>
      </c>
      <c r="P60" s="10" t="str">
        <f aca="false">IF(D60="","",M60*E60)</f>
        <v/>
      </c>
    </row>
    <row r="61" customFormat="false" ht="16.5" hidden="false" customHeight="true" outlineLevel="0" collapsed="false">
      <c r="A61" s="23" t="str">
        <f aca="false">IF(PRESUPUESTO!$A48="Ítem",PRESUPUESTO!B48,"")</f>
        <v/>
      </c>
      <c r="B61" s="23" t="str">
        <f aca="false">IF(PRESUPUESTO!C48="","",PRESUPUESTO!C48)</f>
        <v/>
      </c>
      <c r="C61" s="86" t="str">
        <f aca="false">IF(PRESUPUESTO!$A48="Ítem",PRESUPUESTO!D48,"")</f>
        <v/>
      </c>
      <c r="D61" s="87" t="str">
        <f aca="false">IF(PRESUPUESTO!$A48="Ítem",PRESUPUESTO!E48,"")</f>
        <v/>
      </c>
      <c r="E61" s="10" t="str">
        <f aca="false">IF(D61="","",PRESUPUESTO!F48)</f>
        <v/>
      </c>
      <c r="F61" s="80"/>
      <c r="G61" s="80"/>
      <c r="H61" s="80"/>
      <c r="I61" s="80"/>
      <c r="J61" s="80"/>
      <c r="K61" s="80"/>
      <c r="L61" s="88" t="str">
        <f aca="false">IF(D61="","",SUM(F61:K61))</f>
        <v/>
      </c>
      <c r="M61" s="87" t="str">
        <f aca="false">IF(D61="","",D61-L61)</f>
        <v/>
      </c>
      <c r="N61" s="36" t="str">
        <f aca="false">IF(OR(D61="",N(D61)=0),"",L61/D61)</f>
        <v/>
      </c>
      <c r="O61" s="10" t="str">
        <f aca="false">IF(D61="","",L61*E61)</f>
        <v/>
      </c>
      <c r="P61" s="10" t="str">
        <f aca="false">IF(D61="","",M61*E61)</f>
        <v/>
      </c>
    </row>
    <row r="62" customFormat="false" ht="16.5" hidden="false" customHeight="true" outlineLevel="0" collapsed="false">
      <c r="A62" s="23" t="str">
        <f aca="false">IF(PRESUPUESTO!$A49="Ítem",PRESUPUESTO!B49,"")</f>
        <v/>
      </c>
      <c r="B62" s="23" t="str">
        <f aca="false">IF(PRESUPUESTO!C49="","",PRESUPUESTO!C49)</f>
        <v/>
      </c>
      <c r="C62" s="86" t="str">
        <f aca="false">IF(PRESUPUESTO!$A49="Ítem",PRESUPUESTO!D49,"")</f>
        <v/>
      </c>
      <c r="D62" s="87" t="str">
        <f aca="false">IF(PRESUPUESTO!$A49="Ítem",PRESUPUESTO!E49,"")</f>
        <v/>
      </c>
      <c r="E62" s="10" t="str">
        <f aca="false">IF(D62="","",PRESUPUESTO!F49)</f>
        <v/>
      </c>
      <c r="F62" s="80"/>
      <c r="G62" s="80"/>
      <c r="H62" s="80"/>
      <c r="I62" s="80"/>
      <c r="J62" s="80"/>
      <c r="K62" s="80"/>
      <c r="L62" s="88" t="str">
        <f aca="false">IF(D62="","",SUM(F62:K62))</f>
        <v/>
      </c>
      <c r="M62" s="87" t="str">
        <f aca="false">IF(D62="","",D62-L62)</f>
        <v/>
      </c>
      <c r="N62" s="36" t="str">
        <f aca="false">IF(OR(D62="",N(D62)=0),"",L62/D62)</f>
        <v/>
      </c>
      <c r="O62" s="10" t="str">
        <f aca="false">IF(D62="","",L62*E62)</f>
        <v/>
      </c>
      <c r="P62" s="10" t="str">
        <f aca="false">IF(D62="","",M62*E62)</f>
        <v/>
      </c>
    </row>
    <row r="63" customFormat="false" ht="16.5" hidden="false" customHeight="true" outlineLevel="0" collapsed="false">
      <c r="A63" s="23" t="str">
        <f aca="false">IF(PRESUPUESTO!$A50="Ítem",PRESUPUESTO!B50,"")</f>
        <v/>
      </c>
      <c r="B63" s="23" t="str">
        <f aca="false">IF(PRESUPUESTO!C50="","",PRESUPUESTO!C50)</f>
        <v/>
      </c>
      <c r="C63" s="86" t="str">
        <f aca="false">IF(PRESUPUESTO!$A50="Ítem",PRESUPUESTO!D50,"")</f>
        <v/>
      </c>
      <c r="D63" s="87" t="str">
        <f aca="false">IF(PRESUPUESTO!$A50="Ítem",PRESUPUESTO!E50,"")</f>
        <v/>
      </c>
      <c r="E63" s="10" t="str">
        <f aca="false">IF(D63="","",PRESUPUESTO!F50)</f>
        <v/>
      </c>
      <c r="F63" s="80"/>
      <c r="G63" s="80"/>
      <c r="H63" s="80"/>
      <c r="I63" s="80"/>
      <c r="J63" s="80"/>
      <c r="K63" s="80"/>
      <c r="L63" s="88" t="str">
        <f aca="false">IF(D63="","",SUM(F63:K63))</f>
        <v/>
      </c>
      <c r="M63" s="87" t="str">
        <f aca="false">IF(D63="","",D63-L63)</f>
        <v/>
      </c>
      <c r="N63" s="36" t="str">
        <f aca="false">IF(OR(D63="",N(D63)=0),"",L63/D63)</f>
        <v/>
      </c>
      <c r="O63" s="10" t="str">
        <f aca="false">IF(D63="","",L63*E63)</f>
        <v/>
      </c>
      <c r="P63" s="10" t="str">
        <f aca="false">IF(D63="","",M63*E63)</f>
        <v/>
      </c>
    </row>
    <row r="64" customFormat="false" ht="16.5" hidden="false" customHeight="true" outlineLevel="0" collapsed="false">
      <c r="A64" s="23" t="str">
        <f aca="false">IF(PRESUPUESTO!$A51="Ítem",PRESUPUESTO!B51,"")</f>
        <v/>
      </c>
      <c r="B64" s="23" t="str">
        <f aca="false">IF(PRESUPUESTO!C51="","",PRESUPUESTO!C51)</f>
        <v/>
      </c>
      <c r="C64" s="86" t="str">
        <f aca="false">IF(PRESUPUESTO!$A51="Ítem",PRESUPUESTO!D51,"")</f>
        <v/>
      </c>
      <c r="D64" s="87" t="str">
        <f aca="false">IF(PRESUPUESTO!$A51="Ítem",PRESUPUESTO!E51,"")</f>
        <v/>
      </c>
      <c r="E64" s="10" t="str">
        <f aca="false">IF(D64="","",PRESUPUESTO!F51)</f>
        <v/>
      </c>
      <c r="F64" s="80"/>
      <c r="G64" s="80"/>
      <c r="H64" s="80"/>
      <c r="I64" s="80"/>
      <c r="J64" s="80"/>
      <c r="K64" s="80"/>
      <c r="L64" s="88" t="str">
        <f aca="false">IF(D64="","",SUM(F64:K64))</f>
        <v/>
      </c>
      <c r="M64" s="87" t="str">
        <f aca="false">IF(D64="","",D64-L64)</f>
        <v/>
      </c>
      <c r="N64" s="36" t="str">
        <f aca="false">IF(OR(D64="",N(D64)=0),"",L64/D64)</f>
        <v/>
      </c>
      <c r="O64" s="10" t="str">
        <f aca="false">IF(D64="","",L64*E64)</f>
        <v/>
      </c>
      <c r="P64" s="10" t="str">
        <f aca="false">IF(D64="","",M64*E64)</f>
        <v/>
      </c>
    </row>
    <row r="65" customFormat="false" ht="16.5" hidden="false" customHeight="true" outlineLevel="0" collapsed="false">
      <c r="A65" s="23" t="str">
        <f aca="false">IF(PRESUPUESTO!$A52="Ítem",PRESUPUESTO!B52,"")</f>
        <v/>
      </c>
      <c r="B65" s="23" t="str">
        <f aca="false">IF(PRESUPUESTO!C52="","",PRESUPUESTO!C52)</f>
        <v/>
      </c>
      <c r="C65" s="86" t="str">
        <f aca="false">IF(PRESUPUESTO!$A52="Ítem",PRESUPUESTO!D52,"")</f>
        <v/>
      </c>
      <c r="D65" s="87" t="str">
        <f aca="false">IF(PRESUPUESTO!$A52="Ítem",PRESUPUESTO!E52,"")</f>
        <v/>
      </c>
      <c r="E65" s="10" t="str">
        <f aca="false">IF(D65="","",PRESUPUESTO!F52)</f>
        <v/>
      </c>
      <c r="F65" s="80"/>
      <c r="G65" s="80"/>
      <c r="H65" s="80"/>
      <c r="I65" s="80"/>
      <c r="J65" s="80"/>
      <c r="K65" s="80"/>
      <c r="L65" s="88" t="str">
        <f aca="false">IF(D65="","",SUM(F65:K65))</f>
        <v/>
      </c>
      <c r="M65" s="87" t="str">
        <f aca="false">IF(D65="","",D65-L65)</f>
        <v/>
      </c>
      <c r="N65" s="36" t="str">
        <f aca="false">IF(OR(D65="",N(D65)=0),"",L65/D65)</f>
        <v/>
      </c>
      <c r="O65" s="10" t="str">
        <f aca="false">IF(D65="","",L65*E65)</f>
        <v/>
      </c>
      <c r="P65" s="10" t="str">
        <f aca="false">IF(D65="","",M65*E65)</f>
        <v/>
      </c>
    </row>
    <row r="66" customFormat="false" ht="16.5" hidden="false" customHeight="true" outlineLevel="0" collapsed="false">
      <c r="A66" s="23" t="str">
        <f aca="false">IF(PRESUPUESTO!$A53="Ítem",PRESUPUESTO!B53,"")</f>
        <v/>
      </c>
      <c r="B66" s="23" t="str">
        <f aca="false">IF(PRESUPUESTO!C53="","",PRESUPUESTO!C53)</f>
        <v/>
      </c>
      <c r="C66" s="86" t="str">
        <f aca="false">IF(PRESUPUESTO!$A53="Ítem",PRESUPUESTO!D53,"")</f>
        <v/>
      </c>
      <c r="D66" s="87" t="str">
        <f aca="false">IF(PRESUPUESTO!$A53="Ítem",PRESUPUESTO!E53,"")</f>
        <v/>
      </c>
      <c r="E66" s="10" t="str">
        <f aca="false">IF(D66="","",PRESUPUESTO!F53)</f>
        <v/>
      </c>
      <c r="F66" s="80"/>
      <c r="G66" s="80"/>
      <c r="H66" s="80"/>
      <c r="I66" s="80"/>
      <c r="J66" s="80"/>
      <c r="K66" s="80"/>
      <c r="L66" s="88" t="str">
        <f aca="false">IF(D66="","",SUM(F66:K66))</f>
        <v/>
      </c>
      <c r="M66" s="87" t="str">
        <f aca="false">IF(D66="","",D66-L66)</f>
        <v/>
      </c>
      <c r="N66" s="36" t="str">
        <f aca="false">IF(OR(D66="",N(D66)=0),"",L66/D66)</f>
        <v/>
      </c>
      <c r="O66" s="10" t="str">
        <f aca="false">IF(D66="","",L66*E66)</f>
        <v/>
      </c>
      <c r="P66" s="10" t="str">
        <f aca="false">IF(D66="","",M66*E66)</f>
        <v/>
      </c>
    </row>
    <row r="67" customFormat="false" ht="16.5" hidden="false" customHeight="true" outlineLevel="0" collapsed="false">
      <c r="A67" s="23" t="str">
        <f aca="false">IF(PRESUPUESTO!$A54="Ítem",PRESUPUESTO!B54,"")</f>
        <v/>
      </c>
      <c r="B67" s="23" t="str">
        <f aca="false">IF(PRESUPUESTO!C54="","",PRESUPUESTO!C54)</f>
        <v/>
      </c>
      <c r="C67" s="86" t="str">
        <f aca="false">IF(PRESUPUESTO!$A54="Ítem",PRESUPUESTO!D54,"")</f>
        <v/>
      </c>
      <c r="D67" s="87" t="str">
        <f aca="false">IF(PRESUPUESTO!$A54="Ítem",PRESUPUESTO!E54,"")</f>
        <v/>
      </c>
      <c r="E67" s="10" t="str">
        <f aca="false">IF(D67="","",PRESUPUESTO!F54)</f>
        <v/>
      </c>
      <c r="F67" s="80"/>
      <c r="G67" s="80"/>
      <c r="H67" s="80"/>
      <c r="I67" s="80"/>
      <c r="J67" s="80"/>
      <c r="K67" s="80"/>
      <c r="L67" s="88" t="str">
        <f aca="false">IF(D67="","",SUM(F67:K67))</f>
        <v/>
      </c>
      <c r="M67" s="87" t="str">
        <f aca="false">IF(D67="","",D67-L67)</f>
        <v/>
      </c>
      <c r="N67" s="36" t="str">
        <f aca="false">IF(OR(D67="",N(D67)=0),"",L67/D67)</f>
        <v/>
      </c>
      <c r="O67" s="10" t="str">
        <f aca="false">IF(D67="","",L67*E67)</f>
        <v/>
      </c>
      <c r="P67" s="10" t="str">
        <f aca="false">IF(D67="","",M67*E67)</f>
        <v/>
      </c>
    </row>
    <row r="68" customFormat="false" ht="16.5" hidden="false" customHeight="true" outlineLevel="0" collapsed="false">
      <c r="A68" s="23" t="str">
        <f aca="false">IF(PRESUPUESTO!$A55="Ítem",PRESUPUESTO!B55,"")</f>
        <v/>
      </c>
      <c r="B68" s="23" t="str">
        <f aca="false">IF(PRESUPUESTO!C55="","",PRESUPUESTO!C55)</f>
        <v/>
      </c>
      <c r="C68" s="86" t="str">
        <f aca="false">IF(PRESUPUESTO!$A55="Ítem",PRESUPUESTO!D55,"")</f>
        <v/>
      </c>
      <c r="D68" s="87" t="str">
        <f aca="false">IF(PRESUPUESTO!$A55="Ítem",PRESUPUESTO!E55,"")</f>
        <v/>
      </c>
      <c r="E68" s="10" t="str">
        <f aca="false">IF(D68="","",PRESUPUESTO!F55)</f>
        <v/>
      </c>
      <c r="F68" s="80"/>
      <c r="G68" s="80"/>
      <c r="H68" s="80"/>
      <c r="I68" s="80"/>
      <c r="J68" s="80"/>
      <c r="K68" s="80"/>
      <c r="L68" s="88" t="str">
        <f aca="false">IF(D68="","",SUM(F68:K68))</f>
        <v/>
      </c>
      <c r="M68" s="87" t="str">
        <f aca="false">IF(D68="","",D68-L68)</f>
        <v/>
      </c>
      <c r="N68" s="36" t="str">
        <f aca="false">IF(OR(D68="",N(D68)=0),"",L68/D68)</f>
        <v/>
      </c>
      <c r="O68" s="10" t="str">
        <f aca="false">IF(D68="","",L68*E68)</f>
        <v/>
      </c>
      <c r="P68" s="10" t="str">
        <f aca="false">IF(D68="","",M68*E68)</f>
        <v/>
      </c>
    </row>
    <row r="69" customFormat="false" ht="16.5" hidden="false" customHeight="true" outlineLevel="0" collapsed="false">
      <c r="A69" s="23" t="str">
        <f aca="false">IF(PRESUPUESTO!$A56="Ítem",PRESUPUESTO!B56,"")</f>
        <v/>
      </c>
      <c r="B69" s="23" t="str">
        <f aca="false">IF(PRESUPUESTO!C56="","",PRESUPUESTO!C56)</f>
        <v/>
      </c>
      <c r="C69" s="86" t="str">
        <f aca="false">IF(PRESUPUESTO!$A56="Ítem",PRESUPUESTO!D56,"")</f>
        <v/>
      </c>
      <c r="D69" s="87" t="str">
        <f aca="false">IF(PRESUPUESTO!$A56="Ítem",PRESUPUESTO!E56,"")</f>
        <v/>
      </c>
      <c r="E69" s="10" t="str">
        <f aca="false">IF(D69="","",PRESUPUESTO!F56)</f>
        <v/>
      </c>
      <c r="F69" s="80"/>
      <c r="G69" s="80"/>
      <c r="H69" s="80"/>
      <c r="I69" s="80"/>
      <c r="J69" s="80"/>
      <c r="K69" s="80"/>
      <c r="L69" s="88" t="str">
        <f aca="false">IF(D69="","",SUM(F69:K69))</f>
        <v/>
      </c>
      <c r="M69" s="87" t="str">
        <f aca="false">IF(D69="","",D69-L69)</f>
        <v/>
      </c>
      <c r="N69" s="36" t="str">
        <f aca="false">IF(OR(D69="",N(D69)=0),"",L69/D69)</f>
        <v/>
      </c>
      <c r="O69" s="10" t="str">
        <f aca="false">IF(D69="","",L69*E69)</f>
        <v/>
      </c>
      <c r="P69" s="10" t="str">
        <f aca="false">IF(D69="","",M69*E69)</f>
        <v/>
      </c>
    </row>
    <row r="70" customFormat="false" ht="16.5" hidden="false" customHeight="true" outlineLevel="0" collapsed="false">
      <c r="A70" s="23" t="str">
        <f aca="false">IF(PRESUPUESTO!$A57="Ítem",PRESUPUESTO!B57,"")</f>
        <v/>
      </c>
      <c r="B70" s="23" t="str">
        <f aca="false">IF(PRESUPUESTO!C57="","",PRESUPUESTO!C57)</f>
        <v/>
      </c>
      <c r="C70" s="86" t="str">
        <f aca="false">IF(PRESUPUESTO!$A57="Ítem",PRESUPUESTO!D57,"")</f>
        <v/>
      </c>
      <c r="D70" s="87" t="str">
        <f aca="false">IF(PRESUPUESTO!$A57="Ítem",PRESUPUESTO!E57,"")</f>
        <v/>
      </c>
      <c r="E70" s="10" t="str">
        <f aca="false">IF(D70="","",PRESUPUESTO!F57)</f>
        <v/>
      </c>
      <c r="F70" s="80"/>
      <c r="G70" s="80"/>
      <c r="H70" s="80"/>
      <c r="I70" s="80"/>
      <c r="J70" s="80"/>
      <c r="K70" s="80"/>
      <c r="L70" s="88" t="str">
        <f aca="false">IF(D70="","",SUM(F70:K70))</f>
        <v/>
      </c>
      <c r="M70" s="87" t="str">
        <f aca="false">IF(D70="","",D70-L70)</f>
        <v/>
      </c>
      <c r="N70" s="36" t="str">
        <f aca="false">IF(OR(D70="",N(D70)=0),"",L70/D70)</f>
        <v/>
      </c>
      <c r="O70" s="10" t="str">
        <f aca="false">IF(D70="","",L70*E70)</f>
        <v/>
      </c>
      <c r="P70" s="10" t="str">
        <f aca="false">IF(D70="","",M70*E70)</f>
        <v/>
      </c>
    </row>
    <row r="71" customFormat="false" ht="16.5" hidden="false" customHeight="true" outlineLevel="0" collapsed="false">
      <c r="A71" s="23" t="str">
        <f aca="false">IF(PRESUPUESTO!$A58="Ítem",PRESUPUESTO!B58,"")</f>
        <v/>
      </c>
      <c r="B71" s="23" t="str">
        <f aca="false">IF(PRESUPUESTO!C58="","",PRESUPUESTO!C58)</f>
        <v/>
      </c>
      <c r="C71" s="86" t="str">
        <f aca="false">IF(PRESUPUESTO!$A58="Ítem",PRESUPUESTO!D58,"")</f>
        <v/>
      </c>
      <c r="D71" s="87" t="str">
        <f aca="false">IF(PRESUPUESTO!$A58="Ítem",PRESUPUESTO!E58,"")</f>
        <v/>
      </c>
      <c r="E71" s="10" t="str">
        <f aca="false">IF(D71="","",PRESUPUESTO!F58)</f>
        <v/>
      </c>
      <c r="F71" s="80"/>
      <c r="G71" s="80"/>
      <c r="H71" s="80"/>
      <c r="I71" s="80"/>
      <c r="J71" s="80"/>
      <c r="K71" s="80"/>
      <c r="L71" s="88" t="str">
        <f aca="false">IF(D71="","",SUM(F71:K71))</f>
        <v/>
      </c>
      <c r="M71" s="87" t="str">
        <f aca="false">IF(D71="","",D71-L71)</f>
        <v/>
      </c>
      <c r="N71" s="36" t="str">
        <f aca="false">IF(OR(D71="",N(D71)=0),"",L71/D71)</f>
        <v/>
      </c>
      <c r="O71" s="10" t="str">
        <f aca="false">IF(D71="","",L71*E71)</f>
        <v/>
      </c>
      <c r="P71" s="10" t="str">
        <f aca="false">IF(D71="","",M71*E71)</f>
        <v/>
      </c>
    </row>
    <row r="72" customFormat="false" ht="16.5" hidden="false" customHeight="true" outlineLevel="0" collapsed="false">
      <c r="A72" s="23" t="str">
        <f aca="false">IF(PRESUPUESTO!$A59="Ítem",PRESUPUESTO!B59,"")</f>
        <v/>
      </c>
      <c r="B72" s="23" t="str">
        <f aca="false">IF(PRESUPUESTO!C59="","",PRESUPUESTO!C59)</f>
        <v/>
      </c>
      <c r="C72" s="86" t="str">
        <f aca="false">IF(PRESUPUESTO!$A59="Ítem",PRESUPUESTO!D59,"")</f>
        <v/>
      </c>
      <c r="D72" s="87" t="str">
        <f aca="false">IF(PRESUPUESTO!$A59="Ítem",PRESUPUESTO!E59,"")</f>
        <v/>
      </c>
      <c r="E72" s="10" t="str">
        <f aca="false">IF(D72="","",PRESUPUESTO!F59)</f>
        <v/>
      </c>
      <c r="F72" s="80"/>
      <c r="G72" s="80"/>
      <c r="H72" s="80"/>
      <c r="I72" s="80"/>
      <c r="J72" s="80"/>
      <c r="K72" s="80"/>
      <c r="L72" s="88" t="str">
        <f aca="false">IF(D72="","",SUM(F72:K72))</f>
        <v/>
      </c>
      <c r="M72" s="87" t="str">
        <f aca="false">IF(D72="","",D72-L72)</f>
        <v/>
      </c>
      <c r="N72" s="36" t="str">
        <f aca="false">IF(OR(D72="",N(D72)=0),"",L72/D72)</f>
        <v/>
      </c>
      <c r="O72" s="10" t="str">
        <f aca="false">IF(D72="","",L72*E72)</f>
        <v/>
      </c>
      <c r="P72" s="10" t="str">
        <f aca="false">IF(D72="","",M72*E72)</f>
        <v/>
      </c>
    </row>
    <row r="73" customFormat="false" ht="16.5" hidden="false" customHeight="true" outlineLevel="0" collapsed="false">
      <c r="A73" s="23" t="str">
        <f aca="false">IF(PRESUPUESTO!$A60="Ítem",PRESUPUESTO!B60,"")</f>
        <v/>
      </c>
      <c r="B73" s="23" t="str">
        <f aca="false">IF(PRESUPUESTO!C60="","",PRESUPUESTO!C60)</f>
        <v/>
      </c>
      <c r="C73" s="86" t="str">
        <f aca="false">IF(PRESUPUESTO!$A60="Ítem",PRESUPUESTO!D60,"")</f>
        <v/>
      </c>
      <c r="D73" s="87" t="str">
        <f aca="false">IF(PRESUPUESTO!$A60="Ítem",PRESUPUESTO!E60,"")</f>
        <v/>
      </c>
      <c r="E73" s="10" t="str">
        <f aca="false">IF(D73="","",PRESUPUESTO!F60)</f>
        <v/>
      </c>
      <c r="F73" s="80"/>
      <c r="G73" s="80"/>
      <c r="H73" s="80"/>
      <c r="I73" s="80"/>
      <c r="J73" s="80"/>
      <c r="K73" s="80"/>
      <c r="L73" s="88" t="str">
        <f aca="false">IF(D73="","",SUM(F73:K73))</f>
        <v/>
      </c>
      <c r="M73" s="87" t="str">
        <f aca="false">IF(D73="","",D73-L73)</f>
        <v/>
      </c>
      <c r="N73" s="36" t="str">
        <f aca="false">IF(OR(D73="",N(D73)=0),"",L73/D73)</f>
        <v/>
      </c>
      <c r="O73" s="10" t="str">
        <f aca="false">IF(D73="","",L73*E73)</f>
        <v/>
      </c>
      <c r="P73" s="10" t="str">
        <f aca="false">IF(D73="","",M73*E73)</f>
        <v/>
      </c>
    </row>
    <row r="74" customFormat="false" ht="16.5" hidden="false" customHeight="true" outlineLevel="0" collapsed="false">
      <c r="A74" s="23" t="str">
        <f aca="false">IF(PRESUPUESTO!$A61="Ítem",PRESUPUESTO!B61,"")</f>
        <v/>
      </c>
      <c r="B74" s="23" t="str">
        <f aca="false">IF(PRESUPUESTO!C61="","",PRESUPUESTO!C61)</f>
        <v/>
      </c>
      <c r="C74" s="86" t="str">
        <f aca="false">IF(PRESUPUESTO!$A61="Ítem",PRESUPUESTO!D61,"")</f>
        <v/>
      </c>
      <c r="D74" s="87" t="str">
        <f aca="false">IF(PRESUPUESTO!$A61="Ítem",PRESUPUESTO!E61,"")</f>
        <v/>
      </c>
      <c r="E74" s="10" t="str">
        <f aca="false">IF(D74="","",PRESUPUESTO!F61)</f>
        <v/>
      </c>
      <c r="F74" s="80"/>
      <c r="G74" s="80"/>
      <c r="H74" s="80"/>
      <c r="I74" s="80"/>
      <c r="J74" s="80"/>
      <c r="K74" s="80"/>
      <c r="L74" s="88" t="str">
        <f aca="false">IF(D74="","",SUM(F74:K74))</f>
        <v/>
      </c>
      <c r="M74" s="87" t="str">
        <f aca="false">IF(D74="","",D74-L74)</f>
        <v/>
      </c>
      <c r="N74" s="36" t="str">
        <f aca="false">IF(OR(D74="",N(D74)=0),"",L74/D74)</f>
        <v/>
      </c>
      <c r="O74" s="10" t="str">
        <f aca="false">IF(D74="","",L74*E74)</f>
        <v/>
      </c>
      <c r="P74" s="10" t="str">
        <f aca="false">IF(D74="","",M74*E74)</f>
        <v/>
      </c>
    </row>
    <row r="75" customFormat="false" ht="16.5" hidden="false" customHeight="true" outlineLevel="0" collapsed="false">
      <c r="A75" s="23" t="str">
        <f aca="false">IF(PRESUPUESTO!$A62="Ítem",PRESUPUESTO!B62,"")</f>
        <v/>
      </c>
      <c r="B75" s="23" t="str">
        <f aca="false">IF(PRESUPUESTO!C62="","",PRESUPUESTO!C62)</f>
        <v/>
      </c>
      <c r="C75" s="86" t="str">
        <f aca="false">IF(PRESUPUESTO!$A62="Ítem",PRESUPUESTO!D62,"")</f>
        <v/>
      </c>
      <c r="D75" s="87" t="str">
        <f aca="false">IF(PRESUPUESTO!$A62="Ítem",PRESUPUESTO!E62,"")</f>
        <v/>
      </c>
      <c r="E75" s="10" t="str">
        <f aca="false">IF(D75="","",PRESUPUESTO!F62)</f>
        <v/>
      </c>
      <c r="F75" s="80"/>
      <c r="G75" s="80"/>
      <c r="H75" s="80"/>
      <c r="I75" s="80"/>
      <c r="J75" s="80"/>
      <c r="K75" s="80"/>
      <c r="L75" s="88" t="str">
        <f aca="false">IF(D75="","",SUM(F75:K75))</f>
        <v/>
      </c>
      <c r="M75" s="87" t="str">
        <f aca="false">IF(D75="","",D75-L75)</f>
        <v/>
      </c>
      <c r="N75" s="36" t="str">
        <f aca="false">IF(OR(D75="",N(D75)=0),"",L75/D75)</f>
        <v/>
      </c>
      <c r="O75" s="10" t="str">
        <f aca="false">IF(D75="","",L75*E75)</f>
        <v/>
      </c>
      <c r="P75" s="10" t="str">
        <f aca="false">IF(D75="","",M75*E75)</f>
        <v/>
      </c>
    </row>
    <row r="76" customFormat="false" ht="16.5" hidden="false" customHeight="true" outlineLevel="0" collapsed="false">
      <c r="A76" s="23" t="str">
        <f aca="false">IF(PRESUPUESTO!$A63="Ítem",PRESUPUESTO!B63,"")</f>
        <v/>
      </c>
      <c r="B76" s="23" t="str">
        <f aca="false">IF(PRESUPUESTO!C63="","",PRESUPUESTO!C63)</f>
        <v/>
      </c>
      <c r="C76" s="86" t="str">
        <f aca="false">IF(PRESUPUESTO!$A63="Ítem",PRESUPUESTO!D63,"")</f>
        <v/>
      </c>
      <c r="D76" s="87" t="str">
        <f aca="false">IF(PRESUPUESTO!$A63="Ítem",PRESUPUESTO!E63,"")</f>
        <v/>
      </c>
      <c r="E76" s="10" t="str">
        <f aca="false">IF(D76="","",PRESUPUESTO!F63)</f>
        <v/>
      </c>
      <c r="F76" s="80"/>
      <c r="G76" s="80"/>
      <c r="H76" s="80"/>
      <c r="I76" s="80"/>
      <c r="J76" s="80"/>
      <c r="K76" s="80"/>
      <c r="L76" s="88" t="str">
        <f aca="false">IF(D76="","",SUM(F76:K76))</f>
        <v/>
      </c>
      <c r="M76" s="87" t="str">
        <f aca="false">IF(D76="","",D76-L76)</f>
        <v/>
      </c>
      <c r="N76" s="36" t="str">
        <f aca="false">IF(OR(D76="",N(D76)=0),"",L76/D76)</f>
        <v/>
      </c>
      <c r="O76" s="10" t="str">
        <f aca="false">IF(D76="","",L76*E76)</f>
        <v/>
      </c>
      <c r="P76" s="10" t="str">
        <f aca="false">IF(D76="","",M76*E76)</f>
        <v/>
      </c>
    </row>
    <row r="77" customFormat="false" ht="16.5" hidden="false" customHeight="true" outlineLevel="0" collapsed="false">
      <c r="A77" s="23" t="str">
        <f aca="false">IF(PRESUPUESTO!$A64="Ítem",PRESUPUESTO!B64,"")</f>
        <v/>
      </c>
      <c r="B77" s="23" t="str">
        <f aca="false">IF(PRESUPUESTO!C64="","",PRESUPUESTO!C64)</f>
        <v/>
      </c>
      <c r="C77" s="86" t="str">
        <f aca="false">IF(PRESUPUESTO!$A64="Ítem",PRESUPUESTO!D64,"")</f>
        <v/>
      </c>
      <c r="D77" s="87" t="str">
        <f aca="false">IF(PRESUPUESTO!$A64="Ítem",PRESUPUESTO!E64,"")</f>
        <v/>
      </c>
      <c r="E77" s="10" t="str">
        <f aca="false">IF(D77="","",PRESUPUESTO!F64)</f>
        <v/>
      </c>
      <c r="F77" s="80"/>
      <c r="G77" s="80"/>
      <c r="H77" s="80"/>
      <c r="I77" s="80"/>
      <c r="J77" s="80"/>
      <c r="K77" s="80"/>
      <c r="L77" s="88" t="str">
        <f aca="false">IF(D77="","",SUM(F77:K77))</f>
        <v/>
      </c>
      <c r="M77" s="87" t="str">
        <f aca="false">IF(D77="","",D77-L77)</f>
        <v/>
      </c>
      <c r="N77" s="36" t="str">
        <f aca="false">IF(OR(D77="",N(D77)=0),"",L77/D77)</f>
        <v/>
      </c>
      <c r="O77" s="10" t="str">
        <f aca="false">IF(D77="","",L77*E77)</f>
        <v/>
      </c>
      <c r="P77" s="10" t="str">
        <f aca="false">IF(D77="","",M77*E77)</f>
        <v/>
      </c>
    </row>
    <row r="78" customFormat="false" ht="16.5" hidden="false" customHeight="true" outlineLevel="0" collapsed="false">
      <c r="A78" s="23" t="str">
        <f aca="false">IF(PRESUPUESTO!$A65="Ítem",PRESUPUESTO!B65,"")</f>
        <v/>
      </c>
      <c r="B78" s="23" t="str">
        <f aca="false">IF(PRESUPUESTO!C65="","",PRESUPUESTO!C65)</f>
        <v/>
      </c>
      <c r="C78" s="86" t="str">
        <f aca="false">IF(PRESUPUESTO!$A65="Ítem",PRESUPUESTO!D65,"")</f>
        <v/>
      </c>
      <c r="D78" s="87" t="str">
        <f aca="false">IF(PRESUPUESTO!$A65="Ítem",PRESUPUESTO!E65,"")</f>
        <v/>
      </c>
      <c r="E78" s="10" t="str">
        <f aca="false">IF(D78="","",PRESUPUESTO!F65)</f>
        <v/>
      </c>
      <c r="F78" s="80"/>
      <c r="G78" s="80"/>
      <c r="H78" s="80"/>
      <c r="I78" s="80"/>
      <c r="J78" s="80"/>
      <c r="K78" s="80"/>
      <c r="L78" s="88" t="str">
        <f aca="false">IF(D78="","",SUM(F78:K78))</f>
        <v/>
      </c>
      <c r="M78" s="87" t="str">
        <f aca="false">IF(D78="","",D78-L78)</f>
        <v/>
      </c>
      <c r="N78" s="36" t="str">
        <f aca="false">IF(OR(D78="",N(D78)=0),"",L78/D78)</f>
        <v/>
      </c>
      <c r="O78" s="10" t="str">
        <f aca="false">IF(D78="","",L78*E78)</f>
        <v/>
      </c>
      <c r="P78" s="10" t="str">
        <f aca="false">IF(D78="","",M78*E78)</f>
        <v/>
      </c>
    </row>
    <row r="79" customFormat="false" ht="16.5" hidden="false" customHeight="true" outlineLevel="0" collapsed="false">
      <c r="A79" s="23" t="str">
        <f aca="false">IF(PRESUPUESTO!$A66="Ítem",PRESUPUESTO!B66,"")</f>
        <v/>
      </c>
      <c r="B79" s="23" t="str">
        <f aca="false">IF(PRESUPUESTO!C66="","",PRESUPUESTO!C66)</f>
        <v/>
      </c>
      <c r="C79" s="86" t="str">
        <f aca="false">IF(PRESUPUESTO!$A66="Ítem",PRESUPUESTO!D66,"")</f>
        <v/>
      </c>
      <c r="D79" s="87" t="str">
        <f aca="false">IF(PRESUPUESTO!$A66="Ítem",PRESUPUESTO!E66,"")</f>
        <v/>
      </c>
      <c r="E79" s="10" t="str">
        <f aca="false">IF(D79="","",PRESUPUESTO!F66)</f>
        <v/>
      </c>
      <c r="F79" s="80"/>
      <c r="G79" s="80"/>
      <c r="H79" s="80"/>
      <c r="I79" s="80"/>
      <c r="J79" s="80"/>
      <c r="K79" s="80"/>
      <c r="L79" s="88" t="str">
        <f aca="false">IF(D79="","",SUM(F79:K79))</f>
        <v/>
      </c>
      <c r="M79" s="87" t="str">
        <f aca="false">IF(D79="","",D79-L79)</f>
        <v/>
      </c>
      <c r="N79" s="36" t="str">
        <f aca="false">IF(OR(D79="",N(D79)=0),"",L79/D79)</f>
        <v/>
      </c>
      <c r="O79" s="10" t="str">
        <f aca="false">IF(D79="","",L79*E79)</f>
        <v/>
      </c>
      <c r="P79" s="10" t="str">
        <f aca="false">IF(D79="","",M79*E79)</f>
        <v/>
      </c>
    </row>
    <row r="80" customFormat="false" ht="16.5" hidden="false" customHeight="true" outlineLevel="0" collapsed="false">
      <c r="A80" s="23" t="str">
        <f aca="false">IF(PRESUPUESTO!$A67="Ítem",PRESUPUESTO!B67,"")</f>
        <v/>
      </c>
      <c r="B80" s="23" t="str">
        <f aca="false">IF(PRESUPUESTO!C67="","",PRESUPUESTO!C67)</f>
        <v/>
      </c>
      <c r="C80" s="86" t="str">
        <f aca="false">IF(PRESUPUESTO!$A67="Ítem",PRESUPUESTO!D67,"")</f>
        <v/>
      </c>
      <c r="D80" s="87" t="str">
        <f aca="false">IF(PRESUPUESTO!$A67="Ítem",PRESUPUESTO!E67,"")</f>
        <v/>
      </c>
      <c r="E80" s="10" t="str">
        <f aca="false">IF(D80="","",PRESUPUESTO!F67)</f>
        <v/>
      </c>
      <c r="F80" s="80"/>
      <c r="G80" s="80"/>
      <c r="H80" s="80"/>
      <c r="I80" s="80"/>
      <c r="J80" s="80"/>
      <c r="K80" s="80"/>
      <c r="L80" s="88" t="str">
        <f aca="false">IF(D80="","",SUM(F80:K80))</f>
        <v/>
      </c>
      <c r="M80" s="87" t="str">
        <f aca="false">IF(D80="","",D80-L80)</f>
        <v/>
      </c>
      <c r="N80" s="36" t="str">
        <f aca="false">IF(OR(D80="",N(D80)=0),"",L80/D80)</f>
        <v/>
      </c>
      <c r="O80" s="10" t="str">
        <f aca="false">IF(D80="","",L80*E80)</f>
        <v/>
      </c>
      <c r="P80" s="10" t="str">
        <f aca="false">IF(D80="","",M80*E80)</f>
        <v/>
      </c>
    </row>
    <row r="81" customFormat="false" ht="16.5" hidden="false" customHeight="true" outlineLevel="0" collapsed="false">
      <c r="A81" s="23" t="str">
        <f aca="false">IF(PRESUPUESTO!$A68="Ítem",PRESUPUESTO!B68,"")</f>
        <v/>
      </c>
      <c r="B81" s="23" t="str">
        <f aca="false">IF(PRESUPUESTO!C68="","",PRESUPUESTO!C68)</f>
        <v/>
      </c>
      <c r="C81" s="86" t="str">
        <f aca="false">IF(PRESUPUESTO!$A68="Ítem",PRESUPUESTO!D68,"")</f>
        <v/>
      </c>
      <c r="D81" s="87" t="str">
        <f aca="false">IF(PRESUPUESTO!$A68="Ítem",PRESUPUESTO!E68,"")</f>
        <v/>
      </c>
      <c r="E81" s="10" t="str">
        <f aca="false">IF(D81="","",PRESUPUESTO!F68)</f>
        <v/>
      </c>
      <c r="F81" s="80"/>
      <c r="G81" s="80"/>
      <c r="H81" s="80"/>
      <c r="I81" s="80"/>
      <c r="J81" s="80"/>
      <c r="K81" s="80"/>
      <c r="L81" s="88" t="str">
        <f aca="false">IF(D81="","",SUM(F81:K81))</f>
        <v/>
      </c>
      <c r="M81" s="87" t="str">
        <f aca="false">IF(D81="","",D81-L81)</f>
        <v/>
      </c>
      <c r="N81" s="36" t="str">
        <f aca="false">IF(OR(D81="",N(D81)=0),"",L81/D81)</f>
        <v/>
      </c>
      <c r="O81" s="10" t="str">
        <f aca="false">IF(D81="","",L81*E81)</f>
        <v/>
      </c>
      <c r="P81" s="10" t="str">
        <f aca="false">IF(D81="","",M81*E81)</f>
        <v/>
      </c>
    </row>
    <row r="82" customFormat="false" ht="16.5" hidden="false" customHeight="true" outlineLevel="0" collapsed="false">
      <c r="A82" s="23" t="str">
        <f aca="false">IF(PRESUPUESTO!$A69="Ítem",PRESUPUESTO!B69,"")</f>
        <v/>
      </c>
      <c r="B82" s="23" t="str">
        <f aca="false">IF(PRESUPUESTO!C69="","",PRESUPUESTO!C69)</f>
        <v/>
      </c>
      <c r="C82" s="86" t="str">
        <f aca="false">IF(PRESUPUESTO!$A69="Ítem",PRESUPUESTO!D69,"")</f>
        <v/>
      </c>
      <c r="D82" s="87" t="str">
        <f aca="false">IF(PRESUPUESTO!$A69="Ítem",PRESUPUESTO!E69,"")</f>
        <v/>
      </c>
      <c r="E82" s="10" t="str">
        <f aca="false">IF(D82="","",PRESUPUESTO!F69)</f>
        <v/>
      </c>
      <c r="F82" s="80"/>
      <c r="G82" s="80"/>
      <c r="H82" s="80"/>
      <c r="I82" s="80"/>
      <c r="J82" s="80"/>
      <c r="K82" s="80"/>
      <c r="L82" s="88" t="str">
        <f aca="false">IF(D82="","",SUM(F82:K82))</f>
        <v/>
      </c>
      <c r="M82" s="87" t="str">
        <f aca="false">IF(D82="","",D82-L82)</f>
        <v/>
      </c>
      <c r="N82" s="36" t="str">
        <f aca="false">IF(OR(D82="",N(D82)=0),"",L82/D82)</f>
        <v/>
      </c>
      <c r="O82" s="10" t="str">
        <f aca="false">IF(D82="","",L82*E82)</f>
        <v/>
      </c>
      <c r="P82" s="10" t="str">
        <f aca="false">IF(D82="","",M82*E82)</f>
        <v/>
      </c>
    </row>
    <row r="83" customFormat="false" ht="16.5" hidden="false" customHeight="true" outlineLevel="0" collapsed="false">
      <c r="A83" s="23" t="str">
        <f aca="false">IF(PRESUPUESTO!$A70="Ítem",PRESUPUESTO!B70,"")</f>
        <v/>
      </c>
      <c r="B83" s="23" t="str">
        <f aca="false">IF(PRESUPUESTO!C70="","",PRESUPUESTO!C70)</f>
        <v/>
      </c>
      <c r="C83" s="86" t="str">
        <f aca="false">IF(PRESUPUESTO!$A70="Ítem",PRESUPUESTO!D70,"")</f>
        <v/>
      </c>
      <c r="D83" s="87" t="str">
        <f aca="false">IF(PRESUPUESTO!$A70="Ítem",PRESUPUESTO!E70,"")</f>
        <v/>
      </c>
      <c r="E83" s="10" t="str">
        <f aca="false">IF(D83="","",PRESUPUESTO!F70)</f>
        <v/>
      </c>
      <c r="F83" s="80"/>
      <c r="G83" s="80"/>
      <c r="H83" s="80"/>
      <c r="I83" s="80"/>
      <c r="J83" s="80"/>
      <c r="K83" s="80"/>
      <c r="L83" s="88" t="str">
        <f aca="false">IF(D83="","",SUM(F83:K83))</f>
        <v/>
      </c>
      <c r="M83" s="87" t="str">
        <f aca="false">IF(D83="","",D83-L83)</f>
        <v/>
      </c>
      <c r="N83" s="36" t="str">
        <f aca="false">IF(OR(D83="",N(D83)=0),"",L83/D83)</f>
        <v/>
      </c>
      <c r="O83" s="10" t="str">
        <f aca="false">IF(D83="","",L83*E83)</f>
        <v/>
      </c>
      <c r="P83" s="10" t="str">
        <f aca="false">IF(D83="","",M83*E83)</f>
        <v/>
      </c>
    </row>
    <row r="84" customFormat="false" ht="16.5" hidden="false" customHeight="true" outlineLevel="0" collapsed="false">
      <c r="A84" s="23" t="str">
        <f aca="false">IF(PRESUPUESTO!$A71="Ítem",PRESUPUESTO!B71,"")</f>
        <v/>
      </c>
      <c r="B84" s="23" t="str">
        <f aca="false">IF(PRESUPUESTO!C71="","",PRESUPUESTO!C71)</f>
        <v/>
      </c>
      <c r="C84" s="86" t="str">
        <f aca="false">IF(PRESUPUESTO!$A71="Ítem",PRESUPUESTO!D71,"")</f>
        <v/>
      </c>
      <c r="D84" s="87" t="str">
        <f aca="false">IF(PRESUPUESTO!$A71="Ítem",PRESUPUESTO!E71,"")</f>
        <v/>
      </c>
      <c r="E84" s="10" t="str">
        <f aca="false">IF(D84="","",PRESUPUESTO!F71)</f>
        <v/>
      </c>
      <c r="F84" s="80"/>
      <c r="G84" s="80"/>
      <c r="H84" s="80"/>
      <c r="I84" s="80"/>
      <c r="J84" s="80"/>
      <c r="K84" s="80"/>
      <c r="L84" s="88" t="str">
        <f aca="false">IF(D84="","",SUM(F84:K84))</f>
        <v/>
      </c>
      <c r="M84" s="87" t="str">
        <f aca="false">IF(D84="","",D84-L84)</f>
        <v/>
      </c>
      <c r="N84" s="36" t="str">
        <f aca="false">IF(OR(D84="",N(D84)=0),"",L84/D84)</f>
        <v/>
      </c>
      <c r="O84" s="10" t="str">
        <f aca="false">IF(D84="","",L84*E84)</f>
        <v/>
      </c>
      <c r="P84" s="10" t="str">
        <f aca="false">IF(D84="","",M84*E84)</f>
        <v/>
      </c>
    </row>
    <row r="85" customFormat="false" ht="16.5" hidden="false" customHeight="true" outlineLevel="0" collapsed="false">
      <c r="A85" s="23" t="str">
        <f aca="false">IF(PRESUPUESTO!$A72="Ítem",PRESUPUESTO!B72,"")</f>
        <v/>
      </c>
      <c r="B85" s="23" t="str">
        <f aca="false">IF(PRESUPUESTO!C72="","",PRESUPUESTO!C72)</f>
        <v/>
      </c>
      <c r="C85" s="86" t="str">
        <f aca="false">IF(PRESUPUESTO!$A72="Ítem",PRESUPUESTO!D72,"")</f>
        <v/>
      </c>
      <c r="D85" s="87" t="str">
        <f aca="false">IF(PRESUPUESTO!$A72="Ítem",PRESUPUESTO!E72,"")</f>
        <v/>
      </c>
      <c r="E85" s="10" t="str">
        <f aca="false">IF(D85="","",PRESUPUESTO!F72)</f>
        <v/>
      </c>
      <c r="F85" s="80"/>
      <c r="G85" s="80"/>
      <c r="H85" s="80"/>
      <c r="I85" s="80"/>
      <c r="J85" s="80"/>
      <c r="K85" s="80"/>
      <c r="L85" s="88" t="str">
        <f aca="false">IF(D85="","",SUM(F85:K85))</f>
        <v/>
      </c>
      <c r="M85" s="87" t="str">
        <f aca="false">IF(D85="","",D85-L85)</f>
        <v/>
      </c>
      <c r="N85" s="36" t="str">
        <f aca="false">IF(OR(D85="",N(D85)=0),"",L85/D85)</f>
        <v/>
      </c>
      <c r="O85" s="10" t="str">
        <f aca="false">IF(D85="","",L85*E85)</f>
        <v/>
      </c>
      <c r="P85" s="10" t="str">
        <f aca="false">IF(D85="","",M85*E85)</f>
        <v/>
      </c>
    </row>
    <row r="86" customFormat="false" ht="16.5" hidden="false" customHeight="true" outlineLevel="0" collapsed="false">
      <c r="A86" s="23" t="str">
        <f aca="false">IF(PRESUPUESTO!$A73="Ítem",PRESUPUESTO!B73,"")</f>
        <v/>
      </c>
      <c r="B86" s="23" t="str">
        <f aca="false">IF(PRESUPUESTO!C73="","",PRESUPUESTO!C73)</f>
        <v/>
      </c>
      <c r="C86" s="86" t="str">
        <f aca="false">IF(PRESUPUESTO!$A73="Ítem",PRESUPUESTO!D73,"")</f>
        <v/>
      </c>
      <c r="D86" s="87" t="str">
        <f aca="false">IF(PRESUPUESTO!$A73="Ítem",PRESUPUESTO!E73,"")</f>
        <v/>
      </c>
      <c r="E86" s="10" t="str">
        <f aca="false">IF(D86="","",PRESUPUESTO!F73)</f>
        <v/>
      </c>
      <c r="F86" s="80"/>
      <c r="G86" s="80"/>
      <c r="H86" s="80"/>
      <c r="I86" s="80"/>
      <c r="J86" s="80"/>
      <c r="K86" s="80"/>
      <c r="L86" s="88" t="str">
        <f aca="false">IF(D86="","",SUM(F86:K86))</f>
        <v/>
      </c>
      <c r="M86" s="87" t="str">
        <f aca="false">IF(D86="","",D86-L86)</f>
        <v/>
      </c>
      <c r="N86" s="36" t="str">
        <f aca="false">IF(OR(D86="",N(D86)=0),"",L86/D86)</f>
        <v/>
      </c>
      <c r="O86" s="10" t="str">
        <f aca="false">IF(D86="","",L86*E86)</f>
        <v/>
      </c>
      <c r="P86" s="10" t="str">
        <f aca="false">IF(D86="","",M86*E86)</f>
        <v/>
      </c>
    </row>
    <row r="87" customFormat="false" ht="16.5" hidden="false" customHeight="true" outlineLevel="0" collapsed="false">
      <c r="A87" s="23" t="str">
        <f aca="false">IF(PRESUPUESTO!$A74="Ítem",PRESUPUESTO!B74,"")</f>
        <v/>
      </c>
      <c r="B87" s="23" t="str">
        <f aca="false">IF(PRESUPUESTO!C74="","",PRESUPUESTO!C74)</f>
        <v/>
      </c>
      <c r="C87" s="86" t="str">
        <f aca="false">IF(PRESUPUESTO!$A74="Ítem",PRESUPUESTO!D74,"")</f>
        <v/>
      </c>
      <c r="D87" s="87" t="str">
        <f aca="false">IF(PRESUPUESTO!$A74="Ítem",PRESUPUESTO!E74,"")</f>
        <v/>
      </c>
      <c r="E87" s="10" t="str">
        <f aca="false">IF(D87="","",PRESUPUESTO!F74)</f>
        <v/>
      </c>
      <c r="F87" s="80"/>
      <c r="G87" s="80"/>
      <c r="H87" s="80"/>
      <c r="I87" s="80"/>
      <c r="J87" s="80"/>
      <c r="K87" s="80"/>
      <c r="L87" s="88" t="str">
        <f aca="false">IF(D87="","",SUM(F87:K87))</f>
        <v/>
      </c>
      <c r="M87" s="87" t="str">
        <f aca="false">IF(D87="","",D87-L87)</f>
        <v/>
      </c>
      <c r="N87" s="36" t="str">
        <f aca="false">IF(OR(D87="",N(D87)=0),"",L87/D87)</f>
        <v/>
      </c>
      <c r="O87" s="10" t="str">
        <f aca="false">IF(D87="","",L87*E87)</f>
        <v/>
      </c>
      <c r="P87" s="10" t="str">
        <f aca="false">IF(D87="","",M87*E87)</f>
        <v/>
      </c>
    </row>
    <row r="88" customFormat="false" ht="16.5" hidden="false" customHeight="true" outlineLevel="0" collapsed="false">
      <c r="A88" s="23" t="str">
        <f aca="false">IF(PRESUPUESTO!$A75="Ítem",PRESUPUESTO!B75,"")</f>
        <v/>
      </c>
      <c r="B88" s="23" t="str">
        <f aca="false">IF(PRESUPUESTO!C75="","",PRESUPUESTO!C75)</f>
        <v/>
      </c>
      <c r="C88" s="86" t="str">
        <f aca="false">IF(PRESUPUESTO!$A75="Ítem",PRESUPUESTO!D75,"")</f>
        <v/>
      </c>
      <c r="D88" s="87" t="str">
        <f aca="false">IF(PRESUPUESTO!$A75="Ítem",PRESUPUESTO!E75,"")</f>
        <v/>
      </c>
      <c r="E88" s="10" t="str">
        <f aca="false">IF(D88="","",PRESUPUESTO!F75)</f>
        <v/>
      </c>
      <c r="F88" s="80"/>
      <c r="G88" s="80"/>
      <c r="H88" s="80"/>
      <c r="I88" s="80"/>
      <c r="J88" s="80"/>
      <c r="K88" s="80"/>
      <c r="L88" s="88" t="str">
        <f aca="false">IF(D88="","",SUM(F88:K88))</f>
        <v/>
      </c>
      <c r="M88" s="87" t="str">
        <f aca="false">IF(D88="","",D88-L88)</f>
        <v/>
      </c>
      <c r="N88" s="36" t="str">
        <f aca="false">IF(OR(D88="",N(D88)=0),"",L88/D88)</f>
        <v/>
      </c>
      <c r="O88" s="10" t="str">
        <f aca="false">IF(D88="","",L88*E88)</f>
        <v/>
      </c>
      <c r="P88" s="10" t="str">
        <f aca="false">IF(D88="","",M88*E88)</f>
        <v/>
      </c>
    </row>
    <row r="89" customFormat="false" ht="16.5" hidden="false" customHeight="true" outlineLevel="0" collapsed="false">
      <c r="A89" s="23" t="str">
        <f aca="false">IF(PRESUPUESTO!$A76="Ítem",PRESUPUESTO!B76,"")</f>
        <v/>
      </c>
      <c r="B89" s="23" t="str">
        <f aca="false">IF(PRESUPUESTO!C76="","",PRESUPUESTO!C76)</f>
        <v/>
      </c>
      <c r="C89" s="86" t="str">
        <f aca="false">IF(PRESUPUESTO!$A76="Ítem",PRESUPUESTO!D76,"")</f>
        <v/>
      </c>
      <c r="D89" s="87" t="str">
        <f aca="false">IF(PRESUPUESTO!$A76="Ítem",PRESUPUESTO!E76,"")</f>
        <v/>
      </c>
      <c r="E89" s="10" t="str">
        <f aca="false">IF(D89="","",PRESUPUESTO!F76)</f>
        <v/>
      </c>
      <c r="F89" s="80"/>
      <c r="G89" s="80"/>
      <c r="H89" s="80"/>
      <c r="I89" s="80"/>
      <c r="J89" s="80"/>
      <c r="K89" s="80"/>
      <c r="L89" s="88" t="str">
        <f aca="false">IF(D89="","",SUM(F89:K89))</f>
        <v/>
      </c>
      <c r="M89" s="87" t="str">
        <f aca="false">IF(D89="","",D89-L89)</f>
        <v/>
      </c>
      <c r="N89" s="36" t="str">
        <f aca="false">IF(OR(D89="",N(D89)=0),"",L89/D89)</f>
        <v/>
      </c>
      <c r="O89" s="10" t="str">
        <f aca="false">IF(D89="","",L89*E89)</f>
        <v/>
      </c>
      <c r="P89" s="10" t="str">
        <f aca="false">IF(D89="","",M89*E89)</f>
        <v/>
      </c>
    </row>
    <row r="90" customFormat="false" ht="16.5" hidden="false" customHeight="true" outlineLevel="0" collapsed="false">
      <c r="A90" s="23" t="str">
        <f aca="false">IF(PRESUPUESTO!$A77="Ítem",PRESUPUESTO!B77,"")</f>
        <v/>
      </c>
      <c r="B90" s="23" t="str">
        <f aca="false">IF(PRESUPUESTO!C77="","",PRESUPUESTO!C77)</f>
        <v/>
      </c>
      <c r="C90" s="86" t="str">
        <f aca="false">IF(PRESUPUESTO!$A77="Ítem",PRESUPUESTO!D77,"")</f>
        <v/>
      </c>
      <c r="D90" s="87" t="str">
        <f aca="false">IF(PRESUPUESTO!$A77="Ítem",PRESUPUESTO!E77,"")</f>
        <v/>
      </c>
      <c r="E90" s="10" t="str">
        <f aca="false">IF(D90="","",PRESUPUESTO!F77)</f>
        <v/>
      </c>
      <c r="F90" s="80"/>
      <c r="G90" s="80"/>
      <c r="H90" s="80"/>
      <c r="I90" s="80"/>
      <c r="J90" s="80"/>
      <c r="K90" s="80"/>
      <c r="L90" s="88" t="str">
        <f aca="false">IF(D90="","",SUM(F90:K90))</f>
        <v/>
      </c>
      <c r="M90" s="87" t="str">
        <f aca="false">IF(D90="","",D90-L90)</f>
        <v/>
      </c>
      <c r="N90" s="36" t="str">
        <f aca="false">IF(OR(D90="",N(D90)=0),"",L90/D90)</f>
        <v/>
      </c>
      <c r="O90" s="10" t="str">
        <f aca="false">IF(D90="","",L90*E90)</f>
        <v/>
      </c>
      <c r="P90" s="10" t="str">
        <f aca="false">IF(D90="","",M90*E90)</f>
        <v/>
      </c>
    </row>
    <row r="91" customFormat="false" ht="16.5" hidden="false" customHeight="true" outlineLevel="0" collapsed="false">
      <c r="A91" s="23" t="str">
        <f aca="false">IF(PRESUPUESTO!$A78="Ítem",PRESUPUESTO!B78,"")</f>
        <v/>
      </c>
      <c r="B91" s="23" t="str">
        <f aca="false">IF(PRESUPUESTO!C78="","",PRESUPUESTO!C78)</f>
        <v/>
      </c>
      <c r="C91" s="86" t="str">
        <f aca="false">IF(PRESUPUESTO!$A78="Ítem",PRESUPUESTO!D78,"")</f>
        <v/>
      </c>
      <c r="D91" s="87" t="str">
        <f aca="false">IF(PRESUPUESTO!$A78="Ítem",PRESUPUESTO!E78,"")</f>
        <v/>
      </c>
      <c r="E91" s="10" t="str">
        <f aca="false">IF(D91="","",PRESUPUESTO!F78)</f>
        <v/>
      </c>
      <c r="F91" s="80"/>
      <c r="G91" s="80"/>
      <c r="H91" s="80"/>
      <c r="I91" s="80"/>
      <c r="J91" s="80"/>
      <c r="K91" s="80"/>
      <c r="L91" s="88" t="str">
        <f aca="false">IF(D91="","",SUM(F91:K91))</f>
        <v/>
      </c>
      <c r="M91" s="87" t="str">
        <f aca="false">IF(D91="","",D91-L91)</f>
        <v/>
      </c>
      <c r="N91" s="36" t="str">
        <f aca="false">IF(OR(D91="",N(D91)=0),"",L91/D91)</f>
        <v/>
      </c>
      <c r="O91" s="10" t="str">
        <f aca="false">IF(D91="","",L91*E91)</f>
        <v/>
      </c>
      <c r="P91" s="10" t="str">
        <f aca="false">IF(D91="","",M91*E91)</f>
        <v/>
      </c>
    </row>
    <row r="92" customFormat="false" ht="16.5" hidden="false" customHeight="true" outlineLevel="0" collapsed="false">
      <c r="A92" s="23" t="str">
        <f aca="false">IF(PRESUPUESTO!$A79="Ítem",PRESUPUESTO!B79,"")</f>
        <v/>
      </c>
      <c r="B92" s="23" t="str">
        <f aca="false">IF(PRESUPUESTO!C79="","",PRESUPUESTO!C79)</f>
        <v/>
      </c>
      <c r="C92" s="86" t="str">
        <f aca="false">IF(PRESUPUESTO!$A79="Ítem",PRESUPUESTO!D79,"")</f>
        <v/>
      </c>
      <c r="D92" s="87" t="str">
        <f aca="false">IF(PRESUPUESTO!$A79="Ítem",PRESUPUESTO!E79,"")</f>
        <v/>
      </c>
      <c r="E92" s="10" t="str">
        <f aca="false">IF(D92="","",PRESUPUESTO!F79)</f>
        <v/>
      </c>
      <c r="F92" s="80"/>
      <c r="G92" s="80"/>
      <c r="H92" s="80"/>
      <c r="I92" s="80"/>
      <c r="J92" s="80"/>
      <c r="K92" s="80"/>
      <c r="L92" s="88" t="str">
        <f aca="false">IF(D92="","",SUM(F92:K92))</f>
        <v/>
      </c>
      <c r="M92" s="87" t="str">
        <f aca="false">IF(D92="","",D92-L92)</f>
        <v/>
      </c>
      <c r="N92" s="36" t="str">
        <f aca="false">IF(OR(D92="",N(D92)=0),"",L92/D92)</f>
        <v/>
      </c>
      <c r="O92" s="10" t="str">
        <f aca="false">IF(D92="","",L92*E92)</f>
        <v/>
      </c>
      <c r="P92" s="10" t="str">
        <f aca="false">IF(D92="","",M92*E92)</f>
        <v/>
      </c>
    </row>
    <row r="93" customFormat="false" ht="16.5" hidden="false" customHeight="true" outlineLevel="0" collapsed="false">
      <c r="A93" s="23" t="str">
        <f aca="false">IF(PRESUPUESTO!$A80="Ítem",PRESUPUESTO!B80,"")</f>
        <v/>
      </c>
      <c r="B93" s="23" t="str">
        <f aca="false">IF(PRESUPUESTO!C80="","",PRESUPUESTO!C80)</f>
        <v/>
      </c>
      <c r="C93" s="86" t="str">
        <f aca="false">IF(PRESUPUESTO!$A80="Ítem",PRESUPUESTO!D80,"")</f>
        <v/>
      </c>
      <c r="D93" s="87" t="str">
        <f aca="false">IF(PRESUPUESTO!$A80="Ítem",PRESUPUESTO!E80,"")</f>
        <v/>
      </c>
      <c r="E93" s="10" t="str">
        <f aca="false">IF(D93="","",PRESUPUESTO!F80)</f>
        <v/>
      </c>
      <c r="F93" s="80"/>
      <c r="G93" s="80"/>
      <c r="H93" s="80"/>
      <c r="I93" s="80"/>
      <c r="J93" s="80"/>
      <c r="K93" s="80"/>
      <c r="L93" s="88" t="str">
        <f aca="false">IF(D93="","",SUM(F93:K93))</f>
        <v/>
      </c>
      <c r="M93" s="87" t="str">
        <f aca="false">IF(D93="","",D93-L93)</f>
        <v/>
      </c>
      <c r="N93" s="36" t="str">
        <f aca="false">IF(OR(D93="",N(D93)=0),"",L93/D93)</f>
        <v/>
      </c>
      <c r="O93" s="10" t="str">
        <f aca="false">IF(D93="","",L93*E93)</f>
        <v/>
      </c>
      <c r="P93" s="10" t="str">
        <f aca="false">IF(D93="","",M93*E93)</f>
        <v/>
      </c>
    </row>
    <row r="94" customFormat="false" ht="16.5" hidden="false" customHeight="true" outlineLevel="0" collapsed="false">
      <c r="A94" s="23" t="str">
        <f aca="false">IF(PRESUPUESTO!$A81="Ítem",PRESUPUESTO!B81,"")</f>
        <v/>
      </c>
      <c r="B94" s="23" t="str">
        <f aca="false">IF(PRESUPUESTO!C81="","",PRESUPUESTO!C81)</f>
        <v/>
      </c>
      <c r="C94" s="86" t="str">
        <f aca="false">IF(PRESUPUESTO!$A81="Ítem",PRESUPUESTO!D81,"")</f>
        <v/>
      </c>
      <c r="D94" s="87" t="str">
        <f aca="false">IF(PRESUPUESTO!$A81="Ítem",PRESUPUESTO!E81,"")</f>
        <v/>
      </c>
      <c r="E94" s="10" t="str">
        <f aca="false">IF(D94="","",PRESUPUESTO!F81)</f>
        <v/>
      </c>
      <c r="F94" s="80"/>
      <c r="G94" s="80"/>
      <c r="H94" s="80"/>
      <c r="I94" s="80"/>
      <c r="J94" s="80"/>
      <c r="K94" s="80"/>
      <c r="L94" s="88" t="str">
        <f aca="false">IF(D94="","",SUM(F94:K94))</f>
        <v/>
      </c>
      <c r="M94" s="87" t="str">
        <f aca="false">IF(D94="","",D94-L94)</f>
        <v/>
      </c>
      <c r="N94" s="36" t="str">
        <f aca="false">IF(OR(D94="",N(D94)=0),"",L94/D94)</f>
        <v/>
      </c>
      <c r="O94" s="10" t="str">
        <f aca="false">IF(D94="","",L94*E94)</f>
        <v/>
      </c>
      <c r="P94" s="10" t="str">
        <f aca="false">IF(D94="","",M94*E94)</f>
        <v/>
      </c>
    </row>
    <row r="95" customFormat="false" ht="16.5" hidden="false" customHeight="true" outlineLevel="0" collapsed="false">
      <c r="A95" s="23" t="str">
        <f aca="false">IF(PRESUPUESTO!$A82="Ítem",PRESUPUESTO!B82,"")</f>
        <v/>
      </c>
      <c r="B95" s="23" t="str">
        <f aca="false">IF(PRESUPUESTO!C82="","",PRESUPUESTO!C82)</f>
        <v/>
      </c>
      <c r="C95" s="86" t="str">
        <f aca="false">IF(PRESUPUESTO!$A82="Ítem",PRESUPUESTO!D82,"")</f>
        <v/>
      </c>
      <c r="D95" s="87" t="str">
        <f aca="false">IF(PRESUPUESTO!$A82="Ítem",PRESUPUESTO!E82,"")</f>
        <v/>
      </c>
      <c r="E95" s="10" t="str">
        <f aca="false">IF(D95="","",PRESUPUESTO!F82)</f>
        <v/>
      </c>
      <c r="F95" s="80"/>
      <c r="G95" s="80"/>
      <c r="H95" s="80"/>
      <c r="I95" s="80"/>
      <c r="J95" s="80"/>
      <c r="K95" s="80"/>
      <c r="L95" s="88" t="str">
        <f aca="false">IF(D95="","",SUM(F95:K95))</f>
        <v/>
      </c>
      <c r="M95" s="87" t="str">
        <f aca="false">IF(D95="","",D95-L95)</f>
        <v/>
      </c>
      <c r="N95" s="36" t="str">
        <f aca="false">IF(OR(D95="",N(D95)=0),"",L95/D95)</f>
        <v/>
      </c>
      <c r="O95" s="10" t="str">
        <f aca="false">IF(D95="","",L95*E95)</f>
        <v/>
      </c>
      <c r="P95" s="10" t="str">
        <f aca="false">IF(D95="","",M95*E95)</f>
        <v/>
      </c>
    </row>
    <row r="96" customFormat="false" ht="16.5" hidden="false" customHeight="true" outlineLevel="0" collapsed="false">
      <c r="A96" s="23" t="str">
        <f aca="false">IF(PRESUPUESTO!$A83="Ítem",PRESUPUESTO!B83,"")</f>
        <v/>
      </c>
      <c r="B96" s="23" t="str">
        <f aca="false">IF(PRESUPUESTO!C83="","",PRESUPUESTO!C83)</f>
        <v/>
      </c>
      <c r="C96" s="86" t="str">
        <f aca="false">IF(PRESUPUESTO!$A83="Ítem",PRESUPUESTO!D83,"")</f>
        <v/>
      </c>
      <c r="D96" s="87" t="str">
        <f aca="false">IF(PRESUPUESTO!$A83="Ítem",PRESUPUESTO!E83,"")</f>
        <v/>
      </c>
      <c r="E96" s="10" t="str">
        <f aca="false">IF(D96="","",PRESUPUESTO!F83)</f>
        <v/>
      </c>
      <c r="F96" s="80"/>
      <c r="G96" s="80"/>
      <c r="H96" s="80"/>
      <c r="I96" s="80"/>
      <c r="J96" s="80"/>
      <c r="K96" s="80"/>
      <c r="L96" s="88" t="str">
        <f aca="false">IF(D96="","",SUM(F96:K96))</f>
        <v/>
      </c>
      <c r="M96" s="87" t="str">
        <f aca="false">IF(D96="","",D96-L96)</f>
        <v/>
      </c>
      <c r="N96" s="36" t="str">
        <f aca="false">IF(OR(D96="",N(D96)=0),"",L96/D96)</f>
        <v/>
      </c>
      <c r="O96" s="10" t="str">
        <f aca="false">IF(D96="","",L96*E96)</f>
        <v/>
      </c>
      <c r="P96" s="10" t="str">
        <f aca="false">IF(D96="","",M96*E96)</f>
        <v/>
      </c>
    </row>
    <row r="97" customFormat="false" ht="16.5" hidden="false" customHeight="true" outlineLevel="0" collapsed="false">
      <c r="A97" s="23" t="str">
        <f aca="false">IF(PRESUPUESTO!$A84="Ítem",PRESUPUESTO!B84,"")</f>
        <v/>
      </c>
      <c r="B97" s="23" t="str">
        <f aca="false">IF(PRESUPUESTO!C84="","",PRESUPUESTO!C84)</f>
        <v/>
      </c>
      <c r="C97" s="86" t="str">
        <f aca="false">IF(PRESUPUESTO!$A84="Ítem",PRESUPUESTO!D84,"")</f>
        <v/>
      </c>
      <c r="D97" s="87" t="str">
        <f aca="false">IF(PRESUPUESTO!$A84="Ítem",PRESUPUESTO!E84,"")</f>
        <v/>
      </c>
      <c r="E97" s="10" t="str">
        <f aca="false">IF(D97="","",PRESUPUESTO!F84)</f>
        <v/>
      </c>
      <c r="F97" s="80"/>
      <c r="G97" s="80"/>
      <c r="H97" s="80"/>
      <c r="I97" s="80"/>
      <c r="J97" s="80"/>
      <c r="K97" s="80"/>
      <c r="L97" s="88" t="str">
        <f aca="false">IF(D97="","",SUM(F97:K97))</f>
        <v/>
      </c>
      <c r="M97" s="87" t="str">
        <f aca="false">IF(D97="","",D97-L97)</f>
        <v/>
      </c>
      <c r="N97" s="36" t="str">
        <f aca="false">IF(OR(D97="",N(D97)=0),"",L97/D97)</f>
        <v/>
      </c>
      <c r="O97" s="10" t="str">
        <f aca="false">IF(D97="","",L97*E97)</f>
        <v/>
      </c>
      <c r="P97" s="10" t="str">
        <f aca="false">IF(D97="","",M97*E97)</f>
        <v/>
      </c>
    </row>
    <row r="98" customFormat="false" ht="16.5" hidden="false" customHeight="true" outlineLevel="0" collapsed="false">
      <c r="A98" s="23" t="str">
        <f aca="false">IF(PRESUPUESTO!$A85="Ítem",PRESUPUESTO!B85,"")</f>
        <v/>
      </c>
      <c r="B98" s="23" t="str">
        <f aca="false">IF(PRESUPUESTO!C85="","",PRESUPUESTO!C85)</f>
        <v/>
      </c>
      <c r="C98" s="86" t="str">
        <f aca="false">IF(PRESUPUESTO!$A85="Ítem",PRESUPUESTO!D85,"")</f>
        <v/>
      </c>
      <c r="D98" s="87" t="str">
        <f aca="false">IF(PRESUPUESTO!$A85="Ítem",PRESUPUESTO!E85,"")</f>
        <v/>
      </c>
      <c r="E98" s="10" t="str">
        <f aca="false">IF(D98="","",PRESUPUESTO!F85)</f>
        <v/>
      </c>
      <c r="F98" s="80"/>
      <c r="G98" s="80"/>
      <c r="H98" s="80"/>
      <c r="I98" s="80"/>
      <c r="J98" s="80"/>
      <c r="K98" s="80"/>
      <c r="L98" s="88" t="str">
        <f aca="false">IF(D98="","",SUM(F98:K98))</f>
        <v/>
      </c>
      <c r="M98" s="87" t="str">
        <f aca="false">IF(D98="","",D98-L98)</f>
        <v/>
      </c>
      <c r="N98" s="36" t="str">
        <f aca="false">IF(OR(D98="",N(D98)=0),"",L98/D98)</f>
        <v/>
      </c>
      <c r="O98" s="10" t="str">
        <f aca="false">IF(D98="","",L98*E98)</f>
        <v/>
      </c>
      <c r="P98" s="10" t="str">
        <f aca="false">IF(D98="","",M98*E98)</f>
        <v/>
      </c>
    </row>
    <row r="99" customFormat="false" ht="16.5" hidden="false" customHeight="true" outlineLevel="0" collapsed="false">
      <c r="A99" s="23" t="str">
        <f aca="false">IF(PRESUPUESTO!$A86="Ítem",PRESUPUESTO!B86,"")</f>
        <v/>
      </c>
      <c r="B99" s="23" t="str">
        <f aca="false">IF(PRESUPUESTO!C86="","",PRESUPUESTO!C86)</f>
        <v/>
      </c>
      <c r="C99" s="86" t="str">
        <f aca="false">IF(PRESUPUESTO!$A86="Ítem",PRESUPUESTO!D86,"")</f>
        <v/>
      </c>
      <c r="D99" s="87" t="str">
        <f aca="false">IF(PRESUPUESTO!$A86="Ítem",PRESUPUESTO!E86,"")</f>
        <v/>
      </c>
      <c r="E99" s="10" t="str">
        <f aca="false">IF(D99="","",PRESUPUESTO!F86)</f>
        <v/>
      </c>
      <c r="F99" s="80"/>
      <c r="G99" s="80"/>
      <c r="H99" s="80"/>
      <c r="I99" s="80"/>
      <c r="J99" s="80"/>
      <c r="K99" s="80"/>
      <c r="L99" s="88" t="str">
        <f aca="false">IF(D99="","",SUM(F99:K99))</f>
        <v/>
      </c>
      <c r="M99" s="87" t="str">
        <f aca="false">IF(D99="","",D99-L99)</f>
        <v/>
      </c>
      <c r="N99" s="36" t="str">
        <f aca="false">IF(OR(D99="",N(D99)=0),"",L99/D99)</f>
        <v/>
      </c>
      <c r="O99" s="10" t="str">
        <f aca="false">IF(D99="","",L99*E99)</f>
        <v/>
      </c>
      <c r="P99" s="10" t="str">
        <f aca="false">IF(D99="","",M99*E99)</f>
        <v/>
      </c>
    </row>
    <row r="100" customFormat="false" ht="16.5" hidden="false" customHeight="true" outlineLevel="0" collapsed="false">
      <c r="A100" s="23" t="str">
        <f aca="false">IF(PRESUPUESTO!$A87="Ítem",PRESUPUESTO!B87,"")</f>
        <v/>
      </c>
      <c r="B100" s="23" t="str">
        <f aca="false">IF(PRESUPUESTO!C87="","",PRESUPUESTO!C87)</f>
        <v/>
      </c>
      <c r="C100" s="86" t="str">
        <f aca="false">IF(PRESUPUESTO!$A87="Ítem",PRESUPUESTO!D87,"")</f>
        <v/>
      </c>
      <c r="D100" s="87" t="str">
        <f aca="false">IF(PRESUPUESTO!$A87="Ítem",PRESUPUESTO!E87,"")</f>
        <v/>
      </c>
      <c r="E100" s="10" t="str">
        <f aca="false">IF(D100="","",PRESUPUESTO!F87)</f>
        <v/>
      </c>
      <c r="F100" s="80"/>
      <c r="G100" s="80"/>
      <c r="H100" s="80"/>
      <c r="I100" s="80"/>
      <c r="J100" s="80"/>
      <c r="K100" s="80"/>
      <c r="L100" s="88" t="str">
        <f aca="false">IF(D100="","",SUM(F100:K100))</f>
        <v/>
      </c>
      <c r="M100" s="87" t="str">
        <f aca="false">IF(D100="","",D100-L100)</f>
        <v/>
      </c>
      <c r="N100" s="36" t="str">
        <f aca="false">IF(OR(D100="",N(D100)=0),"",L100/D100)</f>
        <v/>
      </c>
      <c r="O100" s="10" t="str">
        <f aca="false">IF(D100="","",L100*E100)</f>
        <v/>
      </c>
      <c r="P100" s="10" t="str">
        <f aca="false">IF(D100="","",M100*E100)</f>
        <v/>
      </c>
    </row>
    <row r="101" customFormat="false" ht="16.5" hidden="false" customHeight="true" outlineLevel="0" collapsed="false">
      <c r="A101" s="23" t="str">
        <f aca="false">IF(PRESUPUESTO!$A88="Ítem",PRESUPUESTO!B88,"")</f>
        <v/>
      </c>
      <c r="B101" s="23" t="str">
        <f aca="false">IF(PRESUPUESTO!C88="","",PRESUPUESTO!C88)</f>
        <v/>
      </c>
      <c r="C101" s="86" t="str">
        <f aca="false">IF(PRESUPUESTO!$A88="Ítem",PRESUPUESTO!D88,"")</f>
        <v/>
      </c>
      <c r="D101" s="87" t="str">
        <f aca="false">IF(PRESUPUESTO!$A88="Ítem",PRESUPUESTO!E88,"")</f>
        <v/>
      </c>
      <c r="E101" s="10" t="str">
        <f aca="false">IF(D101="","",PRESUPUESTO!F88)</f>
        <v/>
      </c>
      <c r="F101" s="80"/>
      <c r="G101" s="80"/>
      <c r="H101" s="80"/>
      <c r="I101" s="80"/>
      <c r="J101" s="80"/>
      <c r="K101" s="80"/>
      <c r="L101" s="88" t="str">
        <f aca="false">IF(D101="","",SUM(F101:K101))</f>
        <v/>
      </c>
      <c r="M101" s="87" t="str">
        <f aca="false">IF(D101="","",D101-L101)</f>
        <v/>
      </c>
      <c r="N101" s="36" t="str">
        <f aca="false">IF(OR(D101="",N(D101)=0),"",L101/D101)</f>
        <v/>
      </c>
      <c r="O101" s="10" t="str">
        <f aca="false">IF(D101="","",L101*E101)</f>
        <v/>
      </c>
      <c r="P101" s="10" t="str">
        <f aca="false">IF(D101="","",M101*E101)</f>
        <v/>
      </c>
    </row>
    <row r="102" customFormat="false" ht="16.5" hidden="false" customHeight="true" outlineLevel="0" collapsed="false">
      <c r="A102" s="23" t="str">
        <f aca="false">IF(PRESUPUESTO!$A89="Ítem",PRESUPUESTO!B89,"")</f>
        <v/>
      </c>
      <c r="B102" s="23" t="str">
        <f aca="false">IF(PRESUPUESTO!C89="","",PRESUPUESTO!C89)</f>
        <v/>
      </c>
      <c r="C102" s="86" t="str">
        <f aca="false">IF(PRESUPUESTO!$A89="Ítem",PRESUPUESTO!D89,"")</f>
        <v/>
      </c>
      <c r="D102" s="87" t="str">
        <f aca="false">IF(PRESUPUESTO!$A89="Ítem",PRESUPUESTO!E89,"")</f>
        <v/>
      </c>
      <c r="E102" s="10" t="str">
        <f aca="false">IF(D102="","",PRESUPUESTO!F89)</f>
        <v/>
      </c>
      <c r="F102" s="80"/>
      <c r="G102" s="80"/>
      <c r="H102" s="80"/>
      <c r="I102" s="80"/>
      <c r="J102" s="80"/>
      <c r="K102" s="80"/>
      <c r="L102" s="88" t="str">
        <f aca="false">IF(D102="","",SUM(F102:K102))</f>
        <v/>
      </c>
      <c r="M102" s="87" t="str">
        <f aca="false">IF(D102="","",D102-L102)</f>
        <v/>
      </c>
      <c r="N102" s="36" t="str">
        <f aca="false">IF(OR(D102="",N(D102)=0),"",L102/D102)</f>
        <v/>
      </c>
      <c r="O102" s="10" t="str">
        <f aca="false">IF(D102="","",L102*E102)</f>
        <v/>
      </c>
      <c r="P102" s="10" t="str">
        <f aca="false">IF(D102="","",M102*E102)</f>
        <v/>
      </c>
    </row>
    <row r="103" customFormat="false" ht="16.5" hidden="false" customHeight="true" outlineLevel="0" collapsed="false">
      <c r="A103" s="23" t="str">
        <f aca="false">IF(PRESUPUESTO!$A90="Ítem",PRESUPUESTO!B90,"")</f>
        <v/>
      </c>
      <c r="B103" s="23" t="str">
        <f aca="false">IF(PRESUPUESTO!C90="","",PRESUPUESTO!C90)</f>
        <v/>
      </c>
      <c r="C103" s="86" t="str">
        <f aca="false">IF(PRESUPUESTO!$A90="Ítem",PRESUPUESTO!D90,"")</f>
        <v/>
      </c>
      <c r="D103" s="87" t="str">
        <f aca="false">IF(PRESUPUESTO!$A90="Ítem",PRESUPUESTO!E90,"")</f>
        <v/>
      </c>
      <c r="E103" s="10" t="str">
        <f aca="false">IF(D103="","",PRESUPUESTO!F90)</f>
        <v/>
      </c>
      <c r="F103" s="80"/>
      <c r="G103" s="80"/>
      <c r="H103" s="80"/>
      <c r="I103" s="80"/>
      <c r="J103" s="80"/>
      <c r="K103" s="80"/>
      <c r="L103" s="88" t="str">
        <f aca="false">IF(D103="","",SUM(F103:K103))</f>
        <v/>
      </c>
      <c r="M103" s="87" t="str">
        <f aca="false">IF(D103="","",D103-L103)</f>
        <v/>
      </c>
      <c r="N103" s="36" t="str">
        <f aca="false">IF(OR(D103="",N(D103)=0),"",L103/D103)</f>
        <v/>
      </c>
      <c r="O103" s="10" t="str">
        <f aca="false">IF(D103="","",L103*E103)</f>
        <v/>
      </c>
      <c r="P103" s="10" t="str">
        <f aca="false">IF(D103="","",M103*E103)</f>
        <v/>
      </c>
    </row>
    <row r="104" customFormat="false" ht="16.5" hidden="false" customHeight="true" outlineLevel="0" collapsed="false">
      <c r="A104" s="23" t="str">
        <f aca="false">IF(PRESUPUESTO!$A91="Ítem",PRESUPUESTO!B91,"")</f>
        <v/>
      </c>
      <c r="B104" s="23" t="str">
        <f aca="false">IF(PRESUPUESTO!C91="","",PRESUPUESTO!C91)</f>
        <v/>
      </c>
      <c r="C104" s="86" t="str">
        <f aca="false">IF(PRESUPUESTO!$A91="Ítem",PRESUPUESTO!D91,"")</f>
        <v/>
      </c>
      <c r="D104" s="87" t="str">
        <f aca="false">IF(PRESUPUESTO!$A91="Ítem",PRESUPUESTO!E91,"")</f>
        <v/>
      </c>
      <c r="E104" s="10" t="str">
        <f aca="false">IF(D104="","",PRESUPUESTO!F91)</f>
        <v/>
      </c>
      <c r="F104" s="80"/>
      <c r="G104" s="80"/>
      <c r="H104" s="80"/>
      <c r="I104" s="80"/>
      <c r="J104" s="80"/>
      <c r="K104" s="80"/>
      <c r="L104" s="88" t="str">
        <f aca="false">IF(D104="","",SUM(F104:K104))</f>
        <v/>
      </c>
      <c r="M104" s="87" t="str">
        <f aca="false">IF(D104="","",D104-L104)</f>
        <v/>
      </c>
      <c r="N104" s="36" t="str">
        <f aca="false">IF(OR(D104="",N(D104)=0),"",L104/D104)</f>
        <v/>
      </c>
      <c r="O104" s="10" t="str">
        <f aca="false">IF(D104="","",L104*E104)</f>
        <v/>
      </c>
      <c r="P104" s="10" t="str">
        <f aca="false">IF(D104="","",M104*E104)</f>
        <v/>
      </c>
    </row>
    <row r="105" customFormat="false" ht="16.5" hidden="false" customHeight="true" outlineLevel="0" collapsed="false">
      <c r="A105" s="23" t="str">
        <f aca="false">IF(PRESUPUESTO!$A92="Ítem",PRESUPUESTO!B92,"")</f>
        <v/>
      </c>
      <c r="B105" s="23" t="str">
        <f aca="false">IF(PRESUPUESTO!C92="","",PRESUPUESTO!C92)</f>
        <v/>
      </c>
      <c r="C105" s="86" t="str">
        <f aca="false">IF(PRESUPUESTO!$A92="Ítem",PRESUPUESTO!D92,"")</f>
        <v/>
      </c>
      <c r="D105" s="87" t="str">
        <f aca="false">IF(PRESUPUESTO!$A92="Ítem",PRESUPUESTO!E92,"")</f>
        <v/>
      </c>
      <c r="E105" s="10" t="str">
        <f aca="false">IF(D105="","",PRESUPUESTO!F92)</f>
        <v/>
      </c>
      <c r="F105" s="80"/>
      <c r="G105" s="80"/>
      <c r="H105" s="80"/>
      <c r="I105" s="80"/>
      <c r="J105" s="80"/>
      <c r="K105" s="80"/>
      <c r="L105" s="88" t="str">
        <f aca="false">IF(D105="","",SUM(F105:K105))</f>
        <v/>
      </c>
      <c r="M105" s="87" t="str">
        <f aca="false">IF(D105="","",D105-L105)</f>
        <v/>
      </c>
      <c r="N105" s="36" t="str">
        <f aca="false">IF(OR(D105="",N(D105)=0),"",L105/D105)</f>
        <v/>
      </c>
      <c r="O105" s="10" t="str">
        <f aca="false">IF(D105="","",L105*E105)</f>
        <v/>
      </c>
      <c r="P105" s="10" t="str">
        <f aca="false">IF(D105="","",M105*E105)</f>
        <v/>
      </c>
    </row>
    <row r="106" customFormat="false" ht="16.5" hidden="false" customHeight="true" outlineLevel="0" collapsed="false">
      <c r="A106" s="23" t="str">
        <f aca="false">IF(PRESUPUESTO!$A93="Ítem",PRESUPUESTO!B93,"")</f>
        <v/>
      </c>
      <c r="B106" s="23" t="str">
        <f aca="false">IF(PRESUPUESTO!C93="","",PRESUPUESTO!C93)</f>
        <v/>
      </c>
      <c r="C106" s="86" t="str">
        <f aca="false">IF(PRESUPUESTO!$A93="Ítem",PRESUPUESTO!D93,"")</f>
        <v/>
      </c>
      <c r="D106" s="87" t="str">
        <f aca="false">IF(PRESUPUESTO!$A93="Ítem",PRESUPUESTO!E93,"")</f>
        <v/>
      </c>
      <c r="E106" s="10" t="str">
        <f aca="false">IF(D106="","",PRESUPUESTO!F93)</f>
        <v/>
      </c>
      <c r="F106" s="80"/>
      <c r="G106" s="80"/>
      <c r="H106" s="80"/>
      <c r="I106" s="80"/>
      <c r="J106" s="80"/>
      <c r="K106" s="80"/>
      <c r="L106" s="88" t="str">
        <f aca="false">IF(D106="","",SUM(F106:K106))</f>
        <v/>
      </c>
      <c r="M106" s="87" t="str">
        <f aca="false">IF(D106="","",D106-L106)</f>
        <v/>
      </c>
      <c r="N106" s="36" t="str">
        <f aca="false">IF(OR(D106="",N(D106)=0),"",L106/D106)</f>
        <v/>
      </c>
      <c r="O106" s="10" t="str">
        <f aca="false">IF(D106="","",L106*E106)</f>
        <v/>
      </c>
      <c r="P106" s="10" t="str">
        <f aca="false">IF(D106="","",M106*E106)</f>
        <v/>
      </c>
    </row>
    <row r="107" customFormat="false" ht="16.5" hidden="false" customHeight="true" outlineLevel="0" collapsed="false">
      <c r="A107" s="23" t="str">
        <f aca="false">IF(PRESUPUESTO!$A94="Ítem",PRESUPUESTO!B94,"")</f>
        <v/>
      </c>
      <c r="B107" s="23" t="str">
        <f aca="false">IF(PRESUPUESTO!C94="","",PRESUPUESTO!C94)</f>
        <v/>
      </c>
      <c r="C107" s="86" t="str">
        <f aca="false">IF(PRESUPUESTO!$A94="Ítem",PRESUPUESTO!D94,"")</f>
        <v/>
      </c>
      <c r="D107" s="87" t="str">
        <f aca="false">IF(PRESUPUESTO!$A94="Ítem",PRESUPUESTO!E94,"")</f>
        <v/>
      </c>
      <c r="E107" s="10" t="str">
        <f aca="false">IF(D107="","",PRESUPUESTO!F94)</f>
        <v/>
      </c>
      <c r="F107" s="80"/>
      <c r="G107" s="80"/>
      <c r="H107" s="80"/>
      <c r="I107" s="80"/>
      <c r="J107" s="80"/>
      <c r="K107" s="80"/>
      <c r="L107" s="88" t="str">
        <f aca="false">IF(D107="","",SUM(F107:K107))</f>
        <v/>
      </c>
      <c r="M107" s="87" t="str">
        <f aca="false">IF(D107="","",D107-L107)</f>
        <v/>
      </c>
      <c r="N107" s="36" t="str">
        <f aca="false">IF(OR(D107="",N(D107)=0),"",L107/D107)</f>
        <v/>
      </c>
      <c r="O107" s="10" t="str">
        <f aca="false">IF(D107="","",L107*E107)</f>
        <v/>
      </c>
      <c r="P107" s="10" t="str">
        <f aca="false">IF(D107="","",M107*E107)</f>
        <v/>
      </c>
    </row>
    <row r="108" customFormat="false" ht="16.5" hidden="false" customHeight="true" outlineLevel="0" collapsed="false">
      <c r="A108" s="23" t="str">
        <f aca="false">IF(PRESUPUESTO!$A95="Ítem",PRESUPUESTO!B95,"")</f>
        <v/>
      </c>
      <c r="B108" s="23" t="str">
        <f aca="false">IF(PRESUPUESTO!C95="","",PRESUPUESTO!C95)</f>
        <v/>
      </c>
      <c r="C108" s="86" t="str">
        <f aca="false">IF(PRESUPUESTO!$A95="Ítem",PRESUPUESTO!D95,"")</f>
        <v/>
      </c>
      <c r="D108" s="87" t="str">
        <f aca="false">IF(PRESUPUESTO!$A95="Ítem",PRESUPUESTO!E95,"")</f>
        <v/>
      </c>
      <c r="E108" s="10" t="str">
        <f aca="false">IF(D108="","",PRESUPUESTO!F95)</f>
        <v/>
      </c>
      <c r="F108" s="80"/>
      <c r="G108" s="80"/>
      <c r="H108" s="80"/>
      <c r="I108" s="80"/>
      <c r="J108" s="80"/>
      <c r="K108" s="80"/>
      <c r="L108" s="88" t="str">
        <f aca="false">IF(D108="","",SUM(F108:K108))</f>
        <v/>
      </c>
      <c r="M108" s="87" t="str">
        <f aca="false">IF(D108="","",D108-L108)</f>
        <v/>
      </c>
      <c r="N108" s="36" t="str">
        <f aca="false">IF(OR(D108="",N(D108)=0),"",L108/D108)</f>
        <v/>
      </c>
      <c r="O108" s="10" t="str">
        <f aca="false">IF(D108="","",L108*E108)</f>
        <v/>
      </c>
      <c r="P108" s="10" t="str">
        <f aca="false">IF(D108="","",M108*E108)</f>
        <v/>
      </c>
    </row>
    <row r="109" customFormat="false" ht="16.5" hidden="false" customHeight="true" outlineLevel="0" collapsed="false">
      <c r="A109" s="23" t="str">
        <f aca="false">IF(PRESUPUESTO!$A96="Ítem",PRESUPUESTO!B96,"")</f>
        <v/>
      </c>
      <c r="B109" s="23" t="str">
        <f aca="false">IF(PRESUPUESTO!C96="","",PRESUPUESTO!C96)</f>
        <v/>
      </c>
      <c r="C109" s="86" t="str">
        <f aca="false">IF(PRESUPUESTO!$A96="Ítem",PRESUPUESTO!D96,"")</f>
        <v/>
      </c>
      <c r="D109" s="87" t="str">
        <f aca="false">IF(PRESUPUESTO!$A96="Ítem",PRESUPUESTO!E96,"")</f>
        <v/>
      </c>
      <c r="E109" s="10" t="str">
        <f aca="false">IF(D109="","",PRESUPUESTO!F96)</f>
        <v/>
      </c>
      <c r="F109" s="80"/>
      <c r="G109" s="80"/>
      <c r="H109" s="80"/>
      <c r="I109" s="80"/>
      <c r="J109" s="80"/>
      <c r="K109" s="80"/>
      <c r="L109" s="88" t="str">
        <f aca="false">IF(D109="","",SUM(F109:K109))</f>
        <v/>
      </c>
      <c r="M109" s="87" t="str">
        <f aca="false">IF(D109="","",D109-L109)</f>
        <v/>
      </c>
      <c r="N109" s="36" t="str">
        <f aca="false">IF(OR(D109="",N(D109)=0),"",L109/D109)</f>
        <v/>
      </c>
      <c r="O109" s="10" t="str">
        <f aca="false">IF(D109="","",L109*E109)</f>
        <v/>
      </c>
      <c r="P109" s="10" t="str">
        <f aca="false">IF(D109="","",M109*E109)</f>
        <v/>
      </c>
    </row>
    <row r="110" customFormat="false" ht="16.5" hidden="false" customHeight="true" outlineLevel="0" collapsed="false">
      <c r="A110" s="23" t="str">
        <f aca="false">IF(PRESUPUESTO!$A97="Ítem",PRESUPUESTO!B97,"")</f>
        <v/>
      </c>
      <c r="B110" s="23" t="str">
        <f aca="false">IF(PRESUPUESTO!C97="","",PRESUPUESTO!C97)</f>
        <v/>
      </c>
      <c r="C110" s="86" t="str">
        <f aca="false">IF(PRESUPUESTO!$A97="Ítem",PRESUPUESTO!D97,"")</f>
        <v/>
      </c>
      <c r="D110" s="87" t="str">
        <f aca="false">IF(PRESUPUESTO!$A97="Ítem",PRESUPUESTO!E97,"")</f>
        <v/>
      </c>
      <c r="E110" s="10" t="str">
        <f aca="false">IF(D110="","",PRESUPUESTO!F97)</f>
        <v/>
      </c>
      <c r="F110" s="80"/>
      <c r="G110" s="80"/>
      <c r="H110" s="80"/>
      <c r="I110" s="80"/>
      <c r="J110" s="80"/>
      <c r="K110" s="80"/>
      <c r="L110" s="88" t="str">
        <f aca="false">IF(D110="","",SUM(F110:K110))</f>
        <v/>
      </c>
      <c r="M110" s="87" t="str">
        <f aca="false">IF(D110="","",D110-L110)</f>
        <v/>
      </c>
      <c r="N110" s="36" t="str">
        <f aca="false">IF(OR(D110="",N(D110)=0),"",L110/D110)</f>
        <v/>
      </c>
      <c r="O110" s="10" t="str">
        <f aca="false">IF(D110="","",L110*E110)</f>
        <v/>
      </c>
      <c r="P110" s="10" t="str">
        <f aca="false">IF(D110="","",M110*E110)</f>
        <v/>
      </c>
    </row>
    <row r="111" customFormat="false" ht="16.5" hidden="false" customHeight="true" outlineLevel="0" collapsed="false">
      <c r="A111" s="23" t="str">
        <f aca="false">IF(PRESUPUESTO!$A98="Ítem",PRESUPUESTO!B98,"")</f>
        <v/>
      </c>
      <c r="B111" s="23" t="str">
        <f aca="false">IF(PRESUPUESTO!C98="","",PRESUPUESTO!C98)</f>
        <v/>
      </c>
      <c r="C111" s="86" t="str">
        <f aca="false">IF(PRESUPUESTO!$A98="Ítem",PRESUPUESTO!D98,"")</f>
        <v/>
      </c>
      <c r="D111" s="87" t="str">
        <f aca="false">IF(PRESUPUESTO!$A98="Ítem",PRESUPUESTO!E98,"")</f>
        <v/>
      </c>
      <c r="E111" s="10" t="str">
        <f aca="false">IF(D111="","",PRESUPUESTO!F98)</f>
        <v/>
      </c>
      <c r="F111" s="80"/>
      <c r="G111" s="80"/>
      <c r="H111" s="80"/>
      <c r="I111" s="80"/>
      <c r="J111" s="80"/>
      <c r="K111" s="80"/>
      <c r="L111" s="88" t="str">
        <f aca="false">IF(D111="","",SUM(F111:K111))</f>
        <v/>
      </c>
      <c r="M111" s="87" t="str">
        <f aca="false">IF(D111="","",D111-L111)</f>
        <v/>
      </c>
      <c r="N111" s="36" t="str">
        <f aca="false">IF(OR(D111="",N(D111)=0),"",L111/D111)</f>
        <v/>
      </c>
      <c r="O111" s="10" t="str">
        <f aca="false">IF(D111="","",L111*E111)</f>
        <v/>
      </c>
      <c r="P111" s="10" t="str">
        <f aca="false">IF(D111="","",M111*E111)</f>
        <v/>
      </c>
    </row>
    <row r="112" customFormat="false" ht="16.5" hidden="false" customHeight="true" outlineLevel="0" collapsed="false">
      <c r="A112" s="23" t="str">
        <f aca="false">IF(PRESUPUESTO!$A99="Ítem",PRESUPUESTO!B99,"")</f>
        <v/>
      </c>
      <c r="B112" s="23" t="str">
        <f aca="false">IF(PRESUPUESTO!C99="","",PRESUPUESTO!C99)</f>
        <v/>
      </c>
      <c r="C112" s="86" t="str">
        <f aca="false">IF(PRESUPUESTO!$A99="Ítem",PRESUPUESTO!D99,"")</f>
        <v/>
      </c>
      <c r="D112" s="87" t="str">
        <f aca="false">IF(PRESUPUESTO!$A99="Ítem",PRESUPUESTO!E99,"")</f>
        <v/>
      </c>
      <c r="E112" s="10" t="str">
        <f aca="false">IF(D112="","",PRESUPUESTO!F99)</f>
        <v/>
      </c>
      <c r="F112" s="80"/>
      <c r="G112" s="80"/>
      <c r="H112" s="80"/>
      <c r="I112" s="80"/>
      <c r="J112" s="80"/>
      <c r="K112" s="80"/>
      <c r="L112" s="88" t="str">
        <f aca="false">IF(D112="","",SUM(F112:K112))</f>
        <v/>
      </c>
      <c r="M112" s="87" t="str">
        <f aca="false">IF(D112="","",D112-L112)</f>
        <v/>
      </c>
      <c r="N112" s="36" t="str">
        <f aca="false">IF(OR(D112="",N(D112)=0),"",L112/D112)</f>
        <v/>
      </c>
      <c r="O112" s="10" t="str">
        <f aca="false">IF(D112="","",L112*E112)</f>
        <v/>
      </c>
      <c r="P112" s="10" t="str">
        <f aca="false">IF(D112="","",M112*E112)</f>
        <v/>
      </c>
    </row>
    <row r="113" customFormat="false" ht="16.5" hidden="false" customHeight="true" outlineLevel="0" collapsed="false">
      <c r="A113" s="23" t="str">
        <f aca="false">IF(PRESUPUESTO!$A100="Ítem",PRESUPUESTO!B100,"")</f>
        <v/>
      </c>
      <c r="B113" s="23" t="str">
        <f aca="false">IF(PRESUPUESTO!C100="","",PRESUPUESTO!C100)</f>
        <v/>
      </c>
      <c r="C113" s="86" t="str">
        <f aca="false">IF(PRESUPUESTO!$A100="Ítem",PRESUPUESTO!D100,"")</f>
        <v/>
      </c>
      <c r="D113" s="87" t="str">
        <f aca="false">IF(PRESUPUESTO!$A100="Ítem",PRESUPUESTO!E100,"")</f>
        <v/>
      </c>
      <c r="E113" s="10" t="str">
        <f aca="false">IF(D113="","",PRESUPUESTO!F100)</f>
        <v/>
      </c>
      <c r="F113" s="80"/>
      <c r="G113" s="80"/>
      <c r="H113" s="80"/>
      <c r="I113" s="80"/>
      <c r="J113" s="80"/>
      <c r="K113" s="80"/>
      <c r="L113" s="88" t="str">
        <f aca="false">IF(D113="","",SUM(F113:K113))</f>
        <v/>
      </c>
      <c r="M113" s="87" t="str">
        <f aca="false">IF(D113="","",D113-L113)</f>
        <v/>
      </c>
      <c r="N113" s="36" t="str">
        <f aca="false">IF(OR(D113="",N(D113)=0),"",L113/D113)</f>
        <v/>
      </c>
      <c r="O113" s="10" t="str">
        <f aca="false">IF(D113="","",L113*E113)</f>
        <v/>
      </c>
      <c r="P113" s="10" t="str">
        <f aca="false">IF(D113="","",M113*E113)</f>
        <v/>
      </c>
    </row>
    <row r="114" customFormat="false" ht="16.5" hidden="false" customHeight="true" outlineLevel="0" collapsed="false">
      <c r="A114" s="23" t="str">
        <f aca="false">IF(PRESUPUESTO!$A101="Ítem",PRESUPUESTO!B101,"")</f>
        <v/>
      </c>
      <c r="B114" s="23" t="str">
        <f aca="false">IF(PRESUPUESTO!C101="","",PRESUPUESTO!C101)</f>
        <v/>
      </c>
      <c r="C114" s="86" t="str">
        <f aca="false">IF(PRESUPUESTO!$A101="Ítem",PRESUPUESTO!D101,"")</f>
        <v/>
      </c>
      <c r="D114" s="87" t="str">
        <f aca="false">IF(PRESUPUESTO!$A101="Ítem",PRESUPUESTO!E101,"")</f>
        <v/>
      </c>
      <c r="E114" s="10" t="str">
        <f aca="false">IF(D114="","",PRESUPUESTO!F101)</f>
        <v/>
      </c>
      <c r="F114" s="80"/>
      <c r="G114" s="80"/>
      <c r="H114" s="80"/>
      <c r="I114" s="80"/>
      <c r="J114" s="80"/>
      <c r="K114" s="80"/>
      <c r="L114" s="88" t="str">
        <f aca="false">IF(D114="","",SUM(F114:K114))</f>
        <v/>
      </c>
      <c r="M114" s="87" t="str">
        <f aca="false">IF(D114="","",D114-L114)</f>
        <v/>
      </c>
      <c r="N114" s="36" t="str">
        <f aca="false">IF(OR(D114="",N(D114)=0),"",L114/D114)</f>
        <v/>
      </c>
      <c r="O114" s="10" t="str">
        <f aca="false">IF(D114="","",L114*E114)</f>
        <v/>
      </c>
      <c r="P114" s="10" t="str">
        <f aca="false">IF(D114="","",M114*E114)</f>
        <v/>
      </c>
    </row>
    <row r="115" customFormat="false" ht="16.5" hidden="false" customHeight="true" outlineLevel="0" collapsed="false">
      <c r="A115" s="23" t="str">
        <f aca="false">IF(PRESUPUESTO!$A102="Ítem",PRESUPUESTO!B102,"")</f>
        <v/>
      </c>
      <c r="B115" s="23" t="str">
        <f aca="false">IF(PRESUPUESTO!C102="","",PRESUPUESTO!C102)</f>
        <v/>
      </c>
      <c r="C115" s="86" t="str">
        <f aca="false">IF(PRESUPUESTO!$A102="Ítem",PRESUPUESTO!D102,"")</f>
        <v/>
      </c>
      <c r="D115" s="87" t="str">
        <f aca="false">IF(PRESUPUESTO!$A102="Ítem",PRESUPUESTO!E102,"")</f>
        <v/>
      </c>
      <c r="E115" s="10" t="str">
        <f aca="false">IF(D115="","",PRESUPUESTO!F102)</f>
        <v/>
      </c>
      <c r="F115" s="80"/>
      <c r="G115" s="80"/>
      <c r="H115" s="80"/>
      <c r="I115" s="80"/>
      <c r="J115" s="80"/>
      <c r="K115" s="80"/>
      <c r="L115" s="88" t="str">
        <f aca="false">IF(D115="","",SUM(F115:K115))</f>
        <v/>
      </c>
      <c r="M115" s="87" t="str">
        <f aca="false">IF(D115="","",D115-L115)</f>
        <v/>
      </c>
      <c r="N115" s="36" t="str">
        <f aca="false">IF(OR(D115="",N(D115)=0),"",L115/D115)</f>
        <v/>
      </c>
      <c r="O115" s="10" t="str">
        <f aca="false">IF(D115="","",L115*E115)</f>
        <v/>
      </c>
      <c r="P115" s="10" t="str">
        <f aca="false">IF(D115="","",M115*E115)</f>
        <v/>
      </c>
    </row>
    <row r="116" customFormat="false" ht="16.5" hidden="false" customHeight="true" outlineLevel="0" collapsed="false">
      <c r="A116" s="23" t="str">
        <f aca="false">IF(PRESUPUESTO!$A103="Ítem",PRESUPUESTO!B103,"")</f>
        <v/>
      </c>
      <c r="B116" s="23" t="str">
        <f aca="false">IF(PRESUPUESTO!C103="","",PRESUPUESTO!C103)</f>
        <v/>
      </c>
      <c r="C116" s="86" t="str">
        <f aca="false">IF(PRESUPUESTO!$A103="Ítem",PRESUPUESTO!D103,"")</f>
        <v/>
      </c>
      <c r="D116" s="87" t="str">
        <f aca="false">IF(PRESUPUESTO!$A103="Ítem",PRESUPUESTO!E103,"")</f>
        <v/>
      </c>
      <c r="E116" s="10" t="str">
        <f aca="false">IF(D116="","",PRESUPUESTO!F103)</f>
        <v/>
      </c>
      <c r="F116" s="80"/>
      <c r="G116" s="80"/>
      <c r="H116" s="80"/>
      <c r="I116" s="80"/>
      <c r="J116" s="80"/>
      <c r="K116" s="80"/>
      <c r="L116" s="88" t="str">
        <f aca="false">IF(D116="","",SUM(F116:K116))</f>
        <v/>
      </c>
      <c r="M116" s="87" t="str">
        <f aca="false">IF(D116="","",D116-L116)</f>
        <v/>
      </c>
      <c r="N116" s="36" t="str">
        <f aca="false">IF(OR(D116="",N(D116)=0),"",L116/D116)</f>
        <v/>
      </c>
      <c r="O116" s="10" t="str">
        <f aca="false">IF(D116="","",L116*E116)</f>
        <v/>
      </c>
      <c r="P116" s="10" t="str">
        <f aca="false">IF(D116="","",M116*E116)</f>
        <v/>
      </c>
    </row>
    <row r="117" customFormat="false" ht="16.5" hidden="false" customHeight="true" outlineLevel="0" collapsed="false">
      <c r="A117" s="23" t="str">
        <f aca="false">IF(PRESUPUESTO!$A104="Ítem",PRESUPUESTO!B104,"")</f>
        <v/>
      </c>
      <c r="B117" s="23" t="str">
        <f aca="false">IF(PRESUPUESTO!C104="","",PRESUPUESTO!C104)</f>
        <v/>
      </c>
      <c r="C117" s="86" t="str">
        <f aca="false">IF(PRESUPUESTO!$A104="Ítem",PRESUPUESTO!D104,"")</f>
        <v/>
      </c>
      <c r="D117" s="87" t="str">
        <f aca="false">IF(PRESUPUESTO!$A104="Ítem",PRESUPUESTO!E104,"")</f>
        <v/>
      </c>
      <c r="E117" s="10" t="str">
        <f aca="false">IF(D117="","",PRESUPUESTO!F104)</f>
        <v/>
      </c>
      <c r="F117" s="80"/>
      <c r="G117" s="80"/>
      <c r="H117" s="80"/>
      <c r="I117" s="80"/>
      <c r="J117" s="80"/>
      <c r="K117" s="80"/>
      <c r="L117" s="88" t="str">
        <f aca="false">IF(D117="","",SUM(F117:K117))</f>
        <v/>
      </c>
      <c r="M117" s="87" t="str">
        <f aca="false">IF(D117="","",D117-L117)</f>
        <v/>
      </c>
      <c r="N117" s="36" t="str">
        <f aca="false">IF(OR(D117="",N(D117)=0),"",L117/D117)</f>
        <v/>
      </c>
      <c r="O117" s="10" t="str">
        <f aca="false">IF(D117="","",L117*E117)</f>
        <v/>
      </c>
      <c r="P117" s="10" t="str">
        <f aca="false">IF(D117="","",M117*E117)</f>
        <v/>
      </c>
    </row>
    <row r="118" customFormat="false" ht="16.5" hidden="false" customHeight="true" outlineLevel="0" collapsed="false">
      <c r="A118" s="23" t="str">
        <f aca="false">IF(PRESUPUESTO!$A105="Ítem",PRESUPUESTO!B105,"")</f>
        <v/>
      </c>
      <c r="B118" s="23" t="str">
        <f aca="false">IF(PRESUPUESTO!C105="","",PRESUPUESTO!C105)</f>
        <v/>
      </c>
      <c r="C118" s="86" t="str">
        <f aca="false">IF(PRESUPUESTO!$A105="Ítem",PRESUPUESTO!D105,"")</f>
        <v/>
      </c>
      <c r="D118" s="87" t="str">
        <f aca="false">IF(PRESUPUESTO!$A105="Ítem",PRESUPUESTO!E105,"")</f>
        <v/>
      </c>
      <c r="E118" s="10" t="str">
        <f aca="false">IF(D118="","",PRESUPUESTO!F105)</f>
        <v/>
      </c>
      <c r="F118" s="80"/>
      <c r="G118" s="80"/>
      <c r="H118" s="80"/>
      <c r="I118" s="80"/>
      <c r="J118" s="80"/>
      <c r="K118" s="80"/>
      <c r="L118" s="88" t="str">
        <f aca="false">IF(D118="","",SUM(F118:K118))</f>
        <v/>
      </c>
      <c r="M118" s="87" t="str">
        <f aca="false">IF(D118="","",D118-L118)</f>
        <v/>
      </c>
      <c r="N118" s="36" t="str">
        <f aca="false">IF(OR(D118="",N(D118)=0),"",L118/D118)</f>
        <v/>
      </c>
      <c r="O118" s="10" t="str">
        <f aca="false">IF(D118="","",L118*E118)</f>
        <v/>
      </c>
      <c r="P118" s="10" t="str">
        <f aca="false">IF(D118="","",M118*E118)</f>
        <v/>
      </c>
    </row>
    <row r="119" customFormat="false" ht="16.5" hidden="false" customHeight="true" outlineLevel="0" collapsed="false">
      <c r="A119" s="23" t="str">
        <f aca="false">IF(PRESUPUESTO!$A106="Ítem",PRESUPUESTO!B106,"")</f>
        <v/>
      </c>
      <c r="B119" s="23" t="str">
        <f aca="false">IF(PRESUPUESTO!C106="","",PRESUPUESTO!C106)</f>
        <v/>
      </c>
      <c r="C119" s="86" t="str">
        <f aca="false">IF(PRESUPUESTO!$A106="Ítem",PRESUPUESTO!D106,"")</f>
        <v/>
      </c>
      <c r="D119" s="87" t="str">
        <f aca="false">IF(PRESUPUESTO!$A106="Ítem",PRESUPUESTO!E106,"")</f>
        <v/>
      </c>
      <c r="E119" s="10" t="str">
        <f aca="false">IF(D119="","",PRESUPUESTO!F106)</f>
        <v/>
      </c>
      <c r="F119" s="80"/>
      <c r="G119" s="80"/>
      <c r="H119" s="80"/>
      <c r="I119" s="80"/>
      <c r="J119" s="80"/>
      <c r="K119" s="80"/>
      <c r="L119" s="88" t="str">
        <f aca="false">IF(D119="","",SUM(F119:K119))</f>
        <v/>
      </c>
      <c r="M119" s="87" t="str">
        <f aca="false">IF(D119="","",D119-L119)</f>
        <v/>
      </c>
      <c r="N119" s="36" t="str">
        <f aca="false">IF(OR(D119="",N(D119)=0),"",L119/D119)</f>
        <v/>
      </c>
      <c r="O119" s="10" t="str">
        <f aca="false">IF(D119="","",L119*E119)</f>
        <v/>
      </c>
      <c r="P119" s="10" t="str">
        <f aca="false">IF(D119="","",M119*E119)</f>
        <v/>
      </c>
    </row>
    <row r="120" customFormat="false" ht="16.5" hidden="false" customHeight="true" outlineLevel="0" collapsed="false">
      <c r="A120" s="23" t="str">
        <f aca="false">IF(PRESUPUESTO!$A107="Ítem",PRESUPUESTO!B107,"")</f>
        <v/>
      </c>
      <c r="B120" s="23" t="str">
        <f aca="false">IF(PRESUPUESTO!C107="","",PRESUPUESTO!C107)</f>
        <v/>
      </c>
      <c r="C120" s="86" t="str">
        <f aca="false">IF(PRESUPUESTO!$A107="Ítem",PRESUPUESTO!D107,"")</f>
        <v/>
      </c>
      <c r="D120" s="87" t="str">
        <f aca="false">IF(PRESUPUESTO!$A107="Ítem",PRESUPUESTO!E107,"")</f>
        <v/>
      </c>
      <c r="E120" s="10" t="str">
        <f aca="false">IF(D120="","",PRESUPUESTO!F107)</f>
        <v/>
      </c>
      <c r="F120" s="80"/>
      <c r="G120" s="80"/>
      <c r="H120" s="80"/>
      <c r="I120" s="80"/>
      <c r="J120" s="80"/>
      <c r="K120" s="80"/>
      <c r="L120" s="88" t="str">
        <f aca="false">IF(D120="","",SUM(F120:K120))</f>
        <v/>
      </c>
      <c r="M120" s="87" t="str">
        <f aca="false">IF(D120="","",D120-L120)</f>
        <v/>
      </c>
      <c r="N120" s="36" t="str">
        <f aca="false">IF(OR(D120="",N(D120)=0),"",L120/D120)</f>
        <v/>
      </c>
      <c r="O120" s="10" t="str">
        <f aca="false">IF(D120="","",L120*E120)</f>
        <v/>
      </c>
      <c r="P120" s="10" t="str">
        <f aca="false">IF(D120="","",M120*E120)</f>
        <v/>
      </c>
    </row>
    <row r="121" customFormat="false" ht="16.5" hidden="false" customHeight="true" outlineLevel="0" collapsed="false">
      <c r="A121" s="23" t="str">
        <f aca="false">IF(PRESUPUESTO!$A108="Ítem",PRESUPUESTO!B108,"")</f>
        <v/>
      </c>
      <c r="B121" s="23" t="str">
        <f aca="false">IF(PRESUPUESTO!C108="","",PRESUPUESTO!C108)</f>
        <v/>
      </c>
      <c r="C121" s="86" t="str">
        <f aca="false">IF(PRESUPUESTO!$A108="Ítem",PRESUPUESTO!D108,"")</f>
        <v/>
      </c>
      <c r="D121" s="87" t="str">
        <f aca="false">IF(PRESUPUESTO!$A108="Ítem",PRESUPUESTO!E108,"")</f>
        <v/>
      </c>
      <c r="E121" s="10" t="str">
        <f aca="false">IF(D121="","",PRESUPUESTO!F108)</f>
        <v/>
      </c>
      <c r="F121" s="80"/>
      <c r="G121" s="80"/>
      <c r="H121" s="80"/>
      <c r="I121" s="80"/>
      <c r="J121" s="80"/>
      <c r="K121" s="80"/>
      <c r="L121" s="88" t="str">
        <f aca="false">IF(D121="","",SUM(F121:K121))</f>
        <v/>
      </c>
      <c r="M121" s="87" t="str">
        <f aca="false">IF(D121="","",D121-L121)</f>
        <v/>
      </c>
      <c r="N121" s="36" t="str">
        <f aca="false">IF(OR(D121="",N(D121)=0),"",L121/D121)</f>
        <v/>
      </c>
      <c r="O121" s="10" t="str">
        <f aca="false">IF(D121="","",L121*E121)</f>
        <v/>
      </c>
      <c r="P121" s="10" t="str">
        <f aca="false">IF(D121="","",M121*E121)</f>
        <v/>
      </c>
    </row>
    <row r="122" customFormat="false" ht="16.5" hidden="false" customHeight="true" outlineLevel="0" collapsed="false">
      <c r="A122" s="23" t="str">
        <f aca="false">IF(PRESUPUESTO!$A109="Ítem",PRESUPUESTO!B109,"")</f>
        <v/>
      </c>
      <c r="B122" s="23" t="str">
        <f aca="false">IF(PRESUPUESTO!C109="","",PRESUPUESTO!C109)</f>
        <v/>
      </c>
      <c r="C122" s="86" t="str">
        <f aca="false">IF(PRESUPUESTO!$A109="Ítem",PRESUPUESTO!D109,"")</f>
        <v/>
      </c>
      <c r="D122" s="87" t="str">
        <f aca="false">IF(PRESUPUESTO!$A109="Ítem",PRESUPUESTO!E109,"")</f>
        <v/>
      </c>
      <c r="E122" s="10" t="str">
        <f aca="false">IF(D122="","",PRESUPUESTO!F109)</f>
        <v/>
      </c>
      <c r="F122" s="80"/>
      <c r="G122" s="80"/>
      <c r="H122" s="80"/>
      <c r="I122" s="80"/>
      <c r="J122" s="80"/>
      <c r="K122" s="80"/>
      <c r="L122" s="88" t="str">
        <f aca="false">IF(D122="","",SUM(F122:K122))</f>
        <v/>
      </c>
      <c r="M122" s="87" t="str">
        <f aca="false">IF(D122="","",D122-L122)</f>
        <v/>
      </c>
      <c r="N122" s="36" t="str">
        <f aca="false">IF(OR(D122="",N(D122)=0),"",L122/D122)</f>
        <v/>
      </c>
      <c r="O122" s="10" t="str">
        <f aca="false">IF(D122="","",L122*E122)</f>
        <v/>
      </c>
      <c r="P122" s="10" t="str">
        <f aca="false">IF(D122="","",M122*E122)</f>
        <v/>
      </c>
    </row>
    <row r="123" customFormat="false" ht="16.5" hidden="false" customHeight="true" outlineLevel="0" collapsed="false">
      <c r="A123" s="23" t="str">
        <f aca="false">IF(PRESUPUESTO!$A110="Ítem",PRESUPUESTO!B110,"")</f>
        <v/>
      </c>
      <c r="B123" s="23" t="str">
        <f aca="false">IF(PRESUPUESTO!C110="","",PRESUPUESTO!C110)</f>
        <v/>
      </c>
      <c r="C123" s="86" t="str">
        <f aca="false">IF(PRESUPUESTO!$A110="Ítem",PRESUPUESTO!D110,"")</f>
        <v/>
      </c>
      <c r="D123" s="87" t="str">
        <f aca="false">IF(PRESUPUESTO!$A110="Ítem",PRESUPUESTO!E110,"")</f>
        <v/>
      </c>
      <c r="E123" s="10" t="str">
        <f aca="false">IF(D123="","",PRESUPUESTO!F110)</f>
        <v/>
      </c>
      <c r="F123" s="80"/>
      <c r="G123" s="80"/>
      <c r="H123" s="80"/>
      <c r="I123" s="80"/>
      <c r="J123" s="80"/>
      <c r="K123" s="80"/>
      <c r="L123" s="88" t="str">
        <f aca="false">IF(D123="","",SUM(F123:K123))</f>
        <v/>
      </c>
      <c r="M123" s="87" t="str">
        <f aca="false">IF(D123="","",D123-L123)</f>
        <v/>
      </c>
      <c r="N123" s="36" t="str">
        <f aca="false">IF(OR(D123="",N(D123)=0),"",L123/D123)</f>
        <v/>
      </c>
      <c r="O123" s="10" t="str">
        <f aca="false">IF(D123="","",L123*E123)</f>
        <v/>
      </c>
      <c r="P123" s="10" t="str">
        <f aca="false">IF(D123="","",M123*E123)</f>
        <v/>
      </c>
    </row>
    <row r="124" customFormat="false" ht="16.5" hidden="false" customHeight="true" outlineLevel="0" collapsed="false">
      <c r="A124" s="23" t="str">
        <f aca="false">IF(PRESUPUESTO!$A111="Ítem",PRESUPUESTO!B111,"")</f>
        <v/>
      </c>
      <c r="B124" s="23" t="str">
        <f aca="false">IF(PRESUPUESTO!C111="","",PRESUPUESTO!C111)</f>
        <v/>
      </c>
      <c r="C124" s="86" t="str">
        <f aca="false">IF(PRESUPUESTO!$A111="Ítem",PRESUPUESTO!D111,"")</f>
        <v/>
      </c>
      <c r="D124" s="87" t="str">
        <f aca="false">IF(PRESUPUESTO!$A111="Ítem",PRESUPUESTO!E111,"")</f>
        <v/>
      </c>
      <c r="E124" s="10" t="str">
        <f aca="false">IF(D124="","",PRESUPUESTO!F111)</f>
        <v/>
      </c>
      <c r="F124" s="80"/>
      <c r="G124" s="80"/>
      <c r="H124" s="80"/>
      <c r="I124" s="80"/>
      <c r="J124" s="80"/>
      <c r="K124" s="80"/>
      <c r="L124" s="88" t="str">
        <f aca="false">IF(D124="","",SUM(F124:K124))</f>
        <v/>
      </c>
      <c r="M124" s="87" t="str">
        <f aca="false">IF(D124="","",D124-L124)</f>
        <v/>
      </c>
      <c r="N124" s="36" t="str">
        <f aca="false">IF(OR(D124="",N(D124)=0),"",L124/D124)</f>
        <v/>
      </c>
      <c r="O124" s="10" t="str">
        <f aca="false">IF(D124="","",L124*E124)</f>
        <v/>
      </c>
      <c r="P124" s="10" t="str">
        <f aca="false">IF(D124="","",M124*E124)</f>
        <v/>
      </c>
    </row>
    <row r="125" customFormat="false" ht="16.5" hidden="false" customHeight="true" outlineLevel="0" collapsed="false">
      <c r="A125" s="23" t="str">
        <f aca="false">IF(PRESUPUESTO!$A112="Ítem",PRESUPUESTO!B112,"")</f>
        <v/>
      </c>
      <c r="B125" s="23" t="str">
        <f aca="false">IF(PRESUPUESTO!C112="","",PRESUPUESTO!C112)</f>
        <v/>
      </c>
      <c r="C125" s="86" t="str">
        <f aca="false">IF(PRESUPUESTO!$A112="Ítem",PRESUPUESTO!D112,"")</f>
        <v/>
      </c>
      <c r="D125" s="87" t="str">
        <f aca="false">IF(PRESUPUESTO!$A112="Ítem",PRESUPUESTO!E112,"")</f>
        <v/>
      </c>
      <c r="E125" s="10" t="str">
        <f aca="false">IF(D125="","",PRESUPUESTO!F112)</f>
        <v/>
      </c>
      <c r="F125" s="80"/>
      <c r="G125" s="80"/>
      <c r="H125" s="80"/>
      <c r="I125" s="80"/>
      <c r="J125" s="80"/>
      <c r="K125" s="80"/>
      <c r="L125" s="88" t="str">
        <f aca="false">IF(D125="","",SUM(F125:K125))</f>
        <v/>
      </c>
      <c r="M125" s="87" t="str">
        <f aca="false">IF(D125="","",D125-L125)</f>
        <v/>
      </c>
      <c r="N125" s="36" t="str">
        <f aca="false">IF(OR(D125="",N(D125)=0),"",L125/D125)</f>
        <v/>
      </c>
      <c r="O125" s="10" t="str">
        <f aca="false">IF(D125="","",L125*E125)</f>
        <v/>
      </c>
      <c r="P125" s="10" t="str">
        <f aca="false">IF(D125="","",M125*E125)</f>
        <v/>
      </c>
    </row>
    <row r="126" customFormat="false" ht="16.5" hidden="false" customHeight="true" outlineLevel="0" collapsed="false">
      <c r="A126" s="23" t="str">
        <f aca="false">IF(PRESUPUESTO!$A113="Ítem",PRESUPUESTO!B113,"")</f>
        <v/>
      </c>
      <c r="B126" s="23" t="str">
        <f aca="false">IF(PRESUPUESTO!C113="","",PRESUPUESTO!C113)</f>
        <v/>
      </c>
      <c r="C126" s="86" t="str">
        <f aca="false">IF(PRESUPUESTO!$A113="Ítem",PRESUPUESTO!D113,"")</f>
        <v/>
      </c>
      <c r="D126" s="87" t="str">
        <f aca="false">IF(PRESUPUESTO!$A113="Ítem",PRESUPUESTO!E113,"")</f>
        <v/>
      </c>
      <c r="E126" s="10" t="str">
        <f aca="false">IF(D126="","",PRESUPUESTO!F113)</f>
        <v/>
      </c>
      <c r="F126" s="80"/>
      <c r="G126" s="80"/>
      <c r="H126" s="80"/>
      <c r="I126" s="80"/>
      <c r="J126" s="80"/>
      <c r="K126" s="80"/>
      <c r="L126" s="88" t="str">
        <f aca="false">IF(D126="","",SUM(F126:K126))</f>
        <v/>
      </c>
      <c r="M126" s="87" t="str">
        <f aca="false">IF(D126="","",D126-L126)</f>
        <v/>
      </c>
      <c r="N126" s="36" t="str">
        <f aca="false">IF(OR(D126="",N(D126)=0),"",L126/D126)</f>
        <v/>
      </c>
      <c r="O126" s="10" t="str">
        <f aca="false">IF(D126="","",L126*E126)</f>
        <v/>
      </c>
      <c r="P126" s="10" t="str">
        <f aca="false">IF(D126="","",M126*E126)</f>
        <v/>
      </c>
    </row>
    <row r="127" customFormat="false" ht="16.5" hidden="false" customHeight="true" outlineLevel="0" collapsed="false">
      <c r="A127" s="23" t="str">
        <f aca="false">IF(PRESUPUESTO!$A114="Ítem",PRESUPUESTO!B114,"")</f>
        <v/>
      </c>
      <c r="B127" s="23" t="str">
        <f aca="false">IF(PRESUPUESTO!C114="","",PRESUPUESTO!C114)</f>
        <v/>
      </c>
      <c r="C127" s="86" t="str">
        <f aca="false">IF(PRESUPUESTO!$A114="Ítem",PRESUPUESTO!D114,"")</f>
        <v/>
      </c>
      <c r="D127" s="87" t="str">
        <f aca="false">IF(PRESUPUESTO!$A114="Ítem",PRESUPUESTO!E114,"")</f>
        <v/>
      </c>
      <c r="E127" s="10" t="str">
        <f aca="false">IF(D127="","",PRESUPUESTO!F114)</f>
        <v/>
      </c>
      <c r="F127" s="80"/>
      <c r="G127" s="80"/>
      <c r="H127" s="80"/>
      <c r="I127" s="80"/>
      <c r="J127" s="80"/>
      <c r="K127" s="80"/>
      <c r="L127" s="88" t="str">
        <f aca="false">IF(D127="","",SUM(F127:K127))</f>
        <v/>
      </c>
      <c r="M127" s="87" t="str">
        <f aca="false">IF(D127="","",D127-L127)</f>
        <v/>
      </c>
      <c r="N127" s="36" t="str">
        <f aca="false">IF(OR(D127="",N(D127)=0),"",L127/D127)</f>
        <v/>
      </c>
      <c r="O127" s="10" t="str">
        <f aca="false">IF(D127="","",L127*E127)</f>
        <v/>
      </c>
      <c r="P127" s="10" t="str">
        <f aca="false">IF(D127="","",M127*E127)</f>
        <v/>
      </c>
    </row>
    <row r="128" customFormat="false" ht="16.5" hidden="false" customHeight="true" outlineLevel="0" collapsed="false">
      <c r="A128" s="23" t="str">
        <f aca="false">IF(PRESUPUESTO!$A115="Ítem",PRESUPUESTO!B115,"")</f>
        <v/>
      </c>
      <c r="B128" s="23" t="str">
        <f aca="false">IF(PRESUPUESTO!C115="","",PRESUPUESTO!C115)</f>
        <v/>
      </c>
      <c r="C128" s="86" t="str">
        <f aca="false">IF(PRESUPUESTO!$A115="Ítem",PRESUPUESTO!D115,"")</f>
        <v/>
      </c>
      <c r="D128" s="87" t="str">
        <f aca="false">IF(PRESUPUESTO!$A115="Ítem",PRESUPUESTO!E115,"")</f>
        <v/>
      </c>
      <c r="E128" s="10" t="str">
        <f aca="false">IF(D128="","",PRESUPUESTO!F115)</f>
        <v/>
      </c>
      <c r="F128" s="80"/>
      <c r="G128" s="80"/>
      <c r="H128" s="80"/>
      <c r="I128" s="80"/>
      <c r="J128" s="80"/>
      <c r="K128" s="80"/>
      <c r="L128" s="88" t="str">
        <f aca="false">IF(D128="","",SUM(F128:K128))</f>
        <v/>
      </c>
      <c r="M128" s="87" t="str">
        <f aca="false">IF(D128="","",D128-L128)</f>
        <v/>
      </c>
      <c r="N128" s="36" t="str">
        <f aca="false">IF(OR(D128="",N(D128)=0),"",L128/D128)</f>
        <v/>
      </c>
      <c r="O128" s="10" t="str">
        <f aca="false">IF(D128="","",L128*E128)</f>
        <v/>
      </c>
      <c r="P128" s="10" t="str">
        <f aca="false">IF(D128="","",M128*E128)</f>
        <v/>
      </c>
    </row>
    <row r="129" customFormat="false" ht="16.5" hidden="false" customHeight="true" outlineLevel="0" collapsed="false">
      <c r="A129" s="23" t="str">
        <f aca="false">IF(PRESUPUESTO!$A116="Ítem",PRESUPUESTO!B116,"")</f>
        <v/>
      </c>
      <c r="B129" s="23" t="str">
        <f aca="false">IF(PRESUPUESTO!C116="","",PRESUPUESTO!C116)</f>
        <v/>
      </c>
      <c r="C129" s="86" t="str">
        <f aca="false">IF(PRESUPUESTO!$A116="Ítem",PRESUPUESTO!D116,"")</f>
        <v/>
      </c>
      <c r="D129" s="87" t="str">
        <f aca="false">IF(PRESUPUESTO!$A116="Ítem",PRESUPUESTO!E116,"")</f>
        <v/>
      </c>
      <c r="E129" s="10" t="str">
        <f aca="false">IF(D129="","",PRESUPUESTO!F116)</f>
        <v/>
      </c>
      <c r="F129" s="80"/>
      <c r="G129" s="80"/>
      <c r="H129" s="80"/>
      <c r="I129" s="80"/>
      <c r="J129" s="80"/>
      <c r="K129" s="80"/>
      <c r="L129" s="88" t="str">
        <f aca="false">IF(D129="","",SUM(F129:K129))</f>
        <v/>
      </c>
      <c r="M129" s="87" t="str">
        <f aca="false">IF(D129="","",D129-L129)</f>
        <v/>
      </c>
      <c r="N129" s="36" t="str">
        <f aca="false">IF(OR(D129="",N(D129)=0),"",L129/D129)</f>
        <v/>
      </c>
      <c r="O129" s="10" t="str">
        <f aca="false">IF(D129="","",L129*E129)</f>
        <v/>
      </c>
      <c r="P129" s="10" t="str">
        <f aca="false">IF(D129="","",M129*E129)</f>
        <v/>
      </c>
    </row>
    <row r="130" customFormat="false" ht="16.5" hidden="false" customHeight="true" outlineLevel="0" collapsed="false">
      <c r="A130" s="23" t="str">
        <f aca="false">IF(PRESUPUESTO!$A117="Ítem",PRESUPUESTO!B117,"")</f>
        <v/>
      </c>
      <c r="B130" s="23" t="str">
        <f aca="false">IF(PRESUPUESTO!C117="","",PRESUPUESTO!C117)</f>
        <v/>
      </c>
      <c r="C130" s="86" t="str">
        <f aca="false">IF(PRESUPUESTO!$A117="Ítem",PRESUPUESTO!D117,"")</f>
        <v/>
      </c>
      <c r="D130" s="87" t="str">
        <f aca="false">IF(PRESUPUESTO!$A117="Ítem",PRESUPUESTO!E117,"")</f>
        <v/>
      </c>
      <c r="E130" s="10" t="str">
        <f aca="false">IF(D130="","",PRESUPUESTO!F117)</f>
        <v/>
      </c>
      <c r="F130" s="80"/>
      <c r="G130" s="80"/>
      <c r="H130" s="80"/>
      <c r="I130" s="80"/>
      <c r="J130" s="80"/>
      <c r="K130" s="80"/>
      <c r="L130" s="88" t="str">
        <f aca="false">IF(D130="","",SUM(F130:K130))</f>
        <v/>
      </c>
      <c r="M130" s="87" t="str">
        <f aca="false">IF(D130="","",D130-L130)</f>
        <v/>
      </c>
      <c r="N130" s="36" t="str">
        <f aca="false">IF(OR(D130="",N(D130)=0),"",L130/D130)</f>
        <v/>
      </c>
      <c r="O130" s="10" t="str">
        <f aca="false">IF(D130="","",L130*E130)</f>
        <v/>
      </c>
      <c r="P130" s="10" t="str">
        <f aca="false">IF(D130="","",M130*E130)</f>
        <v/>
      </c>
    </row>
    <row r="131" customFormat="false" ht="16.5" hidden="false" customHeight="true" outlineLevel="0" collapsed="false">
      <c r="A131" s="23" t="str">
        <f aca="false">IF(PRESUPUESTO!$A118="Ítem",PRESUPUESTO!B118,"")</f>
        <v/>
      </c>
      <c r="B131" s="23" t="str">
        <f aca="false">IF(PRESUPUESTO!C118="","",PRESUPUESTO!C118)</f>
        <v/>
      </c>
      <c r="C131" s="86" t="str">
        <f aca="false">IF(PRESUPUESTO!$A118="Ítem",PRESUPUESTO!D118,"")</f>
        <v/>
      </c>
      <c r="D131" s="87" t="str">
        <f aca="false">IF(PRESUPUESTO!$A118="Ítem",PRESUPUESTO!E118,"")</f>
        <v/>
      </c>
      <c r="E131" s="10" t="str">
        <f aca="false">IF(D131="","",PRESUPUESTO!F118)</f>
        <v/>
      </c>
      <c r="F131" s="80"/>
      <c r="G131" s="80"/>
      <c r="H131" s="80"/>
      <c r="I131" s="80"/>
      <c r="J131" s="80"/>
      <c r="K131" s="80"/>
      <c r="L131" s="88" t="str">
        <f aca="false">IF(D131="","",SUM(F131:K131))</f>
        <v/>
      </c>
      <c r="M131" s="87" t="str">
        <f aca="false">IF(D131="","",D131-L131)</f>
        <v/>
      </c>
      <c r="N131" s="36" t="str">
        <f aca="false">IF(OR(D131="",N(D131)=0),"",L131/D131)</f>
        <v/>
      </c>
      <c r="O131" s="10" t="str">
        <f aca="false">IF(D131="","",L131*E131)</f>
        <v/>
      </c>
      <c r="P131" s="10" t="str">
        <f aca="false">IF(D131="","",M131*E131)</f>
        <v/>
      </c>
    </row>
    <row r="132" customFormat="false" ht="16.5" hidden="false" customHeight="true" outlineLevel="0" collapsed="false">
      <c r="A132" s="23" t="str">
        <f aca="false">IF(PRESUPUESTO!$A119="Ítem",PRESUPUESTO!B119,"")</f>
        <v/>
      </c>
      <c r="B132" s="23" t="str">
        <f aca="false">IF(PRESUPUESTO!C119="","",PRESUPUESTO!C119)</f>
        <v/>
      </c>
      <c r="C132" s="86" t="str">
        <f aca="false">IF(PRESUPUESTO!$A119="Ítem",PRESUPUESTO!D119,"")</f>
        <v/>
      </c>
      <c r="D132" s="87" t="str">
        <f aca="false">IF(PRESUPUESTO!$A119="Ítem",PRESUPUESTO!E119,"")</f>
        <v/>
      </c>
      <c r="E132" s="10" t="str">
        <f aca="false">IF(D132="","",PRESUPUESTO!F119)</f>
        <v/>
      </c>
      <c r="F132" s="80"/>
      <c r="G132" s="80"/>
      <c r="H132" s="80"/>
      <c r="I132" s="80"/>
      <c r="J132" s="80"/>
      <c r="K132" s="80"/>
      <c r="L132" s="88" t="str">
        <f aca="false">IF(D132="","",SUM(F132:K132))</f>
        <v/>
      </c>
      <c r="M132" s="87" t="str">
        <f aca="false">IF(D132="","",D132-L132)</f>
        <v/>
      </c>
      <c r="N132" s="36" t="str">
        <f aca="false">IF(OR(D132="",N(D132)=0),"",L132/D132)</f>
        <v/>
      </c>
      <c r="O132" s="10" t="str">
        <f aca="false">IF(D132="","",L132*E132)</f>
        <v/>
      </c>
      <c r="P132" s="10" t="str">
        <f aca="false">IF(D132="","",M132*E132)</f>
        <v/>
      </c>
    </row>
    <row r="133" customFormat="false" ht="16.5" hidden="false" customHeight="true" outlineLevel="0" collapsed="false">
      <c r="A133" s="23" t="str">
        <f aca="false">IF(PRESUPUESTO!$A120="Ítem",PRESUPUESTO!B120,"")</f>
        <v/>
      </c>
      <c r="B133" s="23" t="str">
        <f aca="false">IF(PRESUPUESTO!C120="","",PRESUPUESTO!C120)</f>
        <v/>
      </c>
      <c r="C133" s="86" t="str">
        <f aca="false">IF(PRESUPUESTO!$A120="Ítem",PRESUPUESTO!D120,"")</f>
        <v/>
      </c>
      <c r="D133" s="87" t="str">
        <f aca="false">IF(PRESUPUESTO!$A120="Ítem",PRESUPUESTO!E120,"")</f>
        <v/>
      </c>
      <c r="E133" s="10" t="str">
        <f aca="false">IF(D133="","",PRESUPUESTO!F120)</f>
        <v/>
      </c>
      <c r="F133" s="80"/>
      <c r="G133" s="80"/>
      <c r="H133" s="80"/>
      <c r="I133" s="80"/>
      <c r="J133" s="80"/>
      <c r="K133" s="80"/>
      <c r="L133" s="88" t="str">
        <f aca="false">IF(D133="","",SUM(F133:K133))</f>
        <v/>
      </c>
      <c r="M133" s="87" t="str">
        <f aca="false">IF(D133="","",D133-L133)</f>
        <v/>
      </c>
      <c r="N133" s="36" t="str">
        <f aca="false">IF(OR(D133="",N(D133)=0),"",L133/D133)</f>
        <v/>
      </c>
      <c r="O133" s="10" t="str">
        <f aca="false">IF(D133="","",L133*E133)</f>
        <v/>
      </c>
      <c r="P133" s="10" t="str">
        <f aca="false">IF(D133="","",M133*E133)</f>
        <v/>
      </c>
    </row>
    <row r="134" customFormat="false" ht="16.5" hidden="false" customHeight="true" outlineLevel="0" collapsed="false">
      <c r="A134" s="23" t="str">
        <f aca="false">IF(PRESUPUESTO!$A121="Ítem",PRESUPUESTO!B121,"")</f>
        <v/>
      </c>
      <c r="B134" s="23" t="str">
        <f aca="false">IF(PRESUPUESTO!C121="","",PRESUPUESTO!C121)</f>
        <v/>
      </c>
      <c r="C134" s="86" t="str">
        <f aca="false">IF(PRESUPUESTO!$A121="Ítem",PRESUPUESTO!D121,"")</f>
        <v/>
      </c>
      <c r="D134" s="87" t="str">
        <f aca="false">IF(PRESUPUESTO!$A121="Ítem",PRESUPUESTO!E121,"")</f>
        <v/>
      </c>
      <c r="E134" s="10" t="str">
        <f aca="false">IF(D134="","",PRESUPUESTO!F121)</f>
        <v/>
      </c>
      <c r="F134" s="80"/>
      <c r="G134" s="80"/>
      <c r="H134" s="80"/>
      <c r="I134" s="80"/>
      <c r="J134" s="80"/>
      <c r="K134" s="80"/>
      <c r="L134" s="88" t="str">
        <f aca="false">IF(D134="","",SUM(F134:K134))</f>
        <v/>
      </c>
      <c r="M134" s="87" t="str">
        <f aca="false">IF(D134="","",D134-L134)</f>
        <v/>
      </c>
      <c r="N134" s="36" t="str">
        <f aca="false">IF(OR(D134="",N(D134)=0),"",L134/D134)</f>
        <v/>
      </c>
      <c r="O134" s="10" t="str">
        <f aca="false">IF(D134="","",L134*E134)</f>
        <v/>
      </c>
      <c r="P134" s="10" t="str">
        <f aca="false">IF(D134="","",M134*E134)</f>
        <v/>
      </c>
    </row>
    <row r="135" customFormat="false" ht="16.5" hidden="false" customHeight="true" outlineLevel="0" collapsed="false">
      <c r="A135" s="23" t="str">
        <f aca="false">IF(PRESUPUESTO!$A122="Ítem",PRESUPUESTO!B122,"")</f>
        <v/>
      </c>
      <c r="B135" s="23" t="str">
        <f aca="false">IF(PRESUPUESTO!C122="","",PRESUPUESTO!C122)</f>
        <v/>
      </c>
      <c r="C135" s="86" t="str">
        <f aca="false">IF(PRESUPUESTO!$A122="Ítem",PRESUPUESTO!D122,"")</f>
        <v/>
      </c>
      <c r="D135" s="87" t="str">
        <f aca="false">IF(PRESUPUESTO!$A122="Ítem",PRESUPUESTO!E122,"")</f>
        <v/>
      </c>
      <c r="E135" s="10" t="str">
        <f aca="false">IF(D135="","",PRESUPUESTO!F122)</f>
        <v/>
      </c>
      <c r="F135" s="80"/>
      <c r="G135" s="80"/>
      <c r="H135" s="80"/>
      <c r="I135" s="80"/>
      <c r="J135" s="80"/>
      <c r="K135" s="80"/>
      <c r="L135" s="88" t="str">
        <f aca="false">IF(D135="","",SUM(F135:K135))</f>
        <v/>
      </c>
      <c r="M135" s="87" t="str">
        <f aca="false">IF(D135="","",D135-L135)</f>
        <v/>
      </c>
      <c r="N135" s="36" t="str">
        <f aca="false">IF(OR(D135="",N(D135)=0),"",L135/D135)</f>
        <v/>
      </c>
      <c r="O135" s="10" t="str">
        <f aca="false">IF(D135="","",L135*E135)</f>
        <v/>
      </c>
      <c r="P135" s="10" t="str">
        <f aca="false">IF(D135="","",M135*E135)</f>
        <v/>
      </c>
    </row>
    <row r="136" customFormat="false" ht="16.5" hidden="false" customHeight="true" outlineLevel="0" collapsed="false">
      <c r="A136" s="23" t="str">
        <f aca="false">IF(PRESUPUESTO!$A123="Ítem",PRESUPUESTO!B123,"")</f>
        <v/>
      </c>
      <c r="B136" s="23" t="str">
        <f aca="false">IF(PRESUPUESTO!C123="","",PRESUPUESTO!C123)</f>
        <v/>
      </c>
      <c r="C136" s="86" t="str">
        <f aca="false">IF(PRESUPUESTO!$A123="Ítem",PRESUPUESTO!D123,"")</f>
        <v/>
      </c>
      <c r="D136" s="87" t="str">
        <f aca="false">IF(PRESUPUESTO!$A123="Ítem",PRESUPUESTO!E123,"")</f>
        <v/>
      </c>
      <c r="E136" s="10" t="str">
        <f aca="false">IF(D136="","",PRESUPUESTO!F123)</f>
        <v/>
      </c>
      <c r="F136" s="80"/>
      <c r="G136" s="80"/>
      <c r="H136" s="80"/>
      <c r="I136" s="80"/>
      <c r="J136" s="80"/>
      <c r="K136" s="80"/>
      <c r="L136" s="88" t="str">
        <f aca="false">IF(D136="","",SUM(F136:K136))</f>
        <v/>
      </c>
      <c r="M136" s="87" t="str">
        <f aca="false">IF(D136="","",D136-L136)</f>
        <v/>
      </c>
      <c r="N136" s="36" t="str">
        <f aca="false">IF(OR(D136="",N(D136)=0),"",L136/D136)</f>
        <v/>
      </c>
      <c r="O136" s="10" t="str">
        <f aca="false">IF(D136="","",L136*E136)</f>
        <v/>
      </c>
      <c r="P136" s="10" t="str">
        <f aca="false">IF(D136="","",M136*E136)</f>
        <v/>
      </c>
    </row>
    <row r="137" customFormat="false" ht="16.5" hidden="false" customHeight="true" outlineLevel="0" collapsed="false">
      <c r="A137" s="23" t="str">
        <f aca="false">IF(PRESUPUESTO!$A124="Ítem",PRESUPUESTO!B124,"")</f>
        <v/>
      </c>
      <c r="B137" s="23" t="str">
        <f aca="false">IF(PRESUPUESTO!C124="","",PRESUPUESTO!C124)</f>
        <v/>
      </c>
      <c r="C137" s="86" t="str">
        <f aca="false">IF(PRESUPUESTO!$A124="Ítem",PRESUPUESTO!D124,"")</f>
        <v/>
      </c>
      <c r="D137" s="87" t="str">
        <f aca="false">IF(PRESUPUESTO!$A124="Ítem",PRESUPUESTO!E124,"")</f>
        <v/>
      </c>
      <c r="E137" s="10" t="str">
        <f aca="false">IF(D137="","",PRESUPUESTO!F124)</f>
        <v/>
      </c>
      <c r="F137" s="80"/>
      <c r="G137" s="80"/>
      <c r="H137" s="80"/>
      <c r="I137" s="80"/>
      <c r="J137" s="80"/>
      <c r="K137" s="80"/>
      <c r="L137" s="88" t="str">
        <f aca="false">IF(D137="","",SUM(F137:K137))</f>
        <v/>
      </c>
      <c r="M137" s="87" t="str">
        <f aca="false">IF(D137="","",D137-L137)</f>
        <v/>
      </c>
      <c r="N137" s="36" t="str">
        <f aca="false">IF(OR(D137="",N(D137)=0),"",L137/D137)</f>
        <v/>
      </c>
      <c r="O137" s="10" t="str">
        <f aca="false">IF(D137="","",L137*E137)</f>
        <v/>
      </c>
      <c r="P137" s="10" t="str">
        <f aca="false">IF(D137="","",M137*E137)</f>
        <v/>
      </c>
    </row>
    <row r="138" customFormat="false" ht="16.5" hidden="false" customHeight="true" outlineLevel="0" collapsed="false">
      <c r="A138" s="23" t="str">
        <f aca="false">IF(PRESUPUESTO!$A125="Ítem",PRESUPUESTO!B125,"")</f>
        <v/>
      </c>
      <c r="B138" s="23" t="str">
        <f aca="false">IF(PRESUPUESTO!C125="","",PRESUPUESTO!C125)</f>
        <v/>
      </c>
      <c r="C138" s="86" t="str">
        <f aca="false">IF(PRESUPUESTO!$A125="Ítem",PRESUPUESTO!D125,"")</f>
        <v/>
      </c>
      <c r="D138" s="87" t="str">
        <f aca="false">IF(PRESUPUESTO!$A125="Ítem",PRESUPUESTO!E125,"")</f>
        <v/>
      </c>
      <c r="E138" s="10" t="str">
        <f aca="false">IF(D138="","",PRESUPUESTO!F125)</f>
        <v/>
      </c>
      <c r="F138" s="80"/>
      <c r="G138" s="80"/>
      <c r="H138" s="80"/>
      <c r="I138" s="80"/>
      <c r="J138" s="80"/>
      <c r="K138" s="80"/>
      <c r="L138" s="88" t="str">
        <f aca="false">IF(D138="","",SUM(F138:K138))</f>
        <v/>
      </c>
      <c r="M138" s="87" t="str">
        <f aca="false">IF(D138="","",D138-L138)</f>
        <v/>
      </c>
      <c r="N138" s="36" t="str">
        <f aca="false">IF(OR(D138="",N(D138)=0),"",L138/D138)</f>
        <v/>
      </c>
      <c r="O138" s="10" t="str">
        <f aca="false">IF(D138="","",L138*E138)</f>
        <v/>
      </c>
      <c r="P138" s="10" t="str">
        <f aca="false">IF(D138="","",M138*E138)</f>
        <v/>
      </c>
    </row>
    <row r="139" customFormat="false" ht="16.5" hidden="false" customHeight="true" outlineLevel="0" collapsed="false">
      <c r="A139" s="23" t="str">
        <f aca="false">IF(PRESUPUESTO!$A126="Ítem",PRESUPUESTO!B126,"")</f>
        <v/>
      </c>
      <c r="B139" s="23" t="str">
        <f aca="false">IF(PRESUPUESTO!C126="","",PRESUPUESTO!C126)</f>
        <v/>
      </c>
      <c r="C139" s="86" t="str">
        <f aca="false">IF(PRESUPUESTO!$A126="Ítem",PRESUPUESTO!D126,"")</f>
        <v/>
      </c>
      <c r="D139" s="87" t="str">
        <f aca="false">IF(PRESUPUESTO!$A126="Ítem",PRESUPUESTO!E126,"")</f>
        <v/>
      </c>
      <c r="E139" s="10" t="str">
        <f aca="false">IF(D139="","",PRESUPUESTO!F126)</f>
        <v/>
      </c>
      <c r="F139" s="80"/>
      <c r="G139" s="80"/>
      <c r="H139" s="80"/>
      <c r="I139" s="80"/>
      <c r="J139" s="80"/>
      <c r="K139" s="80"/>
      <c r="L139" s="88" t="str">
        <f aca="false">IF(D139="","",SUM(F139:K139))</f>
        <v/>
      </c>
      <c r="M139" s="87" t="str">
        <f aca="false">IF(D139="","",D139-L139)</f>
        <v/>
      </c>
      <c r="N139" s="36" t="str">
        <f aca="false">IF(OR(D139="",N(D139)=0),"",L139/D139)</f>
        <v/>
      </c>
      <c r="O139" s="10" t="str">
        <f aca="false">IF(D139="","",L139*E139)</f>
        <v/>
      </c>
      <c r="P139" s="10" t="str">
        <f aca="false">IF(D139="","",M139*E139)</f>
        <v/>
      </c>
    </row>
    <row r="140" customFormat="false" ht="16.5" hidden="false" customHeight="true" outlineLevel="0" collapsed="false">
      <c r="A140" s="23" t="str">
        <f aca="false">IF(PRESUPUESTO!$A127="Ítem",PRESUPUESTO!B127,"")</f>
        <v/>
      </c>
      <c r="B140" s="23" t="str">
        <f aca="false">IF(PRESUPUESTO!C127="","",PRESUPUESTO!C127)</f>
        <v/>
      </c>
      <c r="C140" s="86" t="str">
        <f aca="false">IF(PRESUPUESTO!$A127="Ítem",PRESUPUESTO!D127,"")</f>
        <v/>
      </c>
      <c r="D140" s="87" t="str">
        <f aca="false">IF(PRESUPUESTO!$A127="Ítem",PRESUPUESTO!E127,"")</f>
        <v/>
      </c>
      <c r="E140" s="10" t="str">
        <f aca="false">IF(D140="","",PRESUPUESTO!F127)</f>
        <v/>
      </c>
      <c r="F140" s="80"/>
      <c r="G140" s="80"/>
      <c r="H140" s="80"/>
      <c r="I140" s="80"/>
      <c r="J140" s="80"/>
      <c r="K140" s="80"/>
      <c r="L140" s="88" t="str">
        <f aca="false">IF(D140="","",SUM(F140:K140))</f>
        <v/>
      </c>
      <c r="M140" s="87" t="str">
        <f aca="false">IF(D140="","",D140-L140)</f>
        <v/>
      </c>
      <c r="N140" s="36" t="str">
        <f aca="false">IF(OR(D140="",N(D140)=0),"",L140/D140)</f>
        <v/>
      </c>
      <c r="O140" s="10" t="str">
        <f aca="false">IF(D140="","",L140*E140)</f>
        <v/>
      </c>
      <c r="P140" s="10" t="str">
        <f aca="false">IF(D140="","",M140*E140)</f>
        <v/>
      </c>
    </row>
    <row r="141" customFormat="false" ht="16.5" hidden="false" customHeight="true" outlineLevel="0" collapsed="false">
      <c r="A141" s="23" t="str">
        <f aca="false">IF(PRESUPUESTO!$A128="Ítem",PRESUPUESTO!B128,"")</f>
        <v/>
      </c>
      <c r="B141" s="23" t="str">
        <f aca="false">IF(PRESUPUESTO!C128="","",PRESUPUESTO!C128)</f>
        <v/>
      </c>
      <c r="C141" s="86" t="str">
        <f aca="false">IF(PRESUPUESTO!$A128="Ítem",PRESUPUESTO!D128,"")</f>
        <v/>
      </c>
      <c r="D141" s="87" t="str">
        <f aca="false">IF(PRESUPUESTO!$A128="Ítem",PRESUPUESTO!E128,"")</f>
        <v/>
      </c>
      <c r="E141" s="10" t="str">
        <f aca="false">IF(D141="","",PRESUPUESTO!F128)</f>
        <v/>
      </c>
      <c r="F141" s="80"/>
      <c r="G141" s="80"/>
      <c r="H141" s="80"/>
      <c r="I141" s="80"/>
      <c r="J141" s="80"/>
      <c r="K141" s="80"/>
      <c r="L141" s="88" t="str">
        <f aca="false">IF(D141="","",SUM(F141:K141))</f>
        <v/>
      </c>
      <c r="M141" s="87" t="str">
        <f aca="false">IF(D141="","",D141-L141)</f>
        <v/>
      </c>
      <c r="N141" s="36" t="str">
        <f aca="false">IF(OR(D141="",N(D141)=0),"",L141/D141)</f>
        <v/>
      </c>
      <c r="O141" s="10" t="str">
        <f aca="false">IF(D141="","",L141*E141)</f>
        <v/>
      </c>
      <c r="P141" s="10" t="str">
        <f aca="false">IF(D141="","",M141*E141)</f>
        <v/>
      </c>
    </row>
    <row r="142" customFormat="false" ht="16.5" hidden="false" customHeight="true" outlineLevel="0" collapsed="false">
      <c r="A142" s="23" t="str">
        <f aca="false">IF(PRESUPUESTO!$A129="Ítem",PRESUPUESTO!B129,"")</f>
        <v/>
      </c>
      <c r="B142" s="23" t="str">
        <f aca="false">IF(PRESUPUESTO!C129="","",PRESUPUESTO!C129)</f>
        <v/>
      </c>
      <c r="C142" s="86" t="str">
        <f aca="false">IF(PRESUPUESTO!$A129="Ítem",PRESUPUESTO!D129,"")</f>
        <v/>
      </c>
      <c r="D142" s="87" t="str">
        <f aca="false">IF(PRESUPUESTO!$A129="Ítem",PRESUPUESTO!E129,"")</f>
        <v/>
      </c>
      <c r="E142" s="10" t="str">
        <f aca="false">IF(D142="","",PRESUPUESTO!F129)</f>
        <v/>
      </c>
      <c r="F142" s="80"/>
      <c r="G142" s="80"/>
      <c r="H142" s="80"/>
      <c r="I142" s="80"/>
      <c r="J142" s="80"/>
      <c r="K142" s="80"/>
      <c r="L142" s="88" t="str">
        <f aca="false">IF(D142="","",SUM(F142:K142))</f>
        <v/>
      </c>
      <c r="M142" s="87" t="str">
        <f aca="false">IF(D142="","",D142-L142)</f>
        <v/>
      </c>
      <c r="N142" s="36" t="str">
        <f aca="false">IF(OR(D142="",N(D142)=0),"",L142/D142)</f>
        <v/>
      </c>
      <c r="O142" s="10" t="str">
        <f aca="false">IF(D142="","",L142*E142)</f>
        <v/>
      </c>
      <c r="P142" s="10" t="str">
        <f aca="false">IF(D142="","",M142*E142)</f>
        <v/>
      </c>
    </row>
    <row r="143" customFormat="false" ht="16.5" hidden="false" customHeight="true" outlineLevel="0" collapsed="false">
      <c r="A143" s="23" t="str">
        <f aca="false">IF(PRESUPUESTO!$A130="Ítem",PRESUPUESTO!B130,"")</f>
        <v/>
      </c>
      <c r="B143" s="23" t="str">
        <f aca="false">IF(PRESUPUESTO!C130="","",PRESUPUESTO!C130)</f>
        <v/>
      </c>
      <c r="C143" s="86" t="str">
        <f aca="false">IF(PRESUPUESTO!$A130="Ítem",PRESUPUESTO!D130,"")</f>
        <v/>
      </c>
      <c r="D143" s="87" t="str">
        <f aca="false">IF(PRESUPUESTO!$A130="Ítem",PRESUPUESTO!E130,"")</f>
        <v/>
      </c>
      <c r="E143" s="10" t="str">
        <f aca="false">IF(D143="","",PRESUPUESTO!F130)</f>
        <v/>
      </c>
      <c r="F143" s="80"/>
      <c r="G143" s="80"/>
      <c r="H143" s="80"/>
      <c r="I143" s="80"/>
      <c r="J143" s="80"/>
      <c r="K143" s="80"/>
      <c r="L143" s="88" t="str">
        <f aca="false">IF(D143="","",SUM(F143:K143))</f>
        <v/>
      </c>
      <c r="M143" s="87" t="str">
        <f aca="false">IF(D143="","",D143-L143)</f>
        <v/>
      </c>
      <c r="N143" s="36" t="str">
        <f aca="false">IF(OR(D143="",N(D143)=0),"",L143/D143)</f>
        <v/>
      </c>
      <c r="O143" s="10" t="str">
        <f aca="false">IF(D143="","",L143*E143)</f>
        <v/>
      </c>
      <c r="P143" s="10" t="str">
        <f aca="false">IF(D143="","",M143*E143)</f>
        <v/>
      </c>
    </row>
    <row r="144" customFormat="false" ht="16.5" hidden="false" customHeight="true" outlineLevel="0" collapsed="false">
      <c r="A144" s="23" t="str">
        <f aca="false">IF(PRESUPUESTO!$A131="Ítem",PRESUPUESTO!B131,"")</f>
        <v/>
      </c>
      <c r="B144" s="23" t="str">
        <f aca="false">IF(PRESUPUESTO!C131="","",PRESUPUESTO!C131)</f>
        <v/>
      </c>
      <c r="C144" s="86" t="str">
        <f aca="false">IF(PRESUPUESTO!$A131="Ítem",PRESUPUESTO!D131,"")</f>
        <v/>
      </c>
      <c r="D144" s="87" t="str">
        <f aca="false">IF(PRESUPUESTO!$A131="Ítem",PRESUPUESTO!E131,"")</f>
        <v/>
      </c>
      <c r="E144" s="10" t="str">
        <f aca="false">IF(D144="","",PRESUPUESTO!F131)</f>
        <v/>
      </c>
      <c r="F144" s="80"/>
      <c r="G144" s="80"/>
      <c r="H144" s="80"/>
      <c r="I144" s="80"/>
      <c r="J144" s="80"/>
      <c r="K144" s="80"/>
      <c r="L144" s="88" t="str">
        <f aca="false">IF(D144="","",SUM(F144:K144))</f>
        <v/>
      </c>
      <c r="M144" s="87" t="str">
        <f aca="false">IF(D144="","",D144-L144)</f>
        <v/>
      </c>
      <c r="N144" s="36" t="str">
        <f aca="false">IF(OR(D144="",N(D144)=0),"",L144/D144)</f>
        <v/>
      </c>
      <c r="O144" s="10" t="str">
        <f aca="false">IF(D144="","",L144*E144)</f>
        <v/>
      </c>
      <c r="P144" s="10" t="str">
        <f aca="false">IF(D144="","",M144*E144)</f>
        <v/>
      </c>
    </row>
    <row r="145" customFormat="false" ht="16.5" hidden="false" customHeight="true" outlineLevel="0" collapsed="false">
      <c r="A145" s="23" t="str">
        <f aca="false">IF(PRESUPUESTO!$A132="Ítem",PRESUPUESTO!B132,"")</f>
        <v/>
      </c>
      <c r="B145" s="23" t="str">
        <f aca="false">IF(PRESUPUESTO!C132="","",PRESUPUESTO!C132)</f>
        <v/>
      </c>
      <c r="C145" s="86" t="str">
        <f aca="false">IF(PRESUPUESTO!$A132="Ítem",PRESUPUESTO!D132,"")</f>
        <v/>
      </c>
      <c r="D145" s="87" t="str">
        <f aca="false">IF(PRESUPUESTO!$A132="Ítem",PRESUPUESTO!E132,"")</f>
        <v/>
      </c>
      <c r="E145" s="10" t="str">
        <f aca="false">IF(D145="","",PRESUPUESTO!F132)</f>
        <v/>
      </c>
      <c r="F145" s="80"/>
      <c r="G145" s="80"/>
      <c r="H145" s="80"/>
      <c r="I145" s="80"/>
      <c r="J145" s="80"/>
      <c r="K145" s="80"/>
      <c r="L145" s="88" t="str">
        <f aca="false">IF(D145="","",SUM(F145:K145))</f>
        <v/>
      </c>
      <c r="M145" s="87" t="str">
        <f aca="false">IF(D145="","",D145-L145)</f>
        <v/>
      </c>
      <c r="N145" s="36" t="str">
        <f aca="false">IF(OR(D145="",N(D145)=0),"",L145/D145)</f>
        <v/>
      </c>
      <c r="O145" s="10" t="str">
        <f aca="false">IF(D145="","",L145*E145)</f>
        <v/>
      </c>
      <c r="P145" s="10" t="str">
        <f aca="false">IF(D145="","",M145*E145)</f>
        <v/>
      </c>
    </row>
    <row r="146" customFormat="false" ht="16.5" hidden="false" customHeight="true" outlineLevel="0" collapsed="false">
      <c r="A146" s="23" t="str">
        <f aca="false">IF(PRESUPUESTO!$A133="Ítem",PRESUPUESTO!B133,"")</f>
        <v/>
      </c>
      <c r="B146" s="23" t="str">
        <f aca="false">IF(PRESUPUESTO!C133="","",PRESUPUESTO!C133)</f>
        <v/>
      </c>
      <c r="C146" s="86" t="str">
        <f aca="false">IF(PRESUPUESTO!$A133="Ítem",PRESUPUESTO!D133,"")</f>
        <v/>
      </c>
      <c r="D146" s="87" t="str">
        <f aca="false">IF(PRESUPUESTO!$A133="Ítem",PRESUPUESTO!E133,"")</f>
        <v/>
      </c>
      <c r="E146" s="10" t="str">
        <f aca="false">IF(D146="","",PRESUPUESTO!F133)</f>
        <v/>
      </c>
      <c r="F146" s="80"/>
      <c r="G146" s="80"/>
      <c r="H146" s="80"/>
      <c r="I146" s="80"/>
      <c r="J146" s="80"/>
      <c r="K146" s="80"/>
      <c r="L146" s="88" t="str">
        <f aca="false">IF(D146="","",SUM(F146:K146))</f>
        <v/>
      </c>
      <c r="M146" s="87" t="str">
        <f aca="false">IF(D146="","",D146-L146)</f>
        <v/>
      </c>
      <c r="N146" s="36" t="str">
        <f aca="false">IF(OR(D146="",N(D146)=0),"",L146/D146)</f>
        <v/>
      </c>
      <c r="O146" s="10" t="str">
        <f aca="false">IF(D146="","",L146*E146)</f>
        <v/>
      </c>
      <c r="P146" s="10" t="str">
        <f aca="false">IF(D146="","",M146*E146)</f>
        <v/>
      </c>
    </row>
    <row r="147" customFormat="false" ht="16.5" hidden="false" customHeight="true" outlineLevel="0" collapsed="false">
      <c r="A147" s="23" t="str">
        <f aca="false">IF(PRESUPUESTO!$A134="Ítem",PRESUPUESTO!B134,"")</f>
        <v/>
      </c>
      <c r="B147" s="23" t="str">
        <f aca="false">IF(PRESUPUESTO!C134="","",PRESUPUESTO!C134)</f>
        <v/>
      </c>
      <c r="C147" s="86" t="str">
        <f aca="false">IF(PRESUPUESTO!$A134="Ítem",PRESUPUESTO!D134,"")</f>
        <v/>
      </c>
      <c r="D147" s="87" t="str">
        <f aca="false">IF(PRESUPUESTO!$A134="Ítem",PRESUPUESTO!E134,"")</f>
        <v/>
      </c>
      <c r="E147" s="10" t="str">
        <f aca="false">IF(D147="","",PRESUPUESTO!F134)</f>
        <v/>
      </c>
      <c r="F147" s="80"/>
      <c r="G147" s="80"/>
      <c r="H147" s="80"/>
      <c r="I147" s="80"/>
      <c r="J147" s="80"/>
      <c r="K147" s="80"/>
      <c r="L147" s="88" t="str">
        <f aca="false">IF(D147="","",SUM(F147:K147))</f>
        <v/>
      </c>
      <c r="M147" s="87" t="str">
        <f aca="false">IF(D147="","",D147-L147)</f>
        <v/>
      </c>
      <c r="N147" s="36" t="str">
        <f aca="false">IF(OR(D147="",N(D147)=0),"",L147/D147)</f>
        <v/>
      </c>
      <c r="O147" s="10" t="str">
        <f aca="false">IF(D147="","",L147*E147)</f>
        <v/>
      </c>
      <c r="P147" s="10" t="str">
        <f aca="false">IF(D147="","",M147*E147)</f>
        <v/>
      </c>
    </row>
    <row r="148" customFormat="false" ht="16.5" hidden="false" customHeight="true" outlineLevel="0" collapsed="false">
      <c r="A148" s="23" t="str">
        <f aca="false">IF(PRESUPUESTO!$A135="Ítem",PRESUPUESTO!B135,"")</f>
        <v/>
      </c>
      <c r="B148" s="23" t="str">
        <f aca="false">IF(PRESUPUESTO!C135="","",PRESUPUESTO!C135)</f>
        <v/>
      </c>
      <c r="C148" s="86" t="str">
        <f aca="false">IF(PRESUPUESTO!$A135="Ítem",PRESUPUESTO!D135,"")</f>
        <v/>
      </c>
      <c r="D148" s="87" t="str">
        <f aca="false">IF(PRESUPUESTO!$A135="Ítem",PRESUPUESTO!E135,"")</f>
        <v/>
      </c>
      <c r="E148" s="10" t="str">
        <f aca="false">IF(D148="","",PRESUPUESTO!F135)</f>
        <v/>
      </c>
      <c r="F148" s="80"/>
      <c r="G148" s="80"/>
      <c r="H148" s="80"/>
      <c r="I148" s="80"/>
      <c r="J148" s="80"/>
      <c r="K148" s="80"/>
      <c r="L148" s="88" t="str">
        <f aca="false">IF(D148="","",SUM(F148:K148))</f>
        <v/>
      </c>
      <c r="M148" s="87" t="str">
        <f aca="false">IF(D148="","",D148-L148)</f>
        <v/>
      </c>
      <c r="N148" s="36" t="str">
        <f aca="false">IF(OR(D148="",N(D148)=0),"",L148/D148)</f>
        <v/>
      </c>
      <c r="O148" s="10" t="str">
        <f aca="false">IF(D148="","",L148*E148)</f>
        <v/>
      </c>
      <c r="P148" s="10" t="str">
        <f aca="false">IF(D148="","",M148*E148)</f>
        <v/>
      </c>
    </row>
    <row r="149" customFormat="false" ht="16.5" hidden="false" customHeight="true" outlineLevel="0" collapsed="false">
      <c r="A149" s="23" t="str">
        <f aca="false">IF(PRESUPUESTO!$A136="Ítem",PRESUPUESTO!B136,"")</f>
        <v/>
      </c>
      <c r="B149" s="23" t="str">
        <f aca="false">IF(PRESUPUESTO!C136="","",PRESUPUESTO!C136)</f>
        <v/>
      </c>
      <c r="C149" s="86" t="str">
        <f aca="false">IF(PRESUPUESTO!$A136="Ítem",PRESUPUESTO!D136,"")</f>
        <v/>
      </c>
      <c r="D149" s="87" t="str">
        <f aca="false">IF(PRESUPUESTO!$A136="Ítem",PRESUPUESTO!E136,"")</f>
        <v/>
      </c>
      <c r="E149" s="10" t="str">
        <f aca="false">IF(D149="","",PRESUPUESTO!F136)</f>
        <v/>
      </c>
      <c r="F149" s="80"/>
      <c r="G149" s="80"/>
      <c r="H149" s="80"/>
      <c r="I149" s="80"/>
      <c r="J149" s="80"/>
      <c r="K149" s="80"/>
      <c r="L149" s="88" t="str">
        <f aca="false">IF(D149="","",SUM(F149:K149))</f>
        <v/>
      </c>
      <c r="M149" s="87" t="str">
        <f aca="false">IF(D149="","",D149-L149)</f>
        <v/>
      </c>
      <c r="N149" s="36" t="str">
        <f aca="false">IF(OR(D149="",N(D149)=0),"",L149/D149)</f>
        <v/>
      </c>
      <c r="O149" s="10" t="str">
        <f aca="false">IF(D149="","",L149*E149)</f>
        <v/>
      </c>
      <c r="P149" s="10" t="str">
        <f aca="false">IF(D149="","",M149*E149)</f>
        <v/>
      </c>
    </row>
    <row r="150" customFormat="false" ht="16.5" hidden="false" customHeight="true" outlineLevel="0" collapsed="false">
      <c r="A150" s="23" t="str">
        <f aca="false">IF(PRESUPUESTO!$A137="Ítem",PRESUPUESTO!B137,"")</f>
        <v/>
      </c>
      <c r="B150" s="23" t="str">
        <f aca="false">IF(PRESUPUESTO!C137="","",PRESUPUESTO!C137)</f>
        <v/>
      </c>
      <c r="C150" s="86" t="str">
        <f aca="false">IF(PRESUPUESTO!$A137="Ítem",PRESUPUESTO!D137,"")</f>
        <v/>
      </c>
      <c r="D150" s="87" t="str">
        <f aca="false">IF(PRESUPUESTO!$A137="Ítem",PRESUPUESTO!E137,"")</f>
        <v/>
      </c>
      <c r="E150" s="10" t="str">
        <f aca="false">IF(D150="","",PRESUPUESTO!F137)</f>
        <v/>
      </c>
      <c r="F150" s="80"/>
      <c r="G150" s="80"/>
      <c r="H150" s="80"/>
      <c r="I150" s="80"/>
      <c r="J150" s="80"/>
      <c r="K150" s="80"/>
      <c r="L150" s="88" t="str">
        <f aca="false">IF(D150="","",SUM(F150:K150))</f>
        <v/>
      </c>
      <c r="M150" s="87" t="str">
        <f aca="false">IF(D150="","",D150-L150)</f>
        <v/>
      </c>
      <c r="N150" s="36" t="str">
        <f aca="false">IF(OR(D150="",N(D150)=0),"",L150/D150)</f>
        <v/>
      </c>
      <c r="O150" s="10" t="str">
        <f aca="false">IF(D150="","",L150*E150)</f>
        <v/>
      </c>
      <c r="P150" s="10" t="str">
        <f aca="false">IF(D150="","",M150*E150)</f>
        <v/>
      </c>
    </row>
    <row r="151" customFormat="false" ht="16.5" hidden="false" customHeight="true" outlineLevel="0" collapsed="false">
      <c r="A151" s="23" t="str">
        <f aca="false">IF(PRESUPUESTO!$A138="Ítem",PRESUPUESTO!B138,"")</f>
        <v/>
      </c>
      <c r="B151" s="23" t="str">
        <f aca="false">IF(PRESUPUESTO!C138="","",PRESUPUESTO!C138)</f>
        <v/>
      </c>
      <c r="C151" s="86" t="str">
        <f aca="false">IF(PRESUPUESTO!$A138="Ítem",PRESUPUESTO!D138,"")</f>
        <v/>
      </c>
      <c r="D151" s="87" t="str">
        <f aca="false">IF(PRESUPUESTO!$A138="Ítem",PRESUPUESTO!E138,"")</f>
        <v/>
      </c>
      <c r="E151" s="10" t="str">
        <f aca="false">IF(D151="","",PRESUPUESTO!F138)</f>
        <v/>
      </c>
      <c r="F151" s="80"/>
      <c r="G151" s="80"/>
      <c r="H151" s="80"/>
      <c r="I151" s="80"/>
      <c r="J151" s="80"/>
      <c r="K151" s="80"/>
      <c r="L151" s="88" t="str">
        <f aca="false">IF(D151="","",SUM(F151:K151))</f>
        <v/>
      </c>
      <c r="M151" s="87" t="str">
        <f aca="false">IF(D151="","",D151-L151)</f>
        <v/>
      </c>
      <c r="N151" s="36" t="str">
        <f aca="false">IF(OR(D151="",N(D151)=0),"",L151/D151)</f>
        <v/>
      </c>
      <c r="O151" s="10" t="str">
        <f aca="false">IF(D151="","",L151*E151)</f>
        <v/>
      </c>
      <c r="P151" s="10" t="str">
        <f aca="false">IF(D151="","",M151*E151)</f>
        <v/>
      </c>
    </row>
    <row r="152" customFormat="false" ht="16.5" hidden="false" customHeight="true" outlineLevel="0" collapsed="false">
      <c r="A152" s="23" t="str">
        <f aca="false">IF(PRESUPUESTO!$A139="Ítem",PRESUPUESTO!B139,"")</f>
        <v/>
      </c>
      <c r="B152" s="23" t="str">
        <f aca="false">IF(PRESUPUESTO!C139="","",PRESUPUESTO!C139)</f>
        <v/>
      </c>
      <c r="C152" s="86" t="str">
        <f aca="false">IF(PRESUPUESTO!$A139="Ítem",PRESUPUESTO!D139,"")</f>
        <v/>
      </c>
      <c r="D152" s="87" t="str">
        <f aca="false">IF(PRESUPUESTO!$A139="Ítem",PRESUPUESTO!E139,"")</f>
        <v/>
      </c>
      <c r="E152" s="10" t="str">
        <f aca="false">IF(D152="","",PRESUPUESTO!F139)</f>
        <v/>
      </c>
      <c r="F152" s="80"/>
      <c r="G152" s="80"/>
      <c r="H152" s="80"/>
      <c r="I152" s="80"/>
      <c r="J152" s="80"/>
      <c r="K152" s="80"/>
      <c r="L152" s="88" t="str">
        <f aca="false">IF(D152="","",SUM(F152:K152))</f>
        <v/>
      </c>
      <c r="M152" s="87" t="str">
        <f aca="false">IF(D152="","",D152-L152)</f>
        <v/>
      </c>
      <c r="N152" s="36" t="str">
        <f aca="false">IF(OR(D152="",N(D152)=0),"",L152/D152)</f>
        <v/>
      </c>
      <c r="O152" s="10" t="str">
        <f aca="false">IF(D152="","",L152*E152)</f>
        <v/>
      </c>
      <c r="P152" s="10" t="str">
        <f aca="false">IF(D152="","",M152*E152)</f>
        <v/>
      </c>
    </row>
    <row r="153" customFormat="false" ht="16.5" hidden="false" customHeight="true" outlineLevel="0" collapsed="false">
      <c r="A153" s="23" t="str">
        <f aca="false">IF(PRESUPUESTO!$A140="Ítem",PRESUPUESTO!B140,"")</f>
        <v/>
      </c>
      <c r="B153" s="23" t="str">
        <f aca="false">IF(PRESUPUESTO!C140="","",PRESUPUESTO!C140)</f>
        <v/>
      </c>
      <c r="C153" s="86" t="str">
        <f aca="false">IF(PRESUPUESTO!$A140="Ítem",PRESUPUESTO!D140,"")</f>
        <v/>
      </c>
      <c r="D153" s="87" t="str">
        <f aca="false">IF(PRESUPUESTO!$A140="Ítem",PRESUPUESTO!E140,"")</f>
        <v/>
      </c>
      <c r="E153" s="10" t="str">
        <f aca="false">IF(D153="","",PRESUPUESTO!F140)</f>
        <v/>
      </c>
      <c r="F153" s="80"/>
      <c r="G153" s="80"/>
      <c r="H153" s="80"/>
      <c r="I153" s="80"/>
      <c r="J153" s="80"/>
      <c r="K153" s="80"/>
      <c r="L153" s="88" t="str">
        <f aca="false">IF(D153="","",SUM(F153:K153))</f>
        <v/>
      </c>
      <c r="M153" s="87" t="str">
        <f aca="false">IF(D153="","",D153-L153)</f>
        <v/>
      </c>
      <c r="N153" s="36" t="str">
        <f aca="false">IF(OR(D153="",N(D153)=0),"",L153/D153)</f>
        <v/>
      </c>
      <c r="O153" s="10" t="str">
        <f aca="false">IF(D153="","",L153*E153)</f>
        <v/>
      </c>
      <c r="P153" s="10" t="str">
        <f aca="false">IF(D153="","",M153*E153)</f>
        <v/>
      </c>
    </row>
    <row r="154" customFormat="false" ht="16.5" hidden="false" customHeight="true" outlineLevel="0" collapsed="false">
      <c r="A154" s="23" t="str">
        <f aca="false">IF(PRESUPUESTO!$A141="Ítem",PRESUPUESTO!B141,"")</f>
        <v/>
      </c>
      <c r="B154" s="23" t="str">
        <f aca="false">IF(PRESUPUESTO!C141="","",PRESUPUESTO!C141)</f>
        <v/>
      </c>
      <c r="C154" s="86" t="str">
        <f aca="false">IF(PRESUPUESTO!$A141="Ítem",PRESUPUESTO!D141,"")</f>
        <v/>
      </c>
      <c r="D154" s="87" t="str">
        <f aca="false">IF(PRESUPUESTO!$A141="Ítem",PRESUPUESTO!E141,"")</f>
        <v/>
      </c>
      <c r="E154" s="10" t="str">
        <f aca="false">IF(D154="","",PRESUPUESTO!F141)</f>
        <v/>
      </c>
      <c r="F154" s="80"/>
      <c r="G154" s="80"/>
      <c r="H154" s="80"/>
      <c r="I154" s="80"/>
      <c r="J154" s="80"/>
      <c r="K154" s="80"/>
      <c r="L154" s="88" t="str">
        <f aca="false">IF(D154="","",SUM(F154:K154))</f>
        <v/>
      </c>
      <c r="M154" s="87" t="str">
        <f aca="false">IF(D154="","",D154-L154)</f>
        <v/>
      </c>
      <c r="N154" s="36" t="str">
        <f aca="false">IF(OR(D154="",N(D154)=0),"",L154/D154)</f>
        <v/>
      </c>
      <c r="O154" s="10" t="str">
        <f aca="false">IF(D154="","",L154*E154)</f>
        <v/>
      </c>
      <c r="P154" s="10" t="str">
        <f aca="false">IF(D154="","",M154*E154)</f>
        <v/>
      </c>
    </row>
    <row r="155" customFormat="false" ht="16.5" hidden="false" customHeight="true" outlineLevel="0" collapsed="false">
      <c r="A155" s="23" t="str">
        <f aca="false">IF(PRESUPUESTO!$A142="Ítem",PRESUPUESTO!B142,"")</f>
        <v/>
      </c>
      <c r="B155" s="23" t="str">
        <f aca="false">IF(PRESUPUESTO!C142="","",PRESUPUESTO!C142)</f>
        <v/>
      </c>
      <c r="C155" s="86" t="str">
        <f aca="false">IF(PRESUPUESTO!$A142="Ítem",PRESUPUESTO!D142,"")</f>
        <v/>
      </c>
      <c r="D155" s="87" t="str">
        <f aca="false">IF(PRESUPUESTO!$A142="Ítem",PRESUPUESTO!E142,"")</f>
        <v/>
      </c>
      <c r="E155" s="10" t="str">
        <f aca="false">IF(D155="","",PRESUPUESTO!F142)</f>
        <v/>
      </c>
      <c r="F155" s="80"/>
      <c r="G155" s="80"/>
      <c r="H155" s="80"/>
      <c r="I155" s="80"/>
      <c r="J155" s="80"/>
      <c r="K155" s="80"/>
      <c r="L155" s="88" t="str">
        <f aca="false">IF(D155="","",SUM(F155:K155))</f>
        <v/>
      </c>
      <c r="M155" s="87" t="str">
        <f aca="false">IF(D155="","",D155-L155)</f>
        <v/>
      </c>
      <c r="N155" s="36" t="str">
        <f aca="false">IF(OR(D155="",N(D155)=0),"",L155/D155)</f>
        <v/>
      </c>
      <c r="O155" s="10" t="str">
        <f aca="false">IF(D155="","",L155*E155)</f>
        <v/>
      </c>
      <c r="P155" s="10" t="str">
        <f aca="false">IF(D155="","",M155*E155)</f>
        <v/>
      </c>
    </row>
    <row r="156" customFormat="false" ht="16.5" hidden="false" customHeight="true" outlineLevel="0" collapsed="false">
      <c r="A156" s="23" t="str">
        <f aca="false">IF(PRESUPUESTO!$A143="Ítem",PRESUPUESTO!B143,"")</f>
        <v/>
      </c>
      <c r="B156" s="23" t="str">
        <f aca="false">IF(PRESUPUESTO!C143="","",PRESUPUESTO!C143)</f>
        <v/>
      </c>
      <c r="C156" s="86" t="str">
        <f aca="false">IF(PRESUPUESTO!$A143="Ítem",PRESUPUESTO!D143,"")</f>
        <v/>
      </c>
      <c r="D156" s="87" t="str">
        <f aca="false">IF(PRESUPUESTO!$A143="Ítem",PRESUPUESTO!E143,"")</f>
        <v/>
      </c>
      <c r="E156" s="10" t="str">
        <f aca="false">IF(D156="","",PRESUPUESTO!F143)</f>
        <v/>
      </c>
      <c r="F156" s="80"/>
      <c r="G156" s="80"/>
      <c r="H156" s="80"/>
      <c r="I156" s="80"/>
      <c r="J156" s="80"/>
      <c r="K156" s="80"/>
      <c r="L156" s="88" t="str">
        <f aca="false">IF(D156="","",SUM(F156:K156))</f>
        <v/>
      </c>
      <c r="M156" s="87" t="str">
        <f aca="false">IF(D156="","",D156-L156)</f>
        <v/>
      </c>
      <c r="N156" s="36" t="str">
        <f aca="false">IF(OR(D156="",N(D156)=0),"",L156/D156)</f>
        <v/>
      </c>
      <c r="O156" s="10" t="str">
        <f aca="false">IF(D156="","",L156*E156)</f>
        <v/>
      </c>
      <c r="P156" s="10" t="str">
        <f aca="false">IF(D156="","",M156*E156)</f>
        <v/>
      </c>
    </row>
    <row r="157" customFormat="false" ht="16.5" hidden="false" customHeight="true" outlineLevel="0" collapsed="false">
      <c r="A157" s="23" t="str">
        <f aca="false">IF(PRESUPUESTO!$A144="Ítem",PRESUPUESTO!B144,"")</f>
        <v/>
      </c>
      <c r="B157" s="23" t="str">
        <f aca="false">IF(PRESUPUESTO!C144="","",PRESUPUESTO!C144)</f>
        <v/>
      </c>
      <c r="C157" s="86" t="str">
        <f aca="false">IF(PRESUPUESTO!$A144="Ítem",PRESUPUESTO!D144,"")</f>
        <v/>
      </c>
      <c r="D157" s="87" t="str">
        <f aca="false">IF(PRESUPUESTO!$A144="Ítem",PRESUPUESTO!E144,"")</f>
        <v/>
      </c>
      <c r="E157" s="10" t="str">
        <f aca="false">IF(D157="","",PRESUPUESTO!F144)</f>
        <v/>
      </c>
      <c r="F157" s="80"/>
      <c r="G157" s="80"/>
      <c r="H157" s="80"/>
      <c r="I157" s="80"/>
      <c r="J157" s="80"/>
      <c r="K157" s="80"/>
      <c r="L157" s="88" t="str">
        <f aca="false">IF(D157="","",SUM(F157:K157))</f>
        <v/>
      </c>
      <c r="M157" s="87" t="str">
        <f aca="false">IF(D157="","",D157-L157)</f>
        <v/>
      </c>
      <c r="N157" s="36" t="str">
        <f aca="false">IF(OR(D157="",N(D157)=0),"",L157/D157)</f>
        <v/>
      </c>
      <c r="O157" s="10" t="str">
        <f aca="false">IF(D157="","",L157*E157)</f>
        <v/>
      </c>
      <c r="P157" s="10" t="str">
        <f aca="false">IF(D157="","",M157*E157)</f>
        <v/>
      </c>
    </row>
    <row r="158" customFormat="false" ht="16.5" hidden="false" customHeight="true" outlineLevel="0" collapsed="false">
      <c r="A158" s="23" t="str">
        <f aca="false">IF(PRESUPUESTO!$A145="Ítem",PRESUPUESTO!B145,"")</f>
        <v/>
      </c>
      <c r="B158" s="23" t="str">
        <f aca="false">IF(PRESUPUESTO!C145="","",PRESUPUESTO!C145)</f>
        <v/>
      </c>
      <c r="C158" s="86" t="str">
        <f aca="false">IF(PRESUPUESTO!$A145="Ítem",PRESUPUESTO!D145,"")</f>
        <v/>
      </c>
      <c r="D158" s="87" t="str">
        <f aca="false">IF(PRESUPUESTO!$A145="Ítem",PRESUPUESTO!E145,"")</f>
        <v/>
      </c>
      <c r="E158" s="10" t="str">
        <f aca="false">IF(D158="","",PRESUPUESTO!F145)</f>
        <v/>
      </c>
      <c r="F158" s="80"/>
      <c r="G158" s="80"/>
      <c r="H158" s="80"/>
      <c r="I158" s="80"/>
      <c r="J158" s="80"/>
      <c r="K158" s="80"/>
      <c r="L158" s="88" t="str">
        <f aca="false">IF(D158="","",SUM(F158:K158))</f>
        <v/>
      </c>
      <c r="M158" s="87" t="str">
        <f aca="false">IF(D158="","",D158-L158)</f>
        <v/>
      </c>
      <c r="N158" s="36" t="str">
        <f aca="false">IF(OR(D158="",N(D158)=0),"",L158/D158)</f>
        <v/>
      </c>
      <c r="O158" s="10" t="str">
        <f aca="false">IF(D158="","",L158*E158)</f>
        <v/>
      </c>
      <c r="P158" s="10" t="str">
        <f aca="false">IF(D158="","",M158*E158)</f>
        <v/>
      </c>
    </row>
    <row r="159" customFormat="false" ht="16.5" hidden="false" customHeight="true" outlineLevel="0" collapsed="false">
      <c r="A159" s="23" t="str">
        <f aca="false">IF(PRESUPUESTO!$A146="Ítem",PRESUPUESTO!B146,"")</f>
        <v/>
      </c>
      <c r="B159" s="23" t="str">
        <f aca="false">IF(PRESUPUESTO!C146="","",PRESUPUESTO!C146)</f>
        <v/>
      </c>
      <c r="C159" s="86" t="str">
        <f aca="false">IF(PRESUPUESTO!$A146="Ítem",PRESUPUESTO!D146,"")</f>
        <v/>
      </c>
      <c r="D159" s="87" t="str">
        <f aca="false">IF(PRESUPUESTO!$A146="Ítem",PRESUPUESTO!E146,"")</f>
        <v/>
      </c>
      <c r="E159" s="10" t="str">
        <f aca="false">IF(D159="","",PRESUPUESTO!F146)</f>
        <v/>
      </c>
      <c r="F159" s="80"/>
      <c r="G159" s="80"/>
      <c r="H159" s="80"/>
      <c r="I159" s="80"/>
      <c r="J159" s="80"/>
      <c r="K159" s="80"/>
      <c r="L159" s="88" t="str">
        <f aca="false">IF(D159="","",SUM(F159:K159))</f>
        <v/>
      </c>
      <c r="M159" s="87" t="str">
        <f aca="false">IF(D159="","",D159-L159)</f>
        <v/>
      </c>
      <c r="N159" s="36" t="str">
        <f aca="false">IF(OR(D159="",N(D159)=0),"",L159/D159)</f>
        <v/>
      </c>
      <c r="O159" s="10" t="str">
        <f aca="false">IF(D159="","",L159*E159)</f>
        <v/>
      </c>
      <c r="P159" s="10" t="str">
        <f aca="false">IF(D159="","",M159*E159)</f>
        <v/>
      </c>
    </row>
    <row r="160" customFormat="false" ht="16.5" hidden="false" customHeight="true" outlineLevel="0" collapsed="false">
      <c r="A160" s="23" t="str">
        <f aca="false">IF(PRESUPUESTO!$A147="Ítem",PRESUPUESTO!B147,"")</f>
        <v/>
      </c>
      <c r="B160" s="23" t="str">
        <f aca="false">IF(PRESUPUESTO!C147="","",PRESUPUESTO!C147)</f>
        <v/>
      </c>
      <c r="C160" s="86" t="str">
        <f aca="false">IF(PRESUPUESTO!$A147="Ítem",PRESUPUESTO!D147,"")</f>
        <v/>
      </c>
      <c r="D160" s="87" t="str">
        <f aca="false">IF(PRESUPUESTO!$A147="Ítem",PRESUPUESTO!E147,"")</f>
        <v/>
      </c>
      <c r="E160" s="10" t="str">
        <f aca="false">IF(D160="","",PRESUPUESTO!F147)</f>
        <v/>
      </c>
      <c r="F160" s="80"/>
      <c r="G160" s="80"/>
      <c r="H160" s="80"/>
      <c r="I160" s="80"/>
      <c r="J160" s="80"/>
      <c r="K160" s="80"/>
      <c r="L160" s="88" t="str">
        <f aca="false">IF(D160="","",SUM(F160:K160))</f>
        <v/>
      </c>
      <c r="M160" s="87" t="str">
        <f aca="false">IF(D160="","",D160-L160)</f>
        <v/>
      </c>
      <c r="N160" s="36" t="str">
        <f aca="false">IF(OR(D160="",N(D160)=0),"",L160/D160)</f>
        <v/>
      </c>
      <c r="O160" s="10" t="str">
        <f aca="false">IF(D160="","",L160*E160)</f>
        <v/>
      </c>
      <c r="P160" s="10" t="str">
        <f aca="false">IF(D160="","",M160*E160)</f>
        <v/>
      </c>
    </row>
    <row r="161" customFormat="false" ht="16.5" hidden="false" customHeight="true" outlineLevel="0" collapsed="false">
      <c r="A161" s="23" t="str">
        <f aca="false">IF(PRESUPUESTO!$A148="Ítem",PRESUPUESTO!B148,"")</f>
        <v/>
      </c>
      <c r="B161" s="23" t="str">
        <f aca="false">IF(PRESUPUESTO!C148="","",PRESUPUESTO!C148)</f>
        <v/>
      </c>
      <c r="C161" s="86" t="str">
        <f aca="false">IF(PRESUPUESTO!$A148="Ítem",PRESUPUESTO!D148,"")</f>
        <v/>
      </c>
      <c r="D161" s="87" t="str">
        <f aca="false">IF(PRESUPUESTO!$A148="Ítem",PRESUPUESTO!E148,"")</f>
        <v/>
      </c>
      <c r="E161" s="10" t="str">
        <f aca="false">IF(D161="","",PRESUPUESTO!F148)</f>
        <v/>
      </c>
      <c r="F161" s="80"/>
      <c r="G161" s="80"/>
      <c r="H161" s="80"/>
      <c r="I161" s="80"/>
      <c r="J161" s="80"/>
      <c r="K161" s="80"/>
      <c r="L161" s="88" t="str">
        <f aca="false">IF(D161="","",SUM(F161:K161))</f>
        <v/>
      </c>
      <c r="M161" s="87" t="str">
        <f aca="false">IF(D161="","",D161-L161)</f>
        <v/>
      </c>
      <c r="N161" s="36" t="str">
        <f aca="false">IF(OR(D161="",N(D161)=0),"",L161/D161)</f>
        <v/>
      </c>
      <c r="O161" s="10" t="str">
        <f aca="false">IF(D161="","",L161*E161)</f>
        <v/>
      </c>
      <c r="P161" s="10" t="str">
        <f aca="false">IF(D161="","",M161*E161)</f>
        <v/>
      </c>
    </row>
    <row r="162" customFormat="false" ht="16.5" hidden="false" customHeight="true" outlineLevel="0" collapsed="false">
      <c r="A162" s="23" t="str">
        <f aca="false">IF(PRESUPUESTO!$A149="Ítem",PRESUPUESTO!B149,"")</f>
        <v/>
      </c>
      <c r="B162" s="23" t="str">
        <f aca="false">IF(PRESUPUESTO!C149="","",PRESUPUESTO!C149)</f>
        <v/>
      </c>
      <c r="C162" s="86" t="str">
        <f aca="false">IF(PRESUPUESTO!$A149="Ítem",PRESUPUESTO!D149,"")</f>
        <v/>
      </c>
      <c r="D162" s="87" t="str">
        <f aca="false">IF(PRESUPUESTO!$A149="Ítem",PRESUPUESTO!E149,"")</f>
        <v/>
      </c>
      <c r="E162" s="10" t="str">
        <f aca="false">IF(D162="","",PRESUPUESTO!F149)</f>
        <v/>
      </c>
      <c r="F162" s="80"/>
      <c r="G162" s="80"/>
      <c r="H162" s="80"/>
      <c r="I162" s="80"/>
      <c r="J162" s="80"/>
      <c r="K162" s="80"/>
      <c r="L162" s="88" t="str">
        <f aca="false">IF(D162="","",SUM(F162:K162))</f>
        <v/>
      </c>
      <c r="M162" s="87" t="str">
        <f aca="false">IF(D162="","",D162-L162)</f>
        <v/>
      </c>
      <c r="N162" s="36" t="str">
        <f aca="false">IF(OR(D162="",N(D162)=0),"",L162/D162)</f>
        <v/>
      </c>
      <c r="O162" s="10" t="str">
        <f aca="false">IF(D162="","",L162*E162)</f>
        <v/>
      </c>
      <c r="P162" s="10" t="str">
        <f aca="false">IF(D162="","",M162*E162)</f>
        <v/>
      </c>
    </row>
    <row r="163" customFormat="false" ht="16.5" hidden="false" customHeight="true" outlineLevel="0" collapsed="false">
      <c r="A163" s="23" t="str">
        <f aca="false">IF(PRESUPUESTO!$A150="Ítem",PRESUPUESTO!B150,"")</f>
        <v/>
      </c>
      <c r="B163" s="23" t="str">
        <f aca="false">IF(PRESUPUESTO!C150="","",PRESUPUESTO!C150)</f>
        <v/>
      </c>
      <c r="C163" s="86" t="str">
        <f aca="false">IF(PRESUPUESTO!$A150="Ítem",PRESUPUESTO!D150,"")</f>
        <v/>
      </c>
      <c r="D163" s="87" t="str">
        <f aca="false">IF(PRESUPUESTO!$A150="Ítem",PRESUPUESTO!E150,"")</f>
        <v/>
      </c>
      <c r="E163" s="10" t="str">
        <f aca="false">IF(D163="","",PRESUPUESTO!F150)</f>
        <v/>
      </c>
      <c r="F163" s="80"/>
      <c r="G163" s="80"/>
      <c r="H163" s="80"/>
      <c r="I163" s="80"/>
      <c r="J163" s="80"/>
      <c r="K163" s="80"/>
      <c r="L163" s="88" t="str">
        <f aca="false">IF(D163="","",SUM(F163:K163))</f>
        <v/>
      </c>
      <c r="M163" s="87" t="str">
        <f aca="false">IF(D163="","",D163-L163)</f>
        <v/>
      </c>
      <c r="N163" s="36" t="str">
        <f aca="false">IF(OR(D163="",N(D163)=0),"",L163/D163)</f>
        <v/>
      </c>
      <c r="O163" s="10" t="str">
        <f aca="false">IF(D163="","",L163*E163)</f>
        <v/>
      </c>
      <c r="P163" s="10" t="str">
        <f aca="false">IF(D163="","",M163*E163)</f>
        <v/>
      </c>
    </row>
    <row r="164" customFormat="false" ht="16.5" hidden="false" customHeight="true" outlineLevel="0" collapsed="false">
      <c r="A164" s="23" t="str">
        <f aca="false">IF(PRESUPUESTO!$A151="Ítem",PRESUPUESTO!B151,"")</f>
        <v/>
      </c>
      <c r="B164" s="23" t="str">
        <f aca="false">IF(PRESUPUESTO!C151="","",PRESUPUESTO!C151)</f>
        <v/>
      </c>
      <c r="C164" s="86" t="str">
        <f aca="false">IF(PRESUPUESTO!$A151="Ítem",PRESUPUESTO!D151,"")</f>
        <v/>
      </c>
      <c r="D164" s="87" t="str">
        <f aca="false">IF(PRESUPUESTO!$A151="Ítem",PRESUPUESTO!E151,"")</f>
        <v/>
      </c>
      <c r="E164" s="10" t="str">
        <f aca="false">IF(D164="","",PRESUPUESTO!F151)</f>
        <v/>
      </c>
      <c r="F164" s="80"/>
      <c r="G164" s="80"/>
      <c r="H164" s="80"/>
      <c r="I164" s="80"/>
      <c r="J164" s="80"/>
      <c r="K164" s="80"/>
      <c r="L164" s="88" t="str">
        <f aca="false">IF(D164="","",SUM(F164:K164))</f>
        <v/>
      </c>
      <c r="M164" s="87" t="str">
        <f aca="false">IF(D164="","",D164-L164)</f>
        <v/>
      </c>
      <c r="N164" s="36" t="str">
        <f aca="false">IF(OR(D164="",N(D164)=0),"",L164/D164)</f>
        <v/>
      </c>
      <c r="O164" s="10" t="str">
        <f aca="false">IF(D164="","",L164*E164)</f>
        <v/>
      </c>
      <c r="P164" s="10" t="str">
        <f aca="false">IF(D164="","",M164*E164)</f>
        <v/>
      </c>
    </row>
    <row r="165" customFormat="false" ht="16.5" hidden="false" customHeight="true" outlineLevel="0" collapsed="false">
      <c r="A165" s="23" t="str">
        <f aca="false">IF(PRESUPUESTO!$A152="Ítem",PRESUPUESTO!B152,"")</f>
        <v/>
      </c>
      <c r="B165" s="23" t="str">
        <f aca="false">IF(PRESUPUESTO!C152="","",PRESUPUESTO!C152)</f>
        <v/>
      </c>
      <c r="C165" s="86" t="str">
        <f aca="false">IF(PRESUPUESTO!$A152="Ítem",PRESUPUESTO!D152,"")</f>
        <v/>
      </c>
      <c r="D165" s="87" t="str">
        <f aca="false">IF(PRESUPUESTO!$A152="Ítem",PRESUPUESTO!E152,"")</f>
        <v/>
      </c>
      <c r="E165" s="10" t="str">
        <f aca="false">IF(D165="","",PRESUPUESTO!F152)</f>
        <v/>
      </c>
      <c r="F165" s="80"/>
      <c r="G165" s="80"/>
      <c r="H165" s="80"/>
      <c r="I165" s="80"/>
      <c r="J165" s="80"/>
      <c r="K165" s="80"/>
      <c r="L165" s="88" t="str">
        <f aca="false">IF(D165="","",SUM(F165:K165))</f>
        <v/>
      </c>
      <c r="M165" s="87" t="str">
        <f aca="false">IF(D165="","",D165-L165)</f>
        <v/>
      </c>
      <c r="N165" s="36" t="str">
        <f aca="false">IF(OR(D165="",N(D165)=0),"",L165/D165)</f>
        <v/>
      </c>
      <c r="O165" s="10" t="str">
        <f aca="false">IF(D165="","",L165*E165)</f>
        <v/>
      </c>
      <c r="P165" s="10" t="str">
        <f aca="false">IF(D165="","",M165*E165)</f>
        <v/>
      </c>
    </row>
    <row r="166" customFormat="false" ht="16.5" hidden="false" customHeight="true" outlineLevel="0" collapsed="false">
      <c r="A166" s="23" t="str">
        <f aca="false">IF(PRESUPUESTO!$A153="Ítem",PRESUPUESTO!B153,"")</f>
        <v/>
      </c>
      <c r="B166" s="23" t="str">
        <f aca="false">IF(PRESUPUESTO!C153="","",PRESUPUESTO!C153)</f>
        <v/>
      </c>
      <c r="C166" s="86" t="str">
        <f aca="false">IF(PRESUPUESTO!$A153="Ítem",PRESUPUESTO!D153,"")</f>
        <v/>
      </c>
      <c r="D166" s="87" t="str">
        <f aca="false">IF(PRESUPUESTO!$A153="Ítem",PRESUPUESTO!E153,"")</f>
        <v/>
      </c>
      <c r="E166" s="10" t="str">
        <f aca="false">IF(D166="","",PRESUPUESTO!F153)</f>
        <v/>
      </c>
      <c r="F166" s="80"/>
      <c r="G166" s="80"/>
      <c r="H166" s="80"/>
      <c r="I166" s="80"/>
      <c r="J166" s="80"/>
      <c r="K166" s="80"/>
      <c r="L166" s="88" t="str">
        <f aca="false">IF(D166="","",SUM(F166:K166))</f>
        <v/>
      </c>
      <c r="M166" s="87" t="str">
        <f aca="false">IF(D166="","",D166-L166)</f>
        <v/>
      </c>
      <c r="N166" s="36" t="str">
        <f aca="false">IF(OR(D166="",N(D166)=0),"",L166/D166)</f>
        <v/>
      </c>
      <c r="O166" s="10" t="str">
        <f aca="false">IF(D166="","",L166*E166)</f>
        <v/>
      </c>
      <c r="P166" s="10" t="str">
        <f aca="false">IF(D166="","",M166*E166)</f>
        <v/>
      </c>
    </row>
    <row r="167" customFormat="false" ht="16.5" hidden="false" customHeight="true" outlineLevel="0" collapsed="false">
      <c r="A167" s="23" t="str">
        <f aca="false">IF(PRESUPUESTO!$A154="Ítem",PRESUPUESTO!B154,"")</f>
        <v/>
      </c>
      <c r="B167" s="23" t="str">
        <f aca="false">IF(PRESUPUESTO!C154="","",PRESUPUESTO!C154)</f>
        <v/>
      </c>
      <c r="C167" s="86" t="str">
        <f aca="false">IF(PRESUPUESTO!$A154="Ítem",PRESUPUESTO!D154,"")</f>
        <v/>
      </c>
      <c r="D167" s="87" t="str">
        <f aca="false">IF(PRESUPUESTO!$A154="Ítem",PRESUPUESTO!E154,"")</f>
        <v/>
      </c>
      <c r="E167" s="10" t="str">
        <f aca="false">IF(D167="","",PRESUPUESTO!F154)</f>
        <v/>
      </c>
      <c r="F167" s="80"/>
      <c r="G167" s="80"/>
      <c r="H167" s="80"/>
      <c r="I167" s="80"/>
      <c r="J167" s="80"/>
      <c r="K167" s="80"/>
      <c r="L167" s="88" t="str">
        <f aca="false">IF(D167="","",SUM(F167:K167))</f>
        <v/>
      </c>
      <c r="M167" s="87" t="str">
        <f aca="false">IF(D167="","",D167-L167)</f>
        <v/>
      </c>
      <c r="N167" s="36" t="str">
        <f aca="false">IF(OR(D167="",N(D167)=0),"",L167/D167)</f>
        <v/>
      </c>
      <c r="O167" s="10" t="str">
        <f aca="false">IF(D167="","",L167*E167)</f>
        <v/>
      </c>
      <c r="P167" s="10" t="str">
        <f aca="false">IF(D167="","",M167*E167)</f>
        <v/>
      </c>
    </row>
    <row r="168" customFormat="false" ht="16.5" hidden="false" customHeight="true" outlineLevel="0" collapsed="false">
      <c r="A168" s="23" t="str">
        <f aca="false">IF(PRESUPUESTO!$A155="Ítem",PRESUPUESTO!B155,"")</f>
        <v/>
      </c>
      <c r="B168" s="23" t="str">
        <f aca="false">IF(PRESUPUESTO!C155="","",PRESUPUESTO!C155)</f>
        <v/>
      </c>
      <c r="C168" s="86" t="str">
        <f aca="false">IF(PRESUPUESTO!$A155="Ítem",PRESUPUESTO!D155,"")</f>
        <v/>
      </c>
      <c r="D168" s="87" t="str">
        <f aca="false">IF(PRESUPUESTO!$A155="Ítem",PRESUPUESTO!E155,"")</f>
        <v/>
      </c>
      <c r="E168" s="10" t="str">
        <f aca="false">IF(D168="","",PRESUPUESTO!F155)</f>
        <v/>
      </c>
      <c r="F168" s="80"/>
      <c r="G168" s="80"/>
      <c r="H168" s="80"/>
      <c r="I168" s="80"/>
      <c r="J168" s="80"/>
      <c r="K168" s="80"/>
      <c r="L168" s="88" t="str">
        <f aca="false">IF(D168="","",SUM(F168:K168))</f>
        <v/>
      </c>
      <c r="M168" s="87" t="str">
        <f aca="false">IF(D168="","",D168-L168)</f>
        <v/>
      </c>
      <c r="N168" s="36" t="str">
        <f aca="false">IF(OR(D168="",N(D168)=0),"",L168/D168)</f>
        <v/>
      </c>
      <c r="O168" s="10" t="str">
        <f aca="false">IF(D168="","",L168*E168)</f>
        <v/>
      </c>
      <c r="P168" s="10" t="str">
        <f aca="false">IF(D168="","",M168*E168)</f>
        <v/>
      </c>
    </row>
    <row r="169" customFormat="false" ht="16.5" hidden="false" customHeight="true" outlineLevel="0" collapsed="false">
      <c r="A169" s="23" t="str">
        <f aca="false">IF(PRESUPUESTO!$A156="Ítem",PRESUPUESTO!B156,"")</f>
        <v/>
      </c>
      <c r="B169" s="23" t="str">
        <f aca="false">IF(PRESUPUESTO!C156="","",PRESUPUESTO!C156)</f>
        <v/>
      </c>
      <c r="C169" s="86" t="str">
        <f aca="false">IF(PRESUPUESTO!$A156="Ítem",PRESUPUESTO!D156,"")</f>
        <v/>
      </c>
      <c r="D169" s="87" t="str">
        <f aca="false">IF(PRESUPUESTO!$A156="Ítem",PRESUPUESTO!E156,"")</f>
        <v/>
      </c>
      <c r="E169" s="10" t="str">
        <f aca="false">IF(D169="","",PRESUPUESTO!F156)</f>
        <v/>
      </c>
      <c r="F169" s="80"/>
      <c r="G169" s="80"/>
      <c r="H169" s="80"/>
      <c r="I169" s="80"/>
      <c r="J169" s="80"/>
      <c r="K169" s="80"/>
      <c r="L169" s="88" t="str">
        <f aca="false">IF(D169="","",SUM(F169:K169))</f>
        <v/>
      </c>
      <c r="M169" s="87" t="str">
        <f aca="false">IF(D169="","",D169-L169)</f>
        <v/>
      </c>
      <c r="N169" s="36" t="str">
        <f aca="false">IF(OR(D169="",N(D169)=0),"",L169/D169)</f>
        <v/>
      </c>
      <c r="O169" s="10" t="str">
        <f aca="false">IF(D169="","",L169*E169)</f>
        <v/>
      </c>
      <c r="P169" s="10" t="str">
        <f aca="false">IF(D169="","",M169*E169)</f>
        <v/>
      </c>
    </row>
    <row r="170" customFormat="false" ht="16.5" hidden="false" customHeight="true" outlineLevel="0" collapsed="false">
      <c r="A170" s="23" t="str">
        <f aca="false">IF(PRESUPUESTO!$A157="Ítem",PRESUPUESTO!B157,"")</f>
        <v/>
      </c>
      <c r="B170" s="23" t="str">
        <f aca="false">IF(PRESUPUESTO!C157="","",PRESUPUESTO!C157)</f>
        <v/>
      </c>
      <c r="C170" s="86" t="str">
        <f aca="false">IF(PRESUPUESTO!$A157="Ítem",PRESUPUESTO!D157,"")</f>
        <v/>
      </c>
      <c r="D170" s="87" t="str">
        <f aca="false">IF(PRESUPUESTO!$A157="Ítem",PRESUPUESTO!E157,"")</f>
        <v/>
      </c>
      <c r="E170" s="10" t="str">
        <f aca="false">IF(D170="","",PRESUPUESTO!F157)</f>
        <v/>
      </c>
      <c r="F170" s="80"/>
      <c r="G170" s="80"/>
      <c r="H170" s="80"/>
      <c r="I170" s="80"/>
      <c r="J170" s="80"/>
      <c r="K170" s="80"/>
      <c r="L170" s="88" t="str">
        <f aca="false">IF(D170="","",SUM(F170:K170))</f>
        <v/>
      </c>
      <c r="M170" s="87" t="str">
        <f aca="false">IF(D170="","",D170-L170)</f>
        <v/>
      </c>
      <c r="N170" s="36" t="str">
        <f aca="false">IF(OR(D170="",N(D170)=0),"",L170/D170)</f>
        <v/>
      </c>
      <c r="O170" s="10" t="str">
        <f aca="false">IF(D170="","",L170*E170)</f>
        <v/>
      </c>
      <c r="P170" s="10" t="str">
        <f aca="false">IF(D170="","",M170*E170)</f>
        <v/>
      </c>
    </row>
    <row r="171" customFormat="false" ht="16.5" hidden="false" customHeight="true" outlineLevel="0" collapsed="false">
      <c r="A171" s="23" t="str">
        <f aca="false">IF(PRESUPUESTO!$A158="Ítem",PRESUPUESTO!B158,"")</f>
        <v/>
      </c>
      <c r="B171" s="23" t="str">
        <f aca="false">IF(PRESUPUESTO!C158="","",PRESUPUESTO!C158)</f>
        <v/>
      </c>
      <c r="C171" s="86" t="str">
        <f aca="false">IF(PRESUPUESTO!$A158="Ítem",PRESUPUESTO!D158,"")</f>
        <v/>
      </c>
      <c r="D171" s="87" t="str">
        <f aca="false">IF(PRESUPUESTO!$A158="Ítem",PRESUPUESTO!E158,"")</f>
        <v/>
      </c>
      <c r="E171" s="10" t="str">
        <f aca="false">IF(D171="","",PRESUPUESTO!F158)</f>
        <v/>
      </c>
      <c r="F171" s="80"/>
      <c r="G171" s="80"/>
      <c r="H171" s="80"/>
      <c r="I171" s="80"/>
      <c r="J171" s="80"/>
      <c r="K171" s="80"/>
      <c r="L171" s="88" t="str">
        <f aca="false">IF(D171="","",SUM(F171:K171))</f>
        <v/>
      </c>
      <c r="M171" s="87" t="str">
        <f aca="false">IF(D171="","",D171-L171)</f>
        <v/>
      </c>
      <c r="N171" s="36" t="str">
        <f aca="false">IF(OR(D171="",N(D171)=0),"",L171/D171)</f>
        <v/>
      </c>
      <c r="O171" s="10" t="str">
        <f aca="false">IF(D171="","",L171*E171)</f>
        <v/>
      </c>
      <c r="P171" s="10" t="str">
        <f aca="false">IF(D171="","",M171*E171)</f>
        <v/>
      </c>
    </row>
    <row r="172" customFormat="false" ht="16.5" hidden="false" customHeight="true" outlineLevel="0" collapsed="false">
      <c r="A172" s="23" t="str">
        <f aca="false">IF(PRESUPUESTO!$A159="Ítem",PRESUPUESTO!B159,"")</f>
        <v/>
      </c>
      <c r="B172" s="23" t="str">
        <f aca="false">IF(PRESUPUESTO!C159="","",PRESUPUESTO!C159)</f>
        <v/>
      </c>
      <c r="C172" s="86" t="str">
        <f aca="false">IF(PRESUPUESTO!$A159="Ítem",PRESUPUESTO!D159,"")</f>
        <v/>
      </c>
      <c r="D172" s="87" t="str">
        <f aca="false">IF(PRESUPUESTO!$A159="Ítem",PRESUPUESTO!E159,"")</f>
        <v/>
      </c>
      <c r="E172" s="10" t="str">
        <f aca="false">IF(D172="","",PRESUPUESTO!F159)</f>
        <v/>
      </c>
      <c r="F172" s="80"/>
      <c r="G172" s="80"/>
      <c r="H172" s="80"/>
      <c r="I172" s="80"/>
      <c r="J172" s="80"/>
      <c r="K172" s="80"/>
      <c r="L172" s="88" t="str">
        <f aca="false">IF(D172="","",SUM(F172:K172))</f>
        <v/>
      </c>
      <c r="M172" s="87" t="str">
        <f aca="false">IF(D172="","",D172-L172)</f>
        <v/>
      </c>
      <c r="N172" s="36" t="str">
        <f aca="false">IF(OR(D172="",N(D172)=0),"",L172/D172)</f>
        <v/>
      </c>
      <c r="O172" s="10" t="str">
        <f aca="false">IF(D172="","",L172*E172)</f>
        <v/>
      </c>
      <c r="P172" s="10" t="str">
        <f aca="false">IF(D172="","",M172*E172)</f>
        <v/>
      </c>
    </row>
    <row r="173" customFormat="false" ht="16.5" hidden="false" customHeight="true" outlineLevel="0" collapsed="false">
      <c r="A173" s="23" t="str">
        <f aca="false">IF(PRESUPUESTO!$A160="Ítem",PRESUPUESTO!B160,"")</f>
        <v/>
      </c>
      <c r="B173" s="23" t="str">
        <f aca="false">IF(PRESUPUESTO!C160="","",PRESUPUESTO!C160)</f>
        <v/>
      </c>
      <c r="C173" s="86" t="str">
        <f aca="false">IF(PRESUPUESTO!$A160="Ítem",PRESUPUESTO!D160,"")</f>
        <v/>
      </c>
      <c r="D173" s="87" t="str">
        <f aca="false">IF(PRESUPUESTO!$A160="Ítem",PRESUPUESTO!E160,"")</f>
        <v/>
      </c>
      <c r="E173" s="10" t="str">
        <f aca="false">IF(D173="","",PRESUPUESTO!F160)</f>
        <v/>
      </c>
      <c r="F173" s="80"/>
      <c r="G173" s="80"/>
      <c r="H173" s="80"/>
      <c r="I173" s="80"/>
      <c r="J173" s="80"/>
      <c r="K173" s="80"/>
      <c r="L173" s="88" t="str">
        <f aca="false">IF(D173="","",SUM(F173:K173))</f>
        <v/>
      </c>
      <c r="M173" s="87" t="str">
        <f aca="false">IF(D173="","",D173-L173)</f>
        <v/>
      </c>
      <c r="N173" s="36" t="str">
        <f aca="false">IF(OR(D173="",N(D173)=0),"",L173/D173)</f>
        <v/>
      </c>
      <c r="O173" s="10" t="str">
        <f aca="false">IF(D173="","",L173*E173)</f>
        <v/>
      </c>
      <c r="P173" s="10" t="str">
        <f aca="false">IF(D173="","",M173*E173)</f>
        <v/>
      </c>
    </row>
    <row r="174" customFormat="false" ht="16.5" hidden="false" customHeight="true" outlineLevel="0" collapsed="false">
      <c r="A174" s="23" t="str">
        <f aca="false">IF(PRESUPUESTO!$A161="Ítem",PRESUPUESTO!B161,"")</f>
        <v/>
      </c>
      <c r="B174" s="23" t="str">
        <f aca="false">IF(PRESUPUESTO!C161="","",PRESUPUESTO!C161)</f>
        <v/>
      </c>
      <c r="C174" s="86" t="str">
        <f aca="false">IF(PRESUPUESTO!$A161="Ítem",PRESUPUESTO!D161,"")</f>
        <v/>
      </c>
      <c r="D174" s="87" t="str">
        <f aca="false">IF(PRESUPUESTO!$A161="Ítem",PRESUPUESTO!E161,"")</f>
        <v/>
      </c>
      <c r="E174" s="10" t="str">
        <f aca="false">IF(D174="","",PRESUPUESTO!F161)</f>
        <v/>
      </c>
      <c r="F174" s="80"/>
      <c r="G174" s="80"/>
      <c r="H174" s="80"/>
      <c r="I174" s="80"/>
      <c r="J174" s="80"/>
      <c r="K174" s="80"/>
      <c r="L174" s="88" t="str">
        <f aca="false">IF(D174="","",SUM(F174:K174))</f>
        <v/>
      </c>
      <c r="M174" s="87" t="str">
        <f aca="false">IF(D174="","",D174-L174)</f>
        <v/>
      </c>
      <c r="N174" s="36" t="str">
        <f aca="false">IF(OR(D174="",N(D174)=0),"",L174/D174)</f>
        <v/>
      </c>
      <c r="O174" s="10" t="str">
        <f aca="false">IF(D174="","",L174*E174)</f>
        <v/>
      </c>
      <c r="P174" s="10" t="str">
        <f aca="false">IF(D174="","",M174*E174)</f>
        <v/>
      </c>
    </row>
    <row r="175" customFormat="false" ht="16.5" hidden="false" customHeight="true" outlineLevel="0" collapsed="false">
      <c r="A175" s="23" t="str">
        <f aca="false">IF(PRESUPUESTO!$A162="Ítem",PRESUPUESTO!B162,"")</f>
        <v/>
      </c>
      <c r="B175" s="23" t="str">
        <f aca="false">IF(PRESUPUESTO!C162="","",PRESUPUESTO!C162)</f>
        <v/>
      </c>
      <c r="C175" s="86" t="str">
        <f aca="false">IF(PRESUPUESTO!$A162="Ítem",PRESUPUESTO!D162,"")</f>
        <v/>
      </c>
      <c r="D175" s="87" t="str">
        <f aca="false">IF(PRESUPUESTO!$A162="Ítem",PRESUPUESTO!E162,"")</f>
        <v/>
      </c>
      <c r="E175" s="10" t="str">
        <f aca="false">IF(D175="","",PRESUPUESTO!F162)</f>
        <v/>
      </c>
      <c r="F175" s="80"/>
      <c r="G175" s="80"/>
      <c r="H175" s="80"/>
      <c r="I175" s="80"/>
      <c r="J175" s="80"/>
      <c r="K175" s="80"/>
      <c r="L175" s="88" t="str">
        <f aca="false">IF(D175="","",SUM(F175:K175))</f>
        <v/>
      </c>
      <c r="M175" s="87" t="str">
        <f aca="false">IF(D175="","",D175-L175)</f>
        <v/>
      </c>
      <c r="N175" s="36" t="str">
        <f aca="false">IF(OR(D175="",N(D175)=0),"",L175/D175)</f>
        <v/>
      </c>
      <c r="O175" s="10" t="str">
        <f aca="false">IF(D175="","",L175*E175)</f>
        <v/>
      </c>
      <c r="P175" s="10" t="str">
        <f aca="false">IF(D175="","",M175*E175)</f>
        <v/>
      </c>
    </row>
    <row r="176" customFormat="false" ht="16.5" hidden="false" customHeight="true" outlineLevel="0" collapsed="false">
      <c r="A176" s="23" t="str">
        <f aca="false">IF(PRESUPUESTO!$A163="Ítem",PRESUPUESTO!B163,"")</f>
        <v/>
      </c>
      <c r="B176" s="23" t="str">
        <f aca="false">IF(PRESUPUESTO!C163="","",PRESUPUESTO!C163)</f>
        <v/>
      </c>
      <c r="C176" s="86" t="str">
        <f aca="false">IF(PRESUPUESTO!$A163="Ítem",PRESUPUESTO!D163,"")</f>
        <v/>
      </c>
      <c r="D176" s="87" t="str">
        <f aca="false">IF(PRESUPUESTO!$A163="Ítem",PRESUPUESTO!E163,"")</f>
        <v/>
      </c>
      <c r="E176" s="10" t="str">
        <f aca="false">IF(D176="","",PRESUPUESTO!F163)</f>
        <v/>
      </c>
      <c r="F176" s="80"/>
      <c r="G176" s="80"/>
      <c r="H176" s="80"/>
      <c r="I176" s="80"/>
      <c r="J176" s="80"/>
      <c r="K176" s="80"/>
      <c r="L176" s="88" t="str">
        <f aca="false">IF(D176="","",SUM(F176:K176))</f>
        <v/>
      </c>
      <c r="M176" s="87" t="str">
        <f aca="false">IF(D176="","",D176-L176)</f>
        <v/>
      </c>
      <c r="N176" s="36" t="str">
        <f aca="false">IF(OR(D176="",N(D176)=0),"",L176/D176)</f>
        <v/>
      </c>
      <c r="O176" s="10" t="str">
        <f aca="false">IF(D176="","",L176*E176)</f>
        <v/>
      </c>
      <c r="P176" s="10" t="str">
        <f aca="false">IF(D176="","",M176*E176)</f>
        <v/>
      </c>
    </row>
    <row r="177" customFormat="false" ht="16.5" hidden="false" customHeight="true" outlineLevel="0" collapsed="false">
      <c r="A177" s="23" t="str">
        <f aca="false">IF(PRESUPUESTO!$A164="Ítem",PRESUPUESTO!B164,"")</f>
        <v/>
      </c>
      <c r="B177" s="23" t="str">
        <f aca="false">IF(PRESUPUESTO!C164="","",PRESUPUESTO!C164)</f>
        <v/>
      </c>
      <c r="C177" s="86" t="str">
        <f aca="false">IF(PRESUPUESTO!$A164="Ítem",PRESUPUESTO!D164,"")</f>
        <v/>
      </c>
      <c r="D177" s="87" t="str">
        <f aca="false">IF(PRESUPUESTO!$A164="Ítem",PRESUPUESTO!E164,"")</f>
        <v/>
      </c>
      <c r="E177" s="10" t="str">
        <f aca="false">IF(D177="","",PRESUPUESTO!F164)</f>
        <v/>
      </c>
      <c r="F177" s="80"/>
      <c r="G177" s="80"/>
      <c r="H177" s="80"/>
      <c r="I177" s="80"/>
      <c r="J177" s="80"/>
      <c r="K177" s="80"/>
      <c r="L177" s="88" t="str">
        <f aca="false">IF(D177="","",SUM(F177:K177))</f>
        <v/>
      </c>
      <c r="M177" s="87" t="str">
        <f aca="false">IF(D177="","",D177-L177)</f>
        <v/>
      </c>
      <c r="N177" s="36" t="str">
        <f aca="false">IF(OR(D177="",N(D177)=0),"",L177/D177)</f>
        <v/>
      </c>
      <c r="O177" s="10" t="str">
        <f aca="false">IF(D177="","",L177*E177)</f>
        <v/>
      </c>
      <c r="P177" s="10" t="str">
        <f aca="false">IF(D177="","",M177*E177)</f>
        <v/>
      </c>
    </row>
    <row r="178" customFormat="false" ht="16.5" hidden="false" customHeight="true" outlineLevel="0" collapsed="false">
      <c r="A178" s="23" t="str">
        <f aca="false">IF(PRESUPUESTO!$A165="Ítem",PRESUPUESTO!B165,"")</f>
        <v/>
      </c>
      <c r="B178" s="23" t="str">
        <f aca="false">IF(PRESUPUESTO!C165="","",PRESUPUESTO!C165)</f>
        <v/>
      </c>
      <c r="C178" s="86" t="str">
        <f aca="false">IF(PRESUPUESTO!$A165="Ítem",PRESUPUESTO!D165,"")</f>
        <v/>
      </c>
      <c r="D178" s="87" t="str">
        <f aca="false">IF(PRESUPUESTO!$A165="Ítem",PRESUPUESTO!E165,"")</f>
        <v/>
      </c>
      <c r="E178" s="10" t="str">
        <f aca="false">IF(D178="","",PRESUPUESTO!F165)</f>
        <v/>
      </c>
      <c r="F178" s="80"/>
      <c r="G178" s="80"/>
      <c r="H178" s="80"/>
      <c r="I178" s="80"/>
      <c r="J178" s="80"/>
      <c r="K178" s="80"/>
      <c r="L178" s="88" t="str">
        <f aca="false">IF(D178="","",SUM(F178:K178))</f>
        <v/>
      </c>
      <c r="M178" s="87" t="str">
        <f aca="false">IF(D178="","",D178-L178)</f>
        <v/>
      </c>
      <c r="N178" s="36" t="str">
        <f aca="false">IF(OR(D178="",N(D178)=0),"",L178/D178)</f>
        <v/>
      </c>
      <c r="O178" s="10" t="str">
        <f aca="false">IF(D178="","",L178*E178)</f>
        <v/>
      </c>
      <c r="P178" s="10" t="str">
        <f aca="false">IF(D178="","",M178*E178)</f>
        <v/>
      </c>
    </row>
    <row r="179" customFormat="false" ht="16.5" hidden="false" customHeight="true" outlineLevel="0" collapsed="false">
      <c r="A179" s="23" t="str">
        <f aca="false">IF(PRESUPUESTO!$A166="Ítem",PRESUPUESTO!B166,"")</f>
        <v/>
      </c>
      <c r="B179" s="23" t="str">
        <f aca="false">IF(PRESUPUESTO!C166="","",PRESUPUESTO!C166)</f>
        <v/>
      </c>
      <c r="C179" s="86" t="str">
        <f aca="false">IF(PRESUPUESTO!$A166="Ítem",PRESUPUESTO!D166,"")</f>
        <v/>
      </c>
      <c r="D179" s="87" t="str">
        <f aca="false">IF(PRESUPUESTO!$A166="Ítem",PRESUPUESTO!E166,"")</f>
        <v/>
      </c>
      <c r="E179" s="10" t="str">
        <f aca="false">IF(D179="","",PRESUPUESTO!F166)</f>
        <v/>
      </c>
      <c r="F179" s="80"/>
      <c r="G179" s="80"/>
      <c r="H179" s="80"/>
      <c r="I179" s="80"/>
      <c r="J179" s="80"/>
      <c r="K179" s="80"/>
      <c r="L179" s="88" t="str">
        <f aca="false">IF(D179="","",SUM(F179:K179))</f>
        <v/>
      </c>
      <c r="M179" s="87" t="str">
        <f aca="false">IF(D179="","",D179-L179)</f>
        <v/>
      </c>
      <c r="N179" s="36" t="str">
        <f aca="false">IF(OR(D179="",N(D179)=0),"",L179/D179)</f>
        <v/>
      </c>
      <c r="O179" s="10" t="str">
        <f aca="false">IF(D179="","",L179*E179)</f>
        <v/>
      </c>
      <c r="P179" s="10" t="str">
        <f aca="false">IF(D179="","",M179*E179)</f>
        <v/>
      </c>
    </row>
    <row r="180" customFormat="false" ht="16.5" hidden="false" customHeight="true" outlineLevel="0" collapsed="false">
      <c r="A180" s="23" t="str">
        <f aca="false">IF(PRESUPUESTO!$A167="Ítem",PRESUPUESTO!B167,"")</f>
        <v/>
      </c>
      <c r="B180" s="23" t="str">
        <f aca="false">IF(PRESUPUESTO!C167="","",PRESUPUESTO!C167)</f>
        <v/>
      </c>
      <c r="C180" s="86" t="str">
        <f aca="false">IF(PRESUPUESTO!$A167="Ítem",PRESUPUESTO!D167,"")</f>
        <v/>
      </c>
      <c r="D180" s="87" t="str">
        <f aca="false">IF(PRESUPUESTO!$A167="Ítem",PRESUPUESTO!E167,"")</f>
        <v/>
      </c>
      <c r="E180" s="10" t="str">
        <f aca="false">IF(D180="","",PRESUPUESTO!F167)</f>
        <v/>
      </c>
      <c r="F180" s="80"/>
      <c r="G180" s="80"/>
      <c r="H180" s="80"/>
      <c r="I180" s="80"/>
      <c r="J180" s="80"/>
      <c r="K180" s="80"/>
      <c r="L180" s="88" t="str">
        <f aca="false">IF(D180="","",SUM(F180:K180))</f>
        <v/>
      </c>
      <c r="M180" s="87" t="str">
        <f aca="false">IF(D180="","",D180-L180)</f>
        <v/>
      </c>
      <c r="N180" s="36" t="str">
        <f aca="false">IF(OR(D180="",N(D180)=0),"",L180/D180)</f>
        <v/>
      </c>
      <c r="O180" s="10" t="str">
        <f aca="false">IF(D180="","",L180*E180)</f>
        <v/>
      </c>
      <c r="P180" s="10" t="str">
        <f aca="false">IF(D180="","",M180*E180)</f>
        <v/>
      </c>
    </row>
    <row r="181" customFormat="false" ht="16.5" hidden="false" customHeight="true" outlineLevel="0" collapsed="false">
      <c r="A181" s="23" t="str">
        <f aca="false">IF(PRESUPUESTO!$A168="Ítem",PRESUPUESTO!B168,"")</f>
        <v/>
      </c>
      <c r="B181" s="23" t="str">
        <f aca="false">IF(PRESUPUESTO!C168="","",PRESUPUESTO!C168)</f>
        <v/>
      </c>
      <c r="C181" s="86" t="str">
        <f aca="false">IF(PRESUPUESTO!$A168="Ítem",PRESUPUESTO!D168,"")</f>
        <v/>
      </c>
      <c r="D181" s="87" t="str">
        <f aca="false">IF(PRESUPUESTO!$A168="Ítem",PRESUPUESTO!E168,"")</f>
        <v/>
      </c>
      <c r="E181" s="10" t="str">
        <f aca="false">IF(D181="","",PRESUPUESTO!F168)</f>
        <v/>
      </c>
      <c r="F181" s="80"/>
      <c r="G181" s="80"/>
      <c r="H181" s="80"/>
      <c r="I181" s="80"/>
      <c r="J181" s="80"/>
      <c r="K181" s="80"/>
      <c r="L181" s="88" t="str">
        <f aca="false">IF(D181="","",SUM(F181:K181))</f>
        <v/>
      </c>
      <c r="M181" s="87" t="str">
        <f aca="false">IF(D181="","",D181-L181)</f>
        <v/>
      </c>
      <c r="N181" s="36" t="str">
        <f aca="false">IF(OR(D181="",N(D181)=0),"",L181/D181)</f>
        <v/>
      </c>
      <c r="O181" s="10" t="str">
        <f aca="false">IF(D181="","",L181*E181)</f>
        <v/>
      </c>
      <c r="P181" s="10" t="str">
        <f aca="false">IF(D181="","",M181*E181)</f>
        <v/>
      </c>
    </row>
    <row r="182" customFormat="false" ht="16.5" hidden="false" customHeight="true" outlineLevel="0" collapsed="false">
      <c r="A182" s="23" t="str">
        <f aca="false">IF(PRESUPUESTO!$A169="Ítem",PRESUPUESTO!B169,"")</f>
        <v/>
      </c>
      <c r="B182" s="23" t="str">
        <f aca="false">IF(PRESUPUESTO!C169="","",PRESUPUESTO!C169)</f>
        <v/>
      </c>
      <c r="C182" s="86" t="str">
        <f aca="false">IF(PRESUPUESTO!$A169="Ítem",PRESUPUESTO!D169,"")</f>
        <v/>
      </c>
      <c r="D182" s="87" t="str">
        <f aca="false">IF(PRESUPUESTO!$A169="Ítem",PRESUPUESTO!E169,"")</f>
        <v/>
      </c>
      <c r="E182" s="10" t="str">
        <f aca="false">IF(D182="","",PRESUPUESTO!F169)</f>
        <v/>
      </c>
      <c r="F182" s="80"/>
      <c r="G182" s="80"/>
      <c r="H182" s="80"/>
      <c r="I182" s="80"/>
      <c r="J182" s="80"/>
      <c r="K182" s="80"/>
      <c r="L182" s="88" t="str">
        <f aca="false">IF(D182="","",SUM(F182:K182))</f>
        <v/>
      </c>
      <c r="M182" s="87" t="str">
        <f aca="false">IF(D182="","",D182-L182)</f>
        <v/>
      </c>
      <c r="N182" s="36" t="str">
        <f aca="false">IF(OR(D182="",N(D182)=0),"",L182/D182)</f>
        <v/>
      </c>
      <c r="O182" s="10" t="str">
        <f aca="false">IF(D182="","",L182*E182)</f>
        <v/>
      </c>
      <c r="P182" s="10" t="str">
        <f aca="false">IF(D182="","",M182*E182)</f>
        <v/>
      </c>
    </row>
    <row r="183" customFormat="false" ht="16.5" hidden="false" customHeight="true" outlineLevel="0" collapsed="false">
      <c r="A183" s="23" t="str">
        <f aca="false">IF(PRESUPUESTO!$A170="Ítem",PRESUPUESTO!B170,"")</f>
        <v/>
      </c>
      <c r="B183" s="23" t="str">
        <f aca="false">IF(PRESUPUESTO!C170="","",PRESUPUESTO!C170)</f>
        <v/>
      </c>
      <c r="C183" s="86" t="str">
        <f aca="false">IF(PRESUPUESTO!$A170="Ítem",PRESUPUESTO!D170,"")</f>
        <v/>
      </c>
      <c r="D183" s="87" t="str">
        <f aca="false">IF(PRESUPUESTO!$A170="Ítem",PRESUPUESTO!E170,"")</f>
        <v/>
      </c>
      <c r="E183" s="10" t="str">
        <f aca="false">IF(D183="","",PRESUPUESTO!F170)</f>
        <v/>
      </c>
      <c r="F183" s="80"/>
      <c r="G183" s="80"/>
      <c r="H183" s="80"/>
      <c r="I183" s="80"/>
      <c r="J183" s="80"/>
      <c r="K183" s="80"/>
      <c r="L183" s="88" t="str">
        <f aca="false">IF(D183="","",SUM(F183:K183))</f>
        <v/>
      </c>
      <c r="M183" s="87" t="str">
        <f aca="false">IF(D183="","",D183-L183)</f>
        <v/>
      </c>
      <c r="N183" s="36" t="str">
        <f aca="false">IF(OR(D183="",N(D183)=0),"",L183/D183)</f>
        <v/>
      </c>
      <c r="O183" s="10" t="str">
        <f aca="false">IF(D183="","",L183*E183)</f>
        <v/>
      </c>
      <c r="P183" s="10" t="str">
        <f aca="false">IF(D183="","",M183*E183)</f>
        <v/>
      </c>
    </row>
    <row r="184" customFormat="false" ht="16.5" hidden="false" customHeight="true" outlineLevel="0" collapsed="false">
      <c r="A184" s="23" t="str">
        <f aca="false">IF(PRESUPUESTO!$A171="Ítem",PRESUPUESTO!B171,"")</f>
        <v/>
      </c>
      <c r="B184" s="23" t="str">
        <f aca="false">IF(PRESUPUESTO!C171="","",PRESUPUESTO!C171)</f>
        <v/>
      </c>
      <c r="C184" s="86" t="str">
        <f aca="false">IF(PRESUPUESTO!$A171="Ítem",PRESUPUESTO!D171,"")</f>
        <v/>
      </c>
      <c r="D184" s="87" t="str">
        <f aca="false">IF(PRESUPUESTO!$A171="Ítem",PRESUPUESTO!E171,"")</f>
        <v/>
      </c>
      <c r="E184" s="10" t="str">
        <f aca="false">IF(D184="","",PRESUPUESTO!F171)</f>
        <v/>
      </c>
      <c r="F184" s="80"/>
      <c r="G184" s="80"/>
      <c r="H184" s="80"/>
      <c r="I184" s="80"/>
      <c r="J184" s="80"/>
      <c r="K184" s="80"/>
      <c r="L184" s="88" t="str">
        <f aca="false">IF(D184="","",SUM(F184:K184))</f>
        <v/>
      </c>
      <c r="M184" s="87" t="str">
        <f aca="false">IF(D184="","",D184-L184)</f>
        <v/>
      </c>
      <c r="N184" s="36" t="str">
        <f aca="false">IF(OR(D184="",N(D184)=0),"",L184/D184)</f>
        <v/>
      </c>
      <c r="O184" s="10" t="str">
        <f aca="false">IF(D184="","",L184*E184)</f>
        <v/>
      </c>
      <c r="P184" s="10" t="str">
        <f aca="false">IF(D184="","",M184*E184)</f>
        <v/>
      </c>
    </row>
    <row r="185" customFormat="false" ht="16.5" hidden="false" customHeight="true" outlineLevel="0" collapsed="false">
      <c r="A185" s="23" t="str">
        <f aca="false">IF(PRESUPUESTO!$A172="Ítem",PRESUPUESTO!B172,"")</f>
        <v/>
      </c>
      <c r="B185" s="23" t="str">
        <f aca="false">IF(PRESUPUESTO!C172="","",PRESUPUESTO!C172)</f>
        <v/>
      </c>
      <c r="C185" s="86" t="str">
        <f aca="false">IF(PRESUPUESTO!$A172="Ítem",PRESUPUESTO!D172,"")</f>
        <v/>
      </c>
      <c r="D185" s="87" t="str">
        <f aca="false">IF(PRESUPUESTO!$A172="Ítem",PRESUPUESTO!E172,"")</f>
        <v/>
      </c>
      <c r="E185" s="10" t="str">
        <f aca="false">IF(D185="","",PRESUPUESTO!F172)</f>
        <v/>
      </c>
      <c r="F185" s="80"/>
      <c r="G185" s="80"/>
      <c r="H185" s="80"/>
      <c r="I185" s="80"/>
      <c r="J185" s="80"/>
      <c r="K185" s="80"/>
      <c r="L185" s="88" t="str">
        <f aca="false">IF(D185="","",SUM(F185:K185))</f>
        <v/>
      </c>
      <c r="M185" s="87" t="str">
        <f aca="false">IF(D185="","",D185-L185)</f>
        <v/>
      </c>
      <c r="N185" s="36" t="str">
        <f aca="false">IF(OR(D185="",N(D185)=0),"",L185/D185)</f>
        <v/>
      </c>
      <c r="O185" s="10" t="str">
        <f aca="false">IF(D185="","",L185*E185)</f>
        <v/>
      </c>
      <c r="P185" s="10" t="str">
        <f aca="false">IF(D185="","",M185*E185)</f>
        <v/>
      </c>
    </row>
    <row r="186" customFormat="false" ht="16.5" hidden="false" customHeight="true" outlineLevel="0" collapsed="false">
      <c r="A186" s="23" t="str">
        <f aca="false">IF(PRESUPUESTO!$A173="Ítem",PRESUPUESTO!B173,"")</f>
        <v/>
      </c>
      <c r="B186" s="23" t="str">
        <f aca="false">IF(PRESUPUESTO!C173="","",PRESUPUESTO!C173)</f>
        <v/>
      </c>
      <c r="C186" s="86" t="str">
        <f aca="false">IF(PRESUPUESTO!$A173="Ítem",PRESUPUESTO!D173,"")</f>
        <v/>
      </c>
      <c r="D186" s="87" t="str">
        <f aca="false">IF(PRESUPUESTO!$A173="Ítem",PRESUPUESTO!E173,"")</f>
        <v/>
      </c>
      <c r="E186" s="10" t="str">
        <f aca="false">IF(D186="","",PRESUPUESTO!F173)</f>
        <v/>
      </c>
      <c r="F186" s="80"/>
      <c r="G186" s="80"/>
      <c r="H186" s="80"/>
      <c r="I186" s="80"/>
      <c r="J186" s="80"/>
      <c r="K186" s="80"/>
      <c r="L186" s="88" t="str">
        <f aca="false">IF(D186="","",SUM(F186:K186))</f>
        <v/>
      </c>
      <c r="M186" s="87" t="str">
        <f aca="false">IF(D186="","",D186-L186)</f>
        <v/>
      </c>
      <c r="N186" s="36" t="str">
        <f aca="false">IF(OR(D186="",N(D186)=0),"",L186/D186)</f>
        <v/>
      </c>
      <c r="O186" s="10" t="str">
        <f aca="false">IF(D186="","",L186*E186)</f>
        <v/>
      </c>
      <c r="P186" s="10" t="str">
        <f aca="false">IF(D186="","",M186*E186)</f>
        <v/>
      </c>
    </row>
    <row r="187" customFormat="false" ht="16.5" hidden="false" customHeight="true" outlineLevel="0" collapsed="false">
      <c r="A187" s="23" t="str">
        <f aca="false">IF(PRESUPUESTO!$A174="Ítem",PRESUPUESTO!B174,"")</f>
        <v/>
      </c>
      <c r="B187" s="23" t="str">
        <f aca="false">IF(PRESUPUESTO!C174="","",PRESUPUESTO!C174)</f>
        <v/>
      </c>
      <c r="C187" s="86" t="str">
        <f aca="false">IF(PRESUPUESTO!$A174="Ítem",PRESUPUESTO!D174,"")</f>
        <v/>
      </c>
      <c r="D187" s="87" t="str">
        <f aca="false">IF(PRESUPUESTO!$A174="Ítem",PRESUPUESTO!E174,"")</f>
        <v/>
      </c>
      <c r="E187" s="10" t="str">
        <f aca="false">IF(D187="","",PRESUPUESTO!F174)</f>
        <v/>
      </c>
      <c r="F187" s="80"/>
      <c r="G187" s="80"/>
      <c r="H187" s="80"/>
      <c r="I187" s="80"/>
      <c r="J187" s="80"/>
      <c r="K187" s="80"/>
      <c r="L187" s="88" t="str">
        <f aca="false">IF(D187="","",SUM(F187:K187))</f>
        <v/>
      </c>
      <c r="M187" s="87" t="str">
        <f aca="false">IF(D187="","",D187-L187)</f>
        <v/>
      </c>
      <c r="N187" s="36" t="str">
        <f aca="false">IF(OR(D187="",N(D187)=0),"",L187/D187)</f>
        <v/>
      </c>
      <c r="O187" s="10" t="str">
        <f aca="false">IF(D187="","",L187*E187)</f>
        <v/>
      </c>
      <c r="P187" s="10" t="str">
        <f aca="false">IF(D187="","",M187*E187)</f>
        <v/>
      </c>
    </row>
    <row r="188" customFormat="false" ht="16.5" hidden="false" customHeight="true" outlineLevel="0" collapsed="false">
      <c r="A188" s="23" t="str">
        <f aca="false">IF(PRESUPUESTO!$A175="Ítem",PRESUPUESTO!B175,"")</f>
        <v/>
      </c>
      <c r="B188" s="23" t="str">
        <f aca="false">IF(PRESUPUESTO!C175="","",PRESUPUESTO!C175)</f>
        <v/>
      </c>
      <c r="C188" s="86" t="str">
        <f aca="false">IF(PRESUPUESTO!$A175="Ítem",PRESUPUESTO!D175,"")</f>
        <v/>
      </c>
      <c r="D188" s="87" t="str">
        <f aca="false">IF(PRESUPUESTO!$A175="Ítem",PRESUPUESTO!E175,"")</f>
        <v/>
      </c>
      <c r="E188" s="10" t="str">
        <f aca="false">IF(D188="","",PRESUPUESTO!F175)</f>
        <v/>
      </c>
      <c r="F188" s="80"/>
      <c r="G188" s="80"/>
      <c r="H188" s="80"/>
      <c r="I188" s="80"/>
      <c r="J188" s="80"/>
      <c r="K188" s="80"/>
      <c r="L188" s="88" t="str">
        <f aca="false">IF(D188="","",SUM(F188:K188))</f>
        <v/>
      </c>
      <c r="M188" s="87" t="str">
        <f aca="false">IF(D188="","",D188-L188)</f>
        <v/>
      </c>
      <c r="N188" s="36" t="str">
        <f aca="false">IF(OR(D188="",N(D188)=0),"",L188/D188)</f>
        <v/>
      </c>
      <c r="O188" s="10" t="str">
        <f aca="false">IF(D188="","",L188*E188)</f>
        <v/>
      </c>
      <c r="P188" s="10" t="str">
        <f aca="false">IF(D188="","",M188*E188)</f>
        <v/>
      </c>
    </row>
    <row r="189" customFormat="false" ht="16.5" hidden="false" customHeight="true" outlineLevel="0" collapsed="false">
      <c r="A189" s="23" t="str">
        <f aca="false">IF(PRESUPUESTO!$A176="Ítem",PRESUPUESTO!B176,"")</f>
        <v/>
      </c>
      <c r="B189" s="23" t="str">
        <f aca="false">IF(PRESUPUESTO!C176="","",PRESUPUESTO!C176)</f>
        <v/>
      </c>
      <c r="C189" s="86" t="str">
        <f aca="false">IF(PRESUPUESTO!$A176="Ítem",PRESUPUESTO!D176,"")</f>
        <v/>
      </c>
      <c r="D189" s="87" t="str">
        <f aca="false">IF(PRESUPUESTO!$A176="Ítem",PRESUPUESTO!E176,"")</f>
        <v/>
      </c>
      <c r="E189" s="10" t="str">
        <f aca="false">IF(D189="","",PRESUPUESTO!F176)</f>
        <v/>
      </c>
      <c r="F189" s="80"/>
      <c r="G189" s="80"/>
      <c r="H189" s="80"/>
      <c r="I189" s="80"/>
      <c r="J189" s="80"/>
      <c r="K189" s="80"/>
      <c r="L189" s="88" t="str">
        <f aca="false">IF(D189="","",SUM(F189:K189))</f>
        <v/>
      </c>
      <c r="M189" s="87" t="str">
        <f aca="false">IF(D189="","",D189-L189)</f>
        <v/>
      </c>
      <c r="N189" s="36" t="str">
        <f aca="false">IF(OR(D189="",N(D189)=0),"",L189/D189)</f>
        <v/>
      </c>
      <c r="O189" s="10" t="str">
        <f aca="false">IF(D189="","",L189*E189)</f>
        <v/>
      </c>
      <c r="P189" s="10" t="str">
        <f aca="false">IF(D189="","",M189*E189)</f>
        <v/>
      </c>
    </row>
    <row r="190" customFormat="false" ht="16.5" hidden="false" customHeight="true" outlineLevel="0" collapsed="false">
      <c r="A190" s="23" t="str">
        <f aca="false">IF(PRESUPUESTO!$A177="Ítem",PRESUPUESTO!B177,"")</f>
        <v/>
      </c>
      <c r="B190" s="23" t="str">
        <f aca="false">IF(PRESUPUESTO!C177="","",PRESUPUESTO!C177)</f>
        <v/>
      </c>
      <c r="C190" s="86" t="str">
        <f aca="false">IF(PRESUPUESTO!$A177="Ítem",PRESUPUESTO!D177,"")</f>
        <v/>
      </c>
      <c r="D190" s="87" t="str">
        <f aca="false">IF(PRESUPUESTO!$A177="Ítem",PRESUPUESTO!E177,"")</f>
        <v/>
      </c>
      <c r="E190" s="10" t="str">
        <f aca="false">IF(D190="","",PRESUPUESTO!F177)</f>
        <v/>
      </c>
      <c r="F190" s="80"/>
      <c r="G190" s="80"/>
      <c r="H190" s="80"/>
      <c r="I190" s="80"/>
      <c r="J190" s="80"/>
      <c r="K190" s="80"/>
      <c r="L190" s="88" t="str">
        <f aca="false">IF(D190="","",SUM(F190:K190))</f>
        <v/>
      </c>
      <c r="M190" s="87" t="str">
        <f aca="false">IF(D190="","",D190-L190)</f>
        <v/>
      </c>
      <c r="N190" s="36" t="str">
        <f aca="false">IF(OR(D190="",N(D190)=0),"",L190/D190)</f>
        <v/>
      </c>
      <c r="O190" s="10" t="str">
        <f aca="false">IF(D190="","",L190*E190)</f>
        <v/>
      </c>
      <c r="P190" s="10" t="str">
        <f aca="false">IF(D190="","",M190*E190)</f>
        <v/>
      </c>
    </row>
    <row r="191" customFormat="false" ht="16.5" hidden="false" customHeight="true" outlineLevel="0" collapsed="false">
      <c r="A191" s="23" t="str">
        <f aca="false">IF(PRESUPUESTO!$A178="Ítem",PRESUPUESTO!B178,"")</f>
        <v/>
      </c>
      <c r="B191" s="23" t="str">
        <f aca="false">IF(PRESUPUESTO!C178="","",PRESUPUESTO!C178)</f>
        <v/>
      </c>
      <c r="C191" s="86" t="str">
        <f aca="false">IF(PRESUPUESTO!$A178="Ítem",PRESUPUESTO!D178,"")</f>
        <v/>
      </c>
      <c r="D191" s="87" t="str">
        <f aca="false">IF(PRESUPUESTO!$A178="Ítem",PRESUPUESTO!E178,"")</f>
        <v/>
      </c>
      <c r="E191" s="10" t="str">
        <f aca="false">IF(D191="","",PRESUPUESTO!F178)</f>
        <v/>
      </c>
      <c r="F191" s="80"/>
      <c r="G191" s="80"/>
      <c r="H191" s="80"/>
      <c r="I191" s="80"/>
      <c r="J191" s="80"/>
      <c r="K191" s="80"/>
      <c r="L191" s="88" t="str">
        <f aca="false">IF(D191="","",SUM(F191:K191))</f>
        <v/>
      </c>
      <c r="M191" s="87" t="str">
        <f aca="false">IF(D191="","",D191-L191)</f>
        <v/>
      </c>
      <c r="N191" s="36" t="str">
        <f aca="false">IF(OR(D191="",N(D191)=0),"",L191/D191)</f>
        <v/>
      </c>
      <c r="O191" s="10" t="str">
        <f aca="false">IF(D191="","",L191*E191)</f>
        <v/>
      </c>
      <c r="P191" s="10" t="str">
        <f aca="false">IF(D191="","",M191*E191)</f>
        <v/>
      </c>
    </row>
    <row r="192" customFormat="false" ht="16.5" hidden="false" customHeight="true" outlineLevel="0" collapsed="false">
      <c r="A192" s="23" t="str">
        <f aca="false">IF(PRESUPUESTO!$A179="Ítem",PRESUPUESTO!B179,"")</f>
        <v/>
      </c>
      <c r="B192" s="23" t="str">
        <f aca="false">IF(PRESUPUESTO!C179="","",PRESUPUESTO!C179)</f>
        <v/>
      </c>
      <c r="C192" s="86" t="str">
        <f aca="false">IF(PRESUPUESTO!$A179="Ítem",PRESUPUESTO!D179,"")</f>
        <v/>
      </c>
      <c r="D192" s="87" t="str">
        <f aca="false">IF(PRESUPUESTO!$A179="Ítem",PRESUPUESTO!E179,"")</f>
        <v/>
      </c>
      <c r="E192" s="10" t="str">
        <f aca="false">IF(D192="","",PRESUPUESTO!F179)</f>
        <v/>
      </c>
      <c r="F192" s="80"/>
      <c r="G192" s="80"/>
      <c r="H192" s="80"/>
      <c r="I192" s="80"/>
      <c r="J192" s="80"/>
      <c r="K192" s="80"/>
      <c r="L192" s="88" t="str">
        <f aca="false">IF(D192="","",SUM(F192:K192))</f>
        <v/>
      </c>
      <c r="M192" s="87" t="str">
        <f aca="false">IF(D192="","",D192-L192)</f>
        <v/>
      </c>
      <c r="N192" s="36" t="str">
        <f aca="false">IF(OR(D192="",N(D192)=0),"",L192/D192)</f>
        <v/>
      </c>
      <c r="O192" s="10" t="str">
        <f aca="false">IF(D192="","",L192*E192)</f>
        <v/>
      </c>
      <c r="P192" s="10" t="str">
        <f aca="false">IF(D192="","",M192*E192)</f>
        <v/>
      </c>
    </row>
    <row r="193" customFormat="false" ht="16.5" hidden="false" customHeight="true" outlineLevel="0" collapsed="false">
      <c r="A193" s="23" t="str">
        <f aca="false">IF(PRESUPUESTO!$A180="Ítem",PRESUPUESTO!B180,"")</f>
        <v/>
      </c>
      <c r="B193" s="23" t="str">
        <f aca="false">IF(PRESUPUESTO!C180="","",PRESUPUESTO!C180)</f>
        <v/>
      </c>
      <c r="C193" s="86" t="str">
        <f aca="false">IF(PRESUPUESTO!$A180="Ítem",PRESUPUESTO!D180,"")</f>
        <v/>
      </c>
      <c r="D193" s="87" t="str">
        <f aca="false">IF(PRESUPUESTO!$A180="Ítem",PRESUPUESTO!E180,"")</f>
        <v/>
      </c>
      <c r="E193" s="10" t="str">
        <f aca="false">IF(D193="","",PRESUPUESTO!F180)</f>
        <v/>
      </c>
      <c r="F193" s="80"/>
      <c r="G193" s="80"/>
      <c r="H193" s="80"/>
      <c r="I193" s="80"/>
      <c r="J193" s="80"/>
      <c r="K193" s="80"/>
      <c r="L193" s="88" t="str">
        <f aca="false">IF(D193="","",SUM(F193:K193))</f>
        <v/>
      </c>
      <c r="M193" s="87" t="str">
        <f aca="false">IF(D193="","",D193-L193)</f>
        <v/>
      </c>
      <c r="N193" s="36" t="str">
        <f aca="false">IF(OR(D193="",N(D193)=0),"",L193/D193)</f>
        <v/>
      </c>
      <c r="O193" s="10" t="str">
        <f aca="false">IF(D193="","",L193*E193)</f>
        <v/>
      </c>
      <c r="P193" s="10" t="str">
        <f aca="false">IF(D193="","",M193*E193)</f>
        <v/>
      </c>
    </row>
    <row r="194" customFormat="false" ht="16.5" hidden="false" customHeight="true" outlineLevel="0" collapsed="false">
      <c r="A194" s="23" t="str">
        <f aca="false">IF(PRESUPUESTO!$A181="Ítem",PRESUPUESTO!B181,"")</f>
        <v/>
      </c>
      <c r="B194" s="23" t="str">
        <f aca="false">IF(PRESUPUESTO!C181="","",PRESUPUESTO!C181)</f>
        <v/>
      </c>
      <c r="C194" s="86" t="str">
        <f aca="false">IF(PRESUPUESTO!$A181="Ítem",PRESUPUESTO!D181,"")</f>
        <v/>
      </c>
      <c r="D194" s="87" t="str">
        <f aca="false">IF(PRESUPUESTO!$A181="Ítem",PRESUPUESTO!E181,"")</f>
        <v/>
      </c>
      <c r="E194" s="10" t="str">
        <f aca="false">IF(D194="","",PRESUPUESTO!F181)</f>
        <v/>
      </c>
      <c r="F194" s="80"/>
      <c r="G194" s="80"/>
      <c r="H194" s="80"/>
      <c r="I194" s="80"/>
      <c r="J194" s="80"/>
      <c r="K194" s="80"/>
      <c r="L194" s="88" t="str">
        <f aca="false">IF(D194="","",SUM(F194:K194))</f>
        <v/>
      </c>
      <c r="M194" s="87" t="str">
        <f aca="false">IF(D194="","",D194-L194)</f>
        <v/>
      </c>
      <c r="N194" s="36" t="str">
        <f aca="false">IF(OR(D194="",N(D194)=0),"",L194/D194)</f>
        <v/>
      </c>
      <c r="O194" s="10" t="str">
        <f aca="false">IF(D194="","",L194*E194)</f>
        <v/>
      </c>
      <c r="P194" s="10" t="str">
        <f aca="false">IF(D194="","",M194*E194)</f>
        <v/>
      </c>
    </row>
    <row r="195" customFormat="false" ht="16.5" hidden="false" customHeight="true" outlineLevel="0" collapsed="false">
      <c r="A195" s="23" t="str">
        <f aca="false">IF(PRESUPUESTO!$A182="Ítem",PRESUPUESTO!B182,"")</f>
        <v/>
      </c>
      <c r="B195" s="23" t="str">
        <f aca="false">IF(PRESUPUESTO!C182="","",PRESUPUESTO!C182)</f>
        <v/>
      </c>
      <c r="C195" s="86" t="str">
        <f aca="false">IF(PRESUPUESTO!$A182="Ítem",PRESUPUESTO!D182,"")</f>
        <v/>
      </c>
      <c r="D195" s="87" t="str">
        <f aca="false">IF(PRESUPUESTO!$A182="Ítem",PRESUPUESTO!E182,"")</f>
        <v/>
      </c>
      <c r="E195" s="10" t="str">
        <f aca="false">IF(D195="","",PRESUPUESTO!F182)</f>
        <v/>
      </c>
      <c r="F195" s="80"/>
      <c r="G195" s="80"/>
      <c r="H195" s="80"/>
      <c r="I195" s="80"/>
      <c r="J195" s="80"/>
      <c r="K195" s="80"/>
      <c r="L195" s="88" t="str">
        <f aca="false">IF(D195="","",SUM(F195:K195))</f>
        <v/>
      </c>
      <c r="M195" s="87" t="str">
        <f aca="false">IF(D195="","",D195-L195)</f>
        <v/>
      </c>
      <c r="N195" s="36" t="str">
        <f aca="false">IF(OR(D195="",N(D195)=0),"",L195/D195)</f>
        <v/>
      </c>
      <c r="O195" s="10" t="str">
        <f aca="false">IF(D195="","",L195*E195)</f>
        <v/>
      </c>
      <c r="P195" s="10" t="str">
        <f aca="false">IF(D195="","",M195*E195)</f>
        <v/>
      </c>
    </row>
    <row r="196" customFormat="false" ht="16.5" hidden="false" customHeight="true" outlineLevel="0" collapsed="false">
      <c r="A196" s="23" t="str">
        <f aca="false">IF(PRESUPUESTO!$A183="Ítem",PRESUPUESTO!B183,"")</f>
        <v/>
      </c>
      <c r="B196" s="23" t="str">
        <f aca="false">IF(PRESUPUESTO!C183="","",PRESUPUESTO!C183)</f>
        <v/>
      </c>
      <c r="C196" s="86" t="str">
        <f aca="false">IF(PRESUPUESTO!$A183="Ítem",PRESUPUESTO!D183,"")</f>
        <v/>
      </c>
      <c r="D196" s="87" t="str">
        <f aca="false">IF(PRESUPUESTO!$A183="Ítem",PRESUPUESTO!E183,"")</f>
        <v/>
      </c>
      <c r="E196" s="10" t="str">
        <f aca="false">IF(D196="","",PRESUPUESTO!F183)</f>
        <v/>
      </c>
      <c r="F196" s="80"/>
      <c r="G196" s="80"/>
      <c r="H196" s="80"/>
      <c r="I196" s="80"/>
      <c r="J196" s="80"/>
      <c r="K196" s="80"/>
      <c r="L196" s="88" t="str">
        <f aca="false">IF(D196="","",SUM(F196:K196))</f>
        <v/>
      </c>
      <c r="M196" s="87" t="str">
        <f aca="false">IF(D196="","",D196-L196)</f>
        <v/>
      </c>
      <c r="N196" s="36" t="str">
        <f aca="false">IF(OR(D196="",N(D196)=0),"",L196/D196)</f>
        <v/>
      </c>
      <c r="O196" s="10" t="str">
        <f aca="false">IF(D196="","",L196*E196)</f>
        <v/>
      </c>
      <c r="P196" s="10" t="str">
        <f aca="false">IF(D196="","",M196*E196)</f>
        <v/>
      </c>
    </row>
    <row r="197" customFormat="false" ht="16.5" hidden="false" customHeight="true" outlineLevel="0" collapsed="false">
      <c r="A197" s="23" t="str">
        <f aca="false">IF(PRESUPUESTO!$A184="Ítem",PRESUPUESTO!B184,"")</f>
        <v/>
      </c>
      <c r="B197" s="23" t="str">
        <f aca="false">IF(PRESUPUESTO!C184="","",PRESUPUESTO!C184)</f>
        <v/>
      </c>
      <c r="C197" s="86" t="str">
        <f aca="false">IF(PRESUPUESTO!$A184="Ítem",PRESUPUESTO!D184,"")</f>
        <v/>
      </c>
      <c r="D197" s="87" t="str">
        <f aca="false">IF(PRESUPUESTO!$A184="Ítem",PRESUPUESTO!E184,"")</f>
        <v/>
      </c>
      <c r="E197" s="10" t="str">
        <f aca="false">IF(D197="","",PRESUPUESTO!F184)</f>
        <v/>
      </c>
      <c r="F197" s="80"/>
      <c r="G197" s="80"/>
      <c r="H197" s="80"/>
      <c r="I197" s="80"/>
      <c r="J197" s="80"/>
      <c r="K197" s="80"/>
      <c r="L197" s="88" t="str">
        <f aca="false">IF(D197="","",SUM(F197:K197))</f>
        <v/>
      </c>
      <c r="M197" s="87" t="str">
        <f aca="false">IF(D197="","",D197-L197)</f>
        <v/>
      </c>
      <c r="N197" s="36" t="str">
        <f aca="false">IF(OR(D197="",N(D197)=0),"",L197/D197)</f>
        <v/>
      </c>
      <c r="O197" s="10" t="str">
        <f aca="false">IF(D197="","",L197*E197)</f>
        <v/>
      </c>
      <c r="P197" s="10" t="str">
        <f aca="false">IF(D197="","",M197*E197)</f>
        <v/>
      </c>
    </row>
    <row r="198" customFormat="false" ht="16.5" hidden="false" customHeight="true" outlineLevel="0" collapsed="false">
      <c r="A198" s="23" t="str">
        <f aca="false">IF(PRESUPUESTO!$A185="Ítem",PRESUPUESTO!B185,"")</f>
        <v/>
      </c>
      <c r="B198" s="23" t="str">
        <f aca="false">IF(PRESUPUESTO!C185="","",PRESUPUESTO!C185)</f>
        <v/>
      </c>
      <c r="C198" s="86" t="str">
        <f aca="false">IF(PRESUPUESTO!$A185="Ítem",PRESUPUESTO!D185,"")</f>
        <v/>
      </c>
      <c r="D198" s="87" t="str">
        <f aca="false">IF(PRESUPUESTO!$A185="Ítem",PRESUPUESTO!E185,"")</f>
        <v/>
      </c>
      <c r="E198" s="10" t="str">
        <f aca="false">IF(D198="","",PRESUPUESTO!F185)</f>
        <v/>
      </c>
      <c r="F198" s="80"/>
      <c r="G198" s="80"/>
      <c r="H198" s="80"/>
      <c r="I198" s="80"/>
      <c r="J198" s="80"/>
      <c r="K198" s="80"/>
      <c r="L198" s="88" t="str">
        <f aca="false">IF(D198="","",SUM(F198:K198))</f>
        <v/>
      </c>
      <c r="M198" s="87" t="str">
        <f aca="false">IF(D198="","",D198-L198)</f>
        <v/>
      </c>
      <c r="N198" s="36" t="str">
        <f aca="false">IF(OR(D198="",N(D198)=0),"",L198/D198)</f>
        <v/>
      </c>
      <c r="O198" s="10" t="str">
        <f aca="false">IF(D198="","",L198*E198)</f>
        <v/>
      </c>
      <c r="P198" s="10" t="str">
        <f aca="false">IF(D198="","",M198*E198)</f>
        <v/>
      </c>
    </row>
    <row r="199" customFormat="false" ht="16.5" hidden="false" customHeight="true" outlineLevel="0" collapsed="false">
      <c r="A199" s="23" t="str">
        <f aca="false">IF(PRESUPUESTO!$A186="Ítem",PRESUPUESTO!B186,"")</f>
        <v/>
      </c>
      <c r="B199" s="23" t="str">
        <f aca="false">IF(PRESUPUESTO!C186="","",PRESUPUESTO!C186)</f>
        <v/>
      </c>
      <c r="C199" s="86" t="str">
        <f aca="false">IF(PRESUPUESTO!$A186="Ítem",PRESUPUESTO!D186,"")</f>
        <v/>
      </c>
      <c r="D199" s="87" t="str">
        <f aca="false">IF(PRESUPUESTO!$A186="Ítem",PRESUPUESTO!E186,"")</f>
        <v/>
      </c>
      <c r="E199" s="10" t="str">
        <f aca="false">IF(D199="","",PRESUPUESTO!F186)</f>
        <v/>
      </c>
      <c r="F199" s="80"/>
      <c r="G199" s="80"/>
      <c r="H199" s="80"/>
      <c r="I199" s="80"/>
      <c r="J199" s="80"/>
      <c r="K199" s="80"/>
      <c r="L199" s="88" t="str">
        <f aca="false">IF(D199="","",SUM(F199:K199))</f>
        <v/>
      </c>
      <c r="M199" s="87" t="str">
        <f aca="false">IF(D199="","",D199-L199)</f>
        <v/>
      </c>
      <c r="N199" s="36" t="str">
        <f aca="false">IF(OR(D199="",N(D199)=0),"",L199/D199)</f>
        <v/>
      </c>
      <c r="O199" s="10" t="str">
        <f aca="false">IF(D199="","",L199*E199)</f>
        <v/>
      </c>
      <c r="P199" s="10" t="str">
        <f aca="false">IF(D199="","",M199*E199)</f>
        <v/>
      </c>
    </row>
    <row r="200" customFormat="false" ht="16.5" hidden="false" customHeight="true" outlineLevel="0" collapsed="false">
      <c r="A200" s="23" t="str">
        <f aca="false">IF(PRESUPUESTO!$A187="Ítem",PRESUPUESTO!B187,"")</f>
        <v/>
      </c>
      <c r="B200" s="23" t="str">
        <f aca="false">IF(PRESUPUESTO!C187="","",PRESUPUESTO!C187)</f>
        <v/>
      </c>
      <c r="C200" s="86" t="str">
        <f aca="false">IF(PRESUPUESTO!$A187="Ítem",PRESUPUESTO!D187,"")</f>
        <v/>
      </c>
      <c r="D200" s="87" t="str">
        <f aca="false">IF(PRESUPUESTO!$A187="Ítem",PRESUPUESTO!E187,"")</f>
        <v/>
      </c>
      <c r="E200" s="10" t="str">
        <f aca="false">IF(D200="","",PRESUPUESTO!F187)</f>
        <v/>
      </c>
      <c r="F200" s="80"/>
      <c r="G200" s="80"/>
      <c r="H200" s="80"/>
      <c r="I200" s="80"/>
      <c r="J200" s="80"/>
      <c r="K200" s="80"/>
      <c r="L200" s="88" t="str">
        <f aca="false">IF(D200="","",SUM(F200:K200))</f>
        <v/>
      </c>
      <c r="M200" s="87" t="str">
        <f aca="false">IF(D200="","",D200-L200)</f>
        <v/>
      </c>
      <c r="N200" s="36" t="str">
        <f aca="false">IF(OR(D200="",N(D200)=0),"",L200/D200)</f>
        <v/>
      </c>
      <c r="O200" s="10" t="str">
        <f aca="false">IF(D200="","",L200*E200)</f>
        <v/>
      </c>
      <c r="P200" s="10" t="str">
        <f aca="false">IF(D200="","",M200*E200)</f>
        <v/>
      </c>
    </row>
    <row r="201" customFormat="false" ht="16.5" hidden="false" customHeight="true" outlineLevel="0" collapsed="false">
      <c r="A201" s="23" t="str">
        <f aca="false">IF(PRESUPUESTO!$A188="Ítem",PRESUPUESTO!B188,"")</f>
        <v/>
      </c>
      <c r="B201" s="23" t="str">
        <f aca="false">IF(PRESUPUESTO!C188="","",PRESUPUESTO!C188)</f>
        <v/>
      </c>
      <c r="C201" s="86" t="str">
        <f aca="false">IF(PRESUPUESTO!$A188="Ítem",PRESUPUESTO!D188,"")</f>
        <v/>
      </c>
      <c r="D201" s="87" t="str">
        <f aca="false">IF(PRESUPUESTO!$A188="Ítem",PRESUPUESTO!E188,"")</f>
        <v/>
      </c>
      <c r="E201" s="10" t="str">
        <f aca="false">IF(D201="","",PRESUPUESTO!F188)</f>
        <v/>
      </c>
      <c r="F201" s="80"/>
      <c r="G201" s="80"/>
      <c r="H201" s="80"/>
      <c r="I201" s="80"/>
      <c r="J201" s="80"/>
      <c r="K201" s="80"/>
      <c r="L201" s="88" t="str">
        <f aca="false">IF(D201="","",SUM(F201:K201))</f>
        <v/>
      </c>
      <c r="M201" s="87" t="str">
        <f aca="false">IF(D201="","",D201-L201)</f>
        <v/>
      </c>
      <c r="N201" s="36" t="str">
        <f aca="false">IF(OR(D201="",N(D201)=0),"",L201/D201)</f>
        <v/>
      </c>
      <c r="O201" s="10" t="str">
        <f aca="false">IF(D201="","",L201*E201)</f>
        <v/>
      </c>
      <c r="P201" s="10" t="str">
        <f aca="false">IF(D201="","",M201*E201)</f>
        <v/>
      </c>
    </row>
    <row r="202" customFormat="false" ht="16.5" hidden="false" customHeight="true" outlineLevel="0" collapsed="false">
      <c r="A202" s="23" t="str">
        <f aca="false">IF(PRESUPUESTO!$A189="Ítem",PRESUPUESTO!B189,"")</f>
        <v/>
      </c>
      <c r="B202" s="23" t="str">
        <f aca="false">IF(PRESUPUESTO!C189="","",PRESUPUESTO!C189)</f>
        <v/>
      </c>
      <c r="C202" s="86" t="str">
        <f aca="false">IF(PRESUPUESTO!$A189="Ítem",PRESUPUESTO!D189,"")</f>
        <v/>
      </c>
      <c r="D202" s="87" t="str">
        <f aca="false">IF(PRESUPUESTO!$A189="Ítem",PRESUPUESTO!E189,"")</f>
        <v/>
      </c>
      <c r="E202" s="10" t="str">
        <f aca="false">IF(D202="","",PRESUPUESTO!F189)</f>
        <v/>
      </c>
      <c r="F202" s="80"/>
      <c r="G202" s="80"/>
      <c r="H202" s="80"/>
      <c r="I202" s="80"/>
      <c r="J202" s="80"/>
      <c r="K202" s="80"/>
      <c r="L202" s="88" t="str">
        <f aca="false">IF(D202="","",SUM(F202:K202))</f>
        <v/>
      </c>
      <c r="M202" s="87" t="str">
        <f aca="false">IF(D202="","",D202-L202)</f>
        <v/>
      </c>
      <c r="N202" s="36" t="str">
        <f aca="false">IF(OR(D202="",N(D202)=0),"",L202/D202)</f>
        <v/>
      </c>
      <c r="O202" s="10" t="str">
        <f aca="false">IF(D202="","",L202*E202)</f>
        <v/>
      </c>
      <c r="P202" s="10" t="str">
        <f aca="false">IF(D202="","",M202*E202)</f>
        <v/>
      </c>
    </row>
    <row r="203" customFormat="false" ht="16.5" hidden="false" customHeight="true" outlineLevel="0" collapsed="false">
      <c r="A203" s="23" t="str">
        <f aca="false">IF(PRESUPUESTO!$A190="Ítem",PRESUPUESTO!B190,"")</f>
        <v/>
      </c>
      <c r="B203" s="23" t="str">
        <f aca="false">IF(PRESUPUESTO!C190="","",PRESUPUESTO!C190)</f>
        <v/>
      </c>
      <c r="C203" s="86" t="str">
        <f aca="false">IF(PRESUPUESTO!$A190="Ítem",PRESUPUESTO!D190,"")</f>
        <v/>
      </c>
      <c r="D203" s="87" t="str">
        <f aca="false">IF(PRESUPUESTO!$A190="Ítem",PRESUPUESTO!E190,"")</f>
        <v/>
      </c>
      <c r="E203" s="10" t="str">
        <f aca="false">IF(D203="","",PRESUPUESTO!F190)</f>
        <v/>
      </c>
      <c r="F203" s="80"/>
      <c r="G203" s="80"/>
      <c r="H203" s="80"/>
      <c r="I203" s="80"/>
      <c r="J203" s="80"/>
      <c r="K203" s="80"/>
      <c r="L203" s="88" t="str">
        <f aca="false">IF(D203="","",SUM(F203:K203))</f>
        <v/>
      </c>
      <c r="M203" s="87" t="str">
        <f aca="false">IF(D203="","",D203-L203)</f>
        <v/>
      </c>
      <c r="N203" s="36" t="str">
        <f aca="false">IF(OR(D203="",N(D203)=0),"",L203/D203)</f>
        <v/>
      </c>
      <c r="O203" s="10" t="str">
        <f aca="false">IF(D203="","",L203*E203)</f>
        <v/>
      </c>
      <c r="P203" s="10" t="str">
        <f aca="false">IF(D203="","",M203*E203)</f>
        <v/>
      </c>
    </row>
    <row r="204" customFormat="false" ht="16.5" hidden="false" customHeight="true" outlineLevel="0" collapsed="false">
      <c r="A204" s="23" t="str">
        <f aca="false">IF(PRESUPUESTO!$A191="Ítem",PRESUPUESTO!B191,"")</f>
        <v/>
      </c>
      <c r="B204" s="23" t="str">
        <f aca="false">IF(PRESUPUESTO!C191="","",PRESUPUESTO!C191)</f>
        <v/>
      </c>
      <c r="C204" s="86" t="str">
        <f aca="false">IF(PRESUPUESTO!$A191="Ítem",PRESUPUESTO!D191,"")</f>
        <v/>
      </c>
      <c r="D204" s="87" t="str">
        <f aca="false">IF(PRESUPUESTO!$A191="Ítem",PRESUPUESTO!E191,"")</f>
        <v/>
      </c>
      <c r="E204" s="10" t="str">
        <f aca="false">IF(D204="","",PRESUPUESTO!F191)</f>
        <v/>
      </c>
      <c r="F204" s="80"/>
      <c r="G204" s="80"/>
      <c r="H204" s="80"/>
      <c r="I204" s="80"/>
      <c r="J204" s="80"/>
      <c r="K204" s="80"/>
      <c r="L204" s="88" t="str">
        <f aca="false">IF(D204="","",SUM(F204:K204))</f>
        <v/>
      </c>
      <c r="M204" s="87" t="str">
        <f aca="false">IF(D204="","",D204-L204)</f>
        <v/>
      </c>
      <c r="N204" s="36" t="str">
        <f aca="false">IF(OR(D204="",N(D204)=0),"",L204/D204)</f>
        <v/>
      </c>
      <c r="O204" s="10" t="str">
        <f aca="false">IF(D204="","",L204*E204)</f>
        <v/>
      </c>
      <c r="P204" s="10" t="str">
        <f aca="false">IF(D204="","",M204*E204)</f>
        <v/>
      </c>
    </row>
    <row r="205" customFormat="false" ht="16.5" hidden="false" customHeight="true" outlineLevel="0" collapsed="false">
      <c r="A205" s="23" t="str">
        <f aca="false">IF(PRESUPUESTO!$A192="Ítem",PRESUPUESTO!B192,"")</f>
        <v/>
      </c>
      <c r="B205" s="23" t="str">
        <f aca="false">IF(PRESUPUESTO!C192="","",PRESUPUESTO!C192)</f>
        <v/>
      </c>
      <c r="C205" s="86" t="str">
        <f aca="false">IF(PRESUPUESTO!$A192="Ítem",PRESUPUESTO!D192,"")</f>
        <v/>
      </c>
      <c r="D205" s="87" t="str">
        <f aca="false">IF(PRESUPUESTO!$A192="Ítem",PRESUPUESTO!E192,"")</f>
        <v/>
      </c>
      <c r="E205" s="10" t="str">
        <f aca="false">IF(D205="","",PRESUPUESTO!F192)</f>
        <v/>
      </c>
      <c r="F205" s="80"/>
      <c r="G205" s="80"/>
      <c r="H205" s="80"/>
      <c r="I205" s="80"/>
      <c r="J205" s="80"/>
      <c r="K205" s="80"/>
      <c r="L205" s="88" t="str">
        <f aca="false">IF(D205="","",SUM(F205:K205))</f>
        <v/>
      </c>
      <c r="M205" s="87" t="str">
        <f aca="false">IF(D205="","",D205-L205)</f>
        <v/>
      </c>
      <c r="N205" s="36" t="str">
        <f aca="false">IF(OR(D205="",N(D205)=0),"",L205/D205)</f>
        <v/>
      </c>
      <c r="O205" s="10" t="str">
        <f aca="false">IF(D205="","",L205*E205)</f>
        <v/>
      </c>
      <c r="P205" s="10" t="str">
        <f aca="false">IF(D205="","",M205*E205)</f>
        <v/>
      </c>
    </row>
    <row r="206" customFormat="false" ht="16.5" hidden="false" customHeight="true" outlineLevel="0" collapsed="false">
      <c r="A206" s="23" t="str">
        <f aca="false">IF(PRESUPUESTO!$A193="Ítem",PRESUPUESTO!B193,"")</f>
        <v/>
      </c>
      <c r="B206" s="23" t="str">
        <f aca="false">IF(PRESUPUESTO!C193="","",PRESUPUESTO!C193)</f>
        <v/>
      </c>
      <c r="C206" s="86" t="str">
        <f aca="false">IF(PRESUPUESTO!$A193="Ítem",PRESUPUESTO!D193,"")</f>
        <v/>
      </c>
      <c r="D206" s="87" t="str">
        <f aca="false">IF(PRESUPUESTO!$A193="Ítem",PRESUPUESTO!E193,"")</f>
        <v/>
      </c>
      <c r="E206" s="10" t="str">
        <f aca="false">IF(D206="","",PRESUPUESTO!F193)</f>
        <v/>
      </c>
      <c r="F206" s="80"/>
      <c r="G206" s="80"/>
      <c r="H206" s="80"/>
      <c r="I206" s="80"/>
      <c r="J206" s="80"/>
      <c r="K206" s="80"/>
      <c r="L206" s="88" t="str">
        <f aca="false">IF(D206="","",SUM(F206:K206))</f>
        <v/>
      </c>
      <c r="M206" s="87" t="str">
        <f aca="false">IF(D206="","",D206-L206)</f>
        <v/>
      </c>
      <c r="N206" s="36" t="str">
        <f aca="false">IF(OR(D206="",N(D206)=0),"",L206/D206)</f>
        <v/>
      </c>
      <c r="O206" s="10" t="str">
        <f aca="false">IF(D206="","",L206*E206)</f>
        <v/>
      </c>
      <c r="P206" s="10" t="str">
        <f aca="false">IF(D206="","",M206*E206)</f>
        <v/>
      </c>
    </row>
    <row r="207" customFormat="false" ht="16.5" hidden="false" customHeight="true" outlineLevel="0" collapsed="false">
      <c r="A207" s="23" t="str">
        <f aca="false">IF(PRESUPUESTO!$A194="Ítem",PRESUPUESTO!B194,"")</f>
        <v/>
      </c>
      <c r="B207" s="23" t="str">
        <f aca="false">IF(PRESUPUESTO!C194="","",PRESUPUESTO!C194)</f>
        <v/>
      </c>
      <c r="C207" s="86" t="str">
        <f aca="false">IF(PRESUPUESTO!$A194="Ítem",PRESUPUESTO!D194,"")</f>
        <v/>
      </c>
      <c r="D207" s="87" t="str">
        <f aca="false">IF(PRESUPUESTO!$A194="Ítem",PRESUPUESTO!E194,"")</f>
        <v/>
      </c>
      <c r="E207" s="10" t="str">
        <f aca="false">IF(D207="","",PRESUPUESTO!F194)</f>
        <v/>
      </c>
      <c r="F207" s="80"/>
      <c r="G207" s="80"/>
      <c r="H207" s="80"/>
      <c r="I207" s="80"/>
      <c r="J207" s="80"/>
      <c r="K207" s="80"/>
      <c r="L207" s="88" t="str">
        <f aca="false">IF(D207="","",SUM(F207:K207))</f>
        <v/>
      </c>
      <c r="M207" s="87" t="str">
        <f aca="false">IF(D207="","",D207-L207)</f>
        <v/>
      </c>
      <c r="N207" s="36" t="str">
        <f aca="false">IF(OR(D207="",N(D207)=0),"",L207/D207)</f>
        <v/>
      </c>
      <c r="O207" s="10" t="str">
        <f aca="false">IF(D207="","",L207*E207)</f>
        <v/>
      </c>
      <c r="P207" s="10" t="str">
        <f aca="false">IF(D207="","",M207*E207)</f>
        <v/>
      </c>
    </row>
    <row r="208" customFormat="false" ht="16.5" hidden="false" customHeight="true" outlineLevel="0" collapsed="false">
      <c r="A208" s="23" t="str">
        <f aca="false">IF(PRESUPUESTO!$A195="Ítem",PRESUPUESTO!B195,"")</f>
        <v/>
      </c>
      <c r="B208" s="23" t="str">
        <f aca="false">IF(PRESUPUESTO!C195="","",PRESUPUESTO!C195)</f>
        <v/>
      </c>
      <c r="C208" s="86" t="str">
        <f aca="false">IF(PRESUPUESTO!$A195="Ítem",PRESUPUESTO!D195,"")</f>
        <v/>
      </c>
      <c r="D208" s="87" t="str">
        <f aca="false">IF(PRESUPUESTO!$A195="Ítem",PRESUPUESTO!E195,"")</f>
        <v/>
      </c>
      <c r="E208" s="10" t="str">
        <f aca="false">IF(D208="","",PRESUPUESTO!F195)</f>
        <v/>
      </c>
      <c r="F208" s="80"/>
      <c r="G208" s="80"/>
      <c r="H208" s="80"/>
      <c r="I208" s="80"/>
      <c r="J208" s="80"/>
      <c r="K208" s="80"/>
      <c r="L208" s="88" t="str">
        <f aca="false">IF(D208="","",SUM(F208:K208))</f>
        <v/>
      </c>
      <c r="M208" s="87" t="str">
        <f aca="false">IF(D208="","",D208-L208)</f>
        <v/>
      </c>
      <c r="N208" s="36" t="str">
        <f aca="false">IF(OR(D208="",N(D208)=0),"",L208/D208)</f>
        <v/>
      </c>
      <c r="O208" s="10" t="str">
        <f aca="false">IF(D208="","",L208*E208)</f>
        <v/>
      </c>
      <c r="P208" s="10" t="str">
        <f aca="false">IF(D208="","",M208*E208)</f>
        <v/>
      </c>
    </row>
    <row r="209" customFormat="false" ht="16.5" hidden="false" customHeight="true" outlineLevel="0" collapsed="false">
      <c r="A209" s="23" t="str">
        <f aca="false">IF(PRESUPUESTO!$A196="Ítem",PRESUPUESTO!B196,"")</f>
        <v/>
      </c>
      <c r="B209" s="23" t="str">
        <f aca="false">IF(PRESUPUESTO!C196="","",PRESUPUESTO!C196)</f>
        <v/>
      </c>
      <c r="C209" s="86" t="str">
        <f aca="false">IF(PRESUPUESTO!$A196="Ítem",PRESUPUESTO!D196,"")</f>
        <v/>
      </c>
      <c r="D209" s="87" t="str">
        <f aca="false">IF(PRESUPUESTO!$A196="Ítem",PRESUPUESTO!E196,"")</f>
        <v/>
      </c>
      <c r="E209" s="10" t="str">
        <f aca="false">IF(D209="","",PRESUPUESTO!F196)</f>
        <v/>
      </c>
      <c r="F209" s="80"/>
      <c r="G209" s="80"/>
      <c r="H209" s="80"/>
      <c r="I209" s="80"/>
      <c r="J209" s="80"/>
      <c r="K209" s="80"/>
      <c r="L209" s="88" t="str">
        <f aca="false">IF(D209="","",SUM(F209:K209))</f>
        <v/>
      </c>
      <c r="M209" s="87" t="str">
        <f aca="false">IF(D209="","",D209-L209)</f>
        <v/>
      </c>
      <c r="N209" s="36" t="str">
        <f aca="false">IF(OR(D209="",N(D209)=0),"",L209/D209)</f>
        <v/>
      </c>
      <c r="O209" s="10" t="str">
        <f aca="false">IF(D209="","",L209*E209)</f>
        <v/>
      </c>
      <c r="P209" s="10" t="str">
        <f aca="false">IF(D209="","",M209*E209)</f>
        <v/>
      </c>
    </row>
    <row r="210" customFormat="false" ht="16.5" hidden="false" customHeight="true" outlineLevel="0" collapsed="false">
      <c r="A210" s="23" t="str">
        <f aca="false">IF(PRESUPUESTO!$A197="Ítem",PRESUPUESTO!B197,"")</f>
        <v/>
      </c>
      <c r="B210" s="23" t="str">
        <f aca="false">IF(PRESUPUESTO!C197="","",PRESUPUESTO!C197)</f>
        <v/>
      </c>
      <c r="C210" s="86" t="str">
        <f aca="false">IF(PRESUPUESTO!$A197="Ítem",PRESUPUESTO!D197,"")</f>
        <v/>
      </c>
      <c r="D210" s="87" t="str">
        <f aca="false">IF(PRESUPUESTO!$A197="Ítem",PRESUPUESTO!E197,"")</f>
        <v/>
      </c>
      <c r="E210" s="10" t="str">
        <f aca="false">IF(D210="","",PRESUPUESTO!F197)</f>
        <v/>
      </c>
      <c r="F210" s="80"/>
      <c r="G210" s="80"/>
      <c r="H210" s="80"/>
      <c r="I210" s="80"/>
      <c r="J210" s="80"/>
      <c r="K210" s="80"/>
      <c r="L210" s="88" t="str">
        <f aca="false">IF(D210="","",SUM(F210:K210))</f>
        <v/>
      </c>
      <c r="M210" s="87" t="str">
        <f aca="false">IF(D210="","",D210-L210)</f>
        <v/>
      </c>
      <c r="N210" s="36" t="str">
        <f aca="false">IF(OR(D210="",N(D210)=0),"",L210/D210)</f>
        <v/>
      </c>
      <c r="O210" s="10" t="str">
        <f aca="false">IF(D210="","",L210*E210)</f>
        <v/>
      </c>
      <c r="P210" s="10" t="str">
        <f aca="false">IF(D210="","",M210*E210)</f>
        <v/>
      </c>
    </row>
    <row r="211" customFormat="false" ht="16.5" hidden="false" customHeight="true" outlineLevel="0" collapsed="false">
      <c r="A211" s="23" t="str">
        <f aca="false">IF(PRESUPUESTO!$A198="Ítem",PRESUPUESTO!B198,"")</f>
        <v/>
      </c>
      <c r="B211" s="23" t="str">
        <f aca="false">IF(PRESUPUESTO!C198="","",PRESUPUESTO!C198)</f>
        <v/>
      </c>
      <c r="C211" s="86" t="str">
        <f aca="false">IF(PRESUPUESTO!$A198="Ítem",PRESUPUESTO!D198,"")</f>
        <v/>
      </c>
      <c r="D211" s="87" t="str">
        <f aca="false">IF(PRESUPUESTO!$A198="Ítem",PRESUPUESTO!E198,"")</f>
        <v/>
      </c>
      <c r="E211" s="10" t="str">
        <f aca="false">IF(D211="","",PRESUPUESTO!F198)</f>
        <v/>
      </c>
      <c r="F211" s="80"/>
      <c r="G211" s="80"/>
      <c r="H211" s="80"/>
      <c r="I211" s="80"/>
      <c r="J211" s="80"/>
      <c r="K211" s="80"/>
      <c r="L211" s="88" t="str">
        <f aca="false">IF(D211="","",SUM(F211:K211))</f>
        <v/>
      </c>
      <c r="M211" s="87" t="str">
        <f aca="false">IF(D211="","",D211-L211)</f>
        <v/>
      </c>
      <c r="N211" s="36" t="str">
        <f aca="false">IF(OR(D211="",N(D211)=0),"",L211/D211)</f>
        <v/>
      </c>
      <c r="O211" s="10" t="str">
        <f aca="false">IF(D211="","",L211*E211)</f>
        <v/>
      </c>
      <c r="P211" s="10" t="str">
        <f aca="false">IF(D211="","",M211*E211)</f>
        <v/>
      </c>
    </row>
    <row r="212" customFormat="false" ht="16.5" hidden="false" customHeight="true" outlineLevel="0" collapsed="false">
      <c r="A212" s="23" t="str">
        <f aca="false">IF(PRESUPUESTO!$A199="Ítem",PRESUPUESTO!B199,"")</f>
        <v/>
      </c>
      <c r="B212" s="23" t="str">
        <f aca="false">IF(PRESUPUESTO!C199="","",PRESUPUESTO!C199)</f>
        <v/>
      </c>
      <c r="C212" s="86" t="str">
        <f aca="false">IF(PRESUPUESTO!$A199="Ítem",PRESUPUESTO!D199,"")</f>
        <v/>
      </c>
      <c r="D212" s="87" t="str">
        <f aca="false">IF(PRESUPUESTO!$A199="Ítem",PRESUPUESTO!E199,"")</f>
        <v/>
      </c>
      <c r="E212" s="10" t="str">
        <f aca="false">IF(D212="","",PRESUPUESTO!F199)</f>
        <v/>
      </c>
      <c r="F212" s="80"/>
      <c r="G212" s="80"/>
      <c r="H212" s="80"/>
      <c r="I212" s="80"/>
      <c r="J212" s="80"/>
      <c r="K212" s="80"/>
      <c r="L212" s="88" t="str">
        <f aca="false">IF(D212="","",SUM(F212:K212))</f>
        <v/>
      </c>
      <c r="M212" s="87" t="str">
        <f aca="false">IF(D212="","",D212-L212)</f>
        <v/>
      </c>
      <c r="N212" s="36" t="str">
        <f aca="false">IF(OR(D212="",N(D212)=0),"",L212/D212)</f>
        <v/>
      </c>
      <c r="O212" s="10" t="str">
        <f aca="false">IF(D212="","",L212*E212)</f>
        <v/>
      </c>
      <c r="P212" s="10" t="str">
        <f aca="false">IF(D212="","",M212*E212)</f>
        <v/>
      </c>
    </row>
    <row r="213" customFormat="false" ht="16.5" hidden="false" customHeight="true" outlineLevel="0" collapsed="false">
      <c r="A213" s="23" t="str">
        <f aca="false">IF(PRESUPUESTO!$A200="Ítem",PRESUPUESTO!B200,"")</f>
        <v/>
      </c>
      <c r="B213" s="23" t="str">
        <f aca="false">IF(PRESUPUESTO!C200="","",PRESUPUESTO!C200)</f>
        <v/>
      </c>
      <c r="C213" s="86" t="str">
        <f aca="false">IF(PRESUPUESTO!$A200="Ítem",PRESUPUESTO!D200,"")</f>
        <v/>
      </c>
      <c r="D213" s="87" t="str">
        <f aca="false">IF(PRESUPUESTO!$A200="Ítem",PRESUPUESTO!E200,"")</f>
        <v/>
      </c>
      <c r="E213" s="10" t="str">
        <f aca="false">IF(D213="","",PRESUPUESTO!F200)</f>
        <v/>
      </c>
      <c r="F213" s="80"/>
      <c r="G213" s="80"/>
      <c r="H213" s="80"/>
      <c r="I213" s="80"/>
      <c r="J213" s="80"/>
      <c r="K213" s="80"/>
      <c r="L213" s="88" t="str">
        <f aca="false">IF(D213="","",SUM(F213:K213))</f>
        <v/>
      </c>
      <c r="M213" s="87" t="str">
        <f aca="false">IF(D213="","",D213-L213)</f>
        <v/>
      </c>
      <c r="N213" s="36" t="str">
        <f aca="false">IF(OR(D213="",N(D213)=0),"",L213/D213)</f>
        <v/>
      </c>
      <c r="O213" s="10" t="str">
        <f aca="false">IF(D213="","",L213*E213)</f>
        <v/>
      </c>
      <c r="P213" s="10" t="str">
        <f aca="false">IF(D213="","",M213*E213)</f>
        <v/>
      </c>
    </row>
    <row r="214" customFormat="false" ht="16.5" hidden="false" customHeight="true" outlineLevel="0" collapsed="false">
      <c r="A214" s="23" t="str">
        <f aca="false">IF(PRESUPUESTO!$A201="Ítem",PRESUPUESTO!B201,"")</f>
        <v/>
      </c>
      <c r="B214" s="23" t="str">
        <f aca="false">IF(PRESUPUESTO!C201="","",PRESUPUESTO!C201)</f>
        <v/>
      </c>
      <c r="C214" s="86" t="str">
        <f aca="false">IF(PRESUPUESTO!$A201="Ítem",PRESUPUESTO!D201,"")</f>
        <v/>
      </c>
      <c r="D214" s="87" t="str">
        <f aca="false">IF(PRESUPUESTO!$A201="Ítem",PRESUPUESTO!E201,"")</f>
        <v/>
      </c>
      <c r="E214" s="10" t="str">
        <f aca="false">IF(D214="","",PRESUPUESTO!F201)</f>
        <v/>
      </c>
      <c r="F214" s="80"/>
      <c r="G214" s="80"/>
      <c r="H214" s="80"/>
      <c r="I214" s="80"/>
      <c r="J214" s="80"/>
      <c r="K214" s="80"/>
      <c r="L214" s="88" t="str">
        <f aca="false">IF(D214="","",SUM(F214:K214))</f>
        <v/>
      </c>
      <c r="M214" s="87" t="str">
        <f aca="false">IF(D214="","",D214-L214)</f>
        <v/>
      </c>
      <c r="N214" s="36" t="str">
        <f aca="false">IF(OR(D214="",N(D214)=0),"",L214/D214)</f>
        <v/>
      </c>
      <c r="O214" s="10" t="str">
        <f aca="false">IF(D214="","",L214*E214)</f>
        <v/>
      </c>
      <c r="P214" s="10" t="str">
        <f aca="false">IF(D214="","",M214*E214)</f>
        <v/>
      </c>
    </row>
    <row r="215" customFormat="false" ht="16.5" hidden="false" customHeight="true" outlineLevel="0" collapsed="false">
      <c r="A215" s="23" t="str">
        <f aca="false">IF(PRESUPUESTO!$A202="Ítem",PRESUPUESTO!B202,"")</f>
        <v/>
      </c>
      <c r="B215" s="23" t="str">
        <f aca="false">IF(PRESUPUESTO!C202="","",PRESUPUESTO!C202)</f>
        <v/>
      </c>
      <c r="C215" s="86" t="str">
        <f aca="false">IF(PRESUPUESTO!$A202="Ítem",PRESUPUESTO!D202,"")</f>
        <v/>
      </c>
      <c r="D215" s="87" t="str">
        <f aca="false">IF(PRESUPUESTO!$A202="Ítem",PRESUPUESTO!E202,"")</f>
        <v/>
      </c>
      <c r="E215" s="10" t="str">
        <f aca="false">IF(D215="","",PRESUPUESTO!F202)</f>
        <v/>
      </c>
      <c r="F215" s="80"/>
      <c r="G215" s="80"/>
      <c r="H215" s="80"/>
      <c r="I215" s="80"/>
      <c r="J215" s="80"/>
      <c r="K215" s="80"/>
      <c r="L215" s="88" t="str">
        <f aca="false">IF(D215="","",SUM(F215:K215))</f>
        <v/>
      </c>
      <c r="M215" s="87" t="str">
        <f aca="false">IF(D215="","",D215-L215)</f>
        <v/>
      </c>
      <c r="N215" s="36" t="str">
        <f aca="false">IF(OR(D215="",N(D215)=0),"",L215/D215)</f>
        <v/>
      </c>
      <c r="O215" s="10" t="str">
        <f aca="false">IF(D215="","",L215*E215)</f>
        <v/>
      </c>
      <c r="P215" s="10" t="str">
        <f aca="false">IF(D215="","",M215*E215)</f>
        <v/>
      </c>
    </row>
    <row r="216" customFormat="false" ht="16.5" hidden="false" customHeight="true" outlineLevel="0" collapsed="false">
      <c r="A216" s="23" t="str">
        <f aca="false">IF(PRESUPUESTO!$A203="Ítem",PRESUPUESTO!B203,"")</f>
        <v/>
      </c>
      <c r="B216" s="23" t="str">
        <f aca="false">IF(PRESUPUESTO!C203="","",PRESUPUESTO!C203)</f>
        <v/>
      </c>
      <c r="C216" s="86" t="str">
        <f aca="false">IF(PRESUPUESTO!$A203="Ítem",PRESUPUESTO!D203,"")</f>
        <v/>
      </c>
      <c r="D216" s="87" t="str">
        <f aca="false">IF(PRESUPUESTO!$A203="Ítem",PRESUPUESTO!E203,"")</f>
        <v/>
      </c>
      <c r="E216" s="10" t="str">
        <f aca="false">IF(D216="","",PRESUPUESTO!F203)</f>
        <v/>
      </c>
      <c r="F216" s="80"/>
      <c r="G216" s="80"/>
      <c r="H216" s="80"/>
      <c r="I216" s="80"/>
      <c r="J216" s="80"/>
      <c r="K216" s="80"/>
      <c r="L216" s="88" t="str">
        <f aca="false">IF(D216="","",SUM(F216:K216))</f>
        <v/>
      </c>
      <c r="M216" s="87" t="str">
        <f aca="false">IF(D216="","",D216-L216)</f>
        <v/>
      </c>
      <c r="N216" s="36" t="str">
        <f aca="false">IF(OR(D216="",N(D216)=0),"",L216/D216)</f>
        <v/>
      </c>
      <c r="O216" s="10" t="str">
        <f aca="false">IF(D216="","",L216*E216)</f>
        <v/>
      </c>
      <c r="P216" s="10" t="str">
        <f aca="false">IF(D216="","",M216*E216)</f>
        <v/>
      </c>
    </row>
    <row r="217" customFormat="false" ht="16.5" hidden="false" customHeight="true" outlineLevel="0" collapsed="false">
      <c r="A217" s="23" t="str">
        <f aca="false">IF(PRESUPUESTO!$A204="Ítem",PRESUPUESTO!B204,"")</f>
        <v/>
      </c>
      <c r="B217" s="23" t="str">
        <f aca="false">IF(PRESUPUESTO!C204="","",PRESUPUESTO!C204)</f>
        <v/>
      </c>
      <c r="C217" s="86" t="str">
        <f aca="false">IF(PRESUPUESTO!$A204="Ítem",PRESUPUESTO!D204,"")</f>
        <v/>
      </c>
      <c r="D217" s="87" t="str">
        <f aca="false">IF(PRESUPUESTO!$A204="Ítem",PRESUPUESTO!E204,"")</f>
        <v/>
      </c>
      <c r="E217" s="10" t="str">
        <f aca="false">IF(D217="","",PRESUPUESTO!F204)</f>
        <v/>
      </c>
      <c r="F217" s="80"/>
      <c r="G217" s="80"/>
      <c r="H217" s="80"/>
      <c r="I217" s="80"/>
      <c r="J217" s="80"/>
      <c r="K217" s="80"/>
      <c r="L217" s="88" t="str">
        <f aca="false">IF(D217="","",SUM(F217:K217))</f>
        <v/>
      </c>
      <c r="M217" s="87" t="str">
        <f aca="false">IF(D217="","",D217-L217)</f>
        <v/>
      </c>
      <c r="N217" s="36" t="str">
        <f aca="false">IF(OR(D217="",N(D217)=0),"",L217/D217)</f>
        <v/>
      </c>
      <c r="O217" s="10" t="str">
        <f aca="false">IF(D217="","",L217*E217)</f>
        <v/>
      </c>
      <c r="P217" s="10" t="str">
        <f aca="false">IF(D217="","",M217*E217)</f>
        <v/>
      </c>
    </row>
    <row r="218" customFormat="false" ht="16.5" hidden="false" customHeight="true" outlineLevel="0" collapsed="false">
      <c r="A218" s="23" t="str">
        <f aca="false">IF(PRESUPUESTO!$A205="Ítem",PRESUPUESTO!B205,"")</f>
        <v/>
      </c>
      <c r="B218" s="23" t="str">
        <f aca="false">IF(PRESUPUESTO!C205="","",PRESUPUESTO!C205)</f>
        <v/>
      </c>
      <c r="C218" s="86" t="str">
        <f aca="false">IF(PRESUPUESTO!$A205="Ítem",PRESUPUESTO!D205,"")</f>
        <v/>
      </c>
      <c r="D218" s="87" t="str">
        <f aca="false">IF(PRESUPUESTO!$A205="Ítem",PRESUPUESTO!E205,"")</f>
        <v/>
      </c>
      <c r="E218" s="10" t="str">
        <f aca="false">IF(D218="","",PRESUPUESTO!F205)</f>
        <v/>
      </c>
      <c r="F218" s="80"/>
      <c r="G218" s="80"/>
      <c r="H218" s="80"/>
      <c r="I218" s="80"/>
      <c r="J218" s="80"/>
      <c r="K218" s="80"/>
      <c r="L218" s="88" t="str">
        <f aca="false">IF(D218="","",SUM(F218:K218))</f>
        <v/>
      </c>
      <c r="M218" s="87" t="str">
        <f aca="false">IF(D218="","",D218-L218)</f>
        <v/>
      </c>
      <c r="N218" s="36" t="str">
        <f aca="false">IF(OR(D218="",N(D218)=0),"",L218/D218)</f>
        <v/>
      </c>
      <c r="O218" s="10" t="str">
        <f aca="false">IF(D218="","",L218*E218)</f>
        <v/>
      </c>
      <c r="P218" s="10" t="str">
        <f aca="false">IF(D218="","",M218*E218)</f>
        <v/>
      </c>
    </row>
    <row r="219" customFormat="false" ht="16.5" hidden="false" customHeight="true" outlineLevel="0" collapsed="false">
      <c r="A219" s="23" t="str">
        <f aca="false">IF(PRESUPUESTO!$A206="Ítem",PRESUPUESTO!B206,"")</f>
        <v/>
      </c>
      <c r="B219" s="23" t="str">
        <f aca="false">IF(PRESUPUESTO!C206="","",PRESUPUESTO!C206)</f>
        <v/>
      </c>
      <c r="C219" s="86" t="str">
        <f aca="false">IF(PRESUPUESTO!$A206="Ítem",PRESUPUESTO!D206,"")</f>
        <v/>
      </c>
      <c r="D219" s="87" t="str">
        <f aca="false">IF(PRESUPUESTO!$A206="Ítem",PRESUPUESTO!E206,"")</f>
        <v/>
      </c>
      <c r="E219" s="10" t="str">
        <f aca="false">IF(D219="","",PRESUPUESTO!F206)</f>
        <v/>
      </c>
      <c r="F219" s="80"/>
      <c r="G219" s="80"/>
      <c r="H219" s="80"/>
      <c r="I219" s="80"/>
      <c r="J219" s="80"/>
      <c r="K219" s="80"/>
      <c r="L219" s="88" t="str">
        <f aca="false">IF(D219="","",SUM(F219:K219))</f>
        <v/>
      </c>
      <c r="M219" s="87" t="str">
        <f aca="false">IF(D219="","",D219-L219)</f>
        <v/>
      </c>
      <c r="N219" s="36" t="str">
        <f aca="false">IF(OR(D219="",N(D219)=0),"",L219/D219)</f>
        <v/>
      </c>
      <c r="O219" s="10" t="str">
        <f aca="false">IF(D219="","",L219*E219)</f>
        <v/>
      </c>
      <c r="P219" s="10" t="str">
        <f aca="false">IF(D219="","",M219*E219)</f>
        <v/>
      </c>
    </row>
    <row r="220" customFormat="false" ht="12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</sheetData>
  <mergeCells count="19">
    <mergeCell ref="C1:F1"/>
    <mergeCell ref="G1:P1"/>
    <mergeCell ref="A2:B2"/>
    <mergeCell ref="C2:D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M18"/>
  </mergeCells>
  <conditionalFormatting sqref="F16:K16">
    <cfRule type="cellIs" priority="2" operator="equal" aboveAverage="0" equalAverage="0" bottom="0" percent="0" rank="0" text="" dxfId="16">
      <formula>"Pagado"</formula>
    </cfRule>
    <cfRule type="cellIs" priority="3" operator="equal" aboveAverage="0" equalAverage="0" bottom="0" percent="0" rank="0" text="" dxfId="20">
      <formula>"Facturado"</formula>
    </cfRule>
  </conditionalFormatting>
  <conditionalFormatting sqref="A20:P219">
    <cfRule type="expression" priority="4" aboveAverage="0" equalAverage="0" bottom="0" percent="0" rank="0" text="" dxfId="47">
      <formula>AND($B20&lt;&gt;"",$D20="")</formula>
    </cfRule>
  </conditionalFormatting>
  <conditionalFormatting sqref="N20:N219">
    <cfRule type="dataBar" priority="5">
      <dataBar showValue="1" minLength="10" maxLength="90">
        <cfvo type="num" val="0"/>
        <cfvo type="num" val="1"/>
        <color rgb="FF00BBF2"/>
      </dataBar>
      <extLst>
        <ext xmlns:x14="http://schemas.microsoft.com/office/spreadsheetml/2009/9/main" uri="{B025F937-C7B1-47D3-B67F-A62EFF666E3E}">
          <x14:id>{78821CE6-433F-44A0-A551-185071B08F78}</x14:id>
        </ext>
      </extLst>
    </cfRule>
  </conditionalFormatting>
  <conditionalFormatting sqref="M20:M219">
    <cfRule type="expression" priority="6" aboveAverage="0" equalAverage="0" bottom="0" percent="0" rank="0" text="" dxfId="0">
      <formula>AND(ISNUMBER(M20),M20&lt;0)</formula>
    </cfRule>
  </conditionalFormatting>
  <dataValidations count="1">
    <dataValidation allowBlank="true" error="Seleccione un valor de la lista" errorStyle="stop" operator="between" showDropDown="false" showErrorMessage="true" showInputMessage="false" sqref="F16:K16" type="list">
      <formula1>lst_EstActa</formula1>
      <formula2>0</formula2>
    </dataValidation>
  </dataValidations>
  <hyperlinks>
    <hyperlink ref="A2" r:id="rId1" location="'INICIO'!A1" display="INICIO"/>
    <hyperlink ref="C2" r:id="rId2" location="'TABLERO'!A1" display="TABLERO"/>
    <hyperlink ref="E2" r:id="rId3" location="'CRONOGRAMA'!A1" display="CRONOGRAMA"/>
    <hyperlink ref="F2" r:id="rId4" location="'PRESUPUESTO'!A1" display="PRESUPUESTO"/>
    <hyperlink ref="G2" r:id="rId5" location="'CORTES%20CLIENTE'!A1" display="● CORTES CLIENTE"/>
    <hyperlink ref="H2" r:id="rId6" location="'MANO%20DE%20OBRA'!A1" display="MANO DE OBRA"/>
    <hyperlink ref="I2" r:id="rId7" location="'GASTOS'!A1" display="GASTOS"/>
    <hyperlink ref="J2" r:id="rId8" location="'CONTROL%20DE%20MATERIALES'!A1" display="MATERIALES"/>
    <hyperlink ref="K2" r:id="rId9" location="'GUÍA%20APP'!A1" display="GUÍ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821CE6-433F-44A0-A551-185071B08F7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0BBF2"/>
              <x14:axisColor rgb="FF000000"/>
            </x14:dataBar>
          </x14:cfRule>
          <xm:sqref>N20:N219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5C7A"/>
    <pageSetUpPr fitToPage="true"/>
  </sheetPr>
  <dimension ref="A1:AF31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13.0039062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20" min="19" style="0" width="15"/>
    <col collapsed="false" customWidth="true" hidden="false" outlineLevel="0" max="21" min="21" style="0" width="3"/>
    <col collapsed="false" customWidth="true" hidden="false" outlineLevel="0" max="22" min="22" style="0" width="12"/>
    <col collapsed="false" customWidth="true" hidden="false" outlineLevel="0" max="23" min="23" style="0" width="22"/>
    <col collapsed="false" customWidth="true" hidden="false" outlineLevel="0" max="24" min="24" style="0" width="28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10"/>
    <col collapsed="false" customWidth="true" hidden="false" outlineLevel="0" max="28" min="28" style="0" width="8"/>
    <col collapsed="false" customWidth="true" hidden="false" outlineLevel="0" max="29" min="29" style="0" width="11"/>
    <col collapsed="false" customWidth="true" hidden="false" outlineLevel="0" max="30" min="30" style="0" width="9"/>
    <col collapsed="false" customWidth="true" hidden="false" outlineLevel="0" max="31" min="31" style="0" width="14"/>
    <col collapsed="false" customWidth="true" hidden="false" outlineLevel="0" max="32" min="32" style="0" width="30"/>
    <col collapsed="false" customWidth="false" hidden="true" outlineLevel="1" max="16384" min="33" style="0" width="13"/>
  </cols>
  <sheetData>
    <row r="1" customFormat="false" ht="54" hidden="false" customHeight="true" outlineLevel="0" collapsed="false">
      <c r="A1" s="1"/>
      <c r="B1" s="1"/>
      <c r="C1" s="2" t="s">
        <v>7</v>
      </c>
      <c r="D1" s="2"/>
      <c r="E1" s="2"/>
      <c r="F1" s="2"/>
      <c r="G1" s="2"/>
      <c r="H1" s="3" t="s">
        <v>260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24" hidden="false" customHeight="true" outlineLevel="0" collapsed="false">
      <c r="A2" s="5" t="s">
        <v>88</v>
      </c>
      <c r="B2" s="5"/>
      <c r="C2" s="5" t="s">
        <v>3</v>
      </c>
      <c r="D2" s="5"/>
      <c r="E2" s="5" t="s">
        <v>4</v>
      </c>
      <c r="F2" s="5"/>
      <c r="G2" s="5" t="s">
        <v>5</v>
      </c>
      <c r="H2" s="5" t="s">
        <v>6</v>
      </c>
      <c r="I2" s="4" t="s">
        <v>261</v>
      </c>
      <c r="J2" s="5" t="s">
        <v>8</v>
      </c>
      <c r="K2" s="5" t="s">
        <v>9</v>
      </c>
      <c r="L2" s="5" t="s">
        <v>10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customFormat="false" ht="16.5" hidden="false" customHeight="true" outlineLevel="0" collapsed="false">
      <c r="A3" s="89" t="str">
        <f aca="false">"Contratista: "&amp;n_Contratista&amp;"   ·   Contrato: "&amp;TEXT(H11,"$#,##0")&amp;"   ·   Ejecutado: "&amp;TEXT(S11,"$#,##0")&amp;"   ·   Pagado total: "&amp;TEXT(SUMIFS(GASTOS!$J$7:$J$5000,GASTOS!$L$7:$L$5000,"Mano de obra contratista"),"$#,##0")</f>
        <v>Contratista:    ·   Contrato: $0   ·   Ejecutado: $0   ·   Pagado total: $0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customFormat="false" ht="16.5" hidden="false" customHeight="true" outlineLevel="0" collapsed="false">
      <c r="A4" s="82" t="s">
        <v>230</v>
      </c>
      <c r="B4" s="82"/>
      <c r="C4" s="82"/>
      <c r="D4" s="82"/>
      <c r="E4" s="82"/>
      <c r="F4" s="82"/>
      <c r="G4" s="82"/>
      <c r="H4" s="82"/>
      <c r="I4" s="82"/>
      <c r="J4" s="90" t="s">
        <v>231</v>
      </c>
      <c r="K4" s="90" t="s">
        <v>232</v>
      </c>
      <c r="L4" s="90" t="s">
        <v>233</v>
      </c>
      <c r="M4" s="90" t="s">
        <v>234</v>
      </c>
      <c r="N4" s="90" t="s">
        <v>235</v>
      </c>
      <c r="O4" s="90" t="s">
        <v>236</v>
      </c>
      <c r="P4" s="35" t="s">
        <v>115</v>
      </c>
      <c r="Q4" s="6"/>
      <c r="R4" s="6"/>
      <c r="S4" s="6"/>
      <c r="T4" s="6"/>
      <c r="U4" s="6"/>
      <c r="V4" s="84" t="s">
        <v>262</v>
      </c>
      <c r="W4" s="84"/>
      <c r="X4" s="84"/>
      <c r="Y4" s="84"/>
      <c r="Z4" s="84"/>
      <c r="AA4" s="84"/>
      <c r="AB4" s="84"/>
      <c r="AC4" s="84"/>
      <c r="AD4" s="91" t="n">
        <f aca="false">SUM(AD13:AD312)</f>
        <v>0</v>
      </c>
      <c r="AE4" s="13" t="n">
        <f aca="false">SUM(AE13:AE312)</f>
        <v>0</v>
      </c>
      <c r="AF4" s="6"/>
    </row>
    <row r="5" customFormat="false" ht="16.5" hidden="false" customHeight="true" outlineLevel="0" collapsed="false">
      <c r="A5" s="82" t="s">
        <v>238</v>
      </c>
      <c r="B5" s="82"/>
      <c r="C5" s="82"/>
      <c r="D5" s="82"/>
      <c r="E5" s="82"/>
      <c r="F5" s="82"/>
      <c r="G5" s="82"/>
      <c r="H5" s="82"/>
      <c r="I5" s="82"/>
      <c r="J5" s="83"/>
      <c r="K5" s="83"/>
      <c r="L5" s="83"/>
      <c r="M5" s="83"/>
      <c r="N5" s="83"/>
      <c r="O5" s="83"/>
      <c r="P5" s="43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customFormat="false" ht="16.5" hidden="false" customHeight="true" outlineLevel="0" collapsed="false">
      <c r="A6" s="82" t="s">
        <v>263</v>
      </c>
      <c r="B6" s="82"/>
      <c r="C6" s="82"/>
      <c r="D6" s="82"/>
      <c r="E6" s="82"/>
      <c r="F6" s="82"/>
      <c r="G6" s="82"/>
      <c r="H6" s="82"/>
      <c r="I6" s="82"/>
      <c r="J6" s="10" t="n">
        <f aca="false">SUMPRODUCT(J13:J212,$F$13:$F$212)</f>
        <v>0</v>
      </c>
      <c r="K6" s="10" t="n">
        <f aca="false">SUMPRODUCT(K13:K212,$F$13:$F$212)</f>
        <v>0</v>
      </c>
      <c r="L6" s="10" t="n">
        <f aca="false">SUMPRODUCT(L13:L212,$F$13:$F$212)</f>
        <v>0</v>
      </c>
      <c r="M6" s="10" t="n">
        <f aca="false">SUMPRODUCT(M13:M212,$F$13:$F$212)</f>
        <v>0</v>
      </c>
      <c r="N6" s="10" t="n">
        <f aca="false">SUMPRODUCT(N13:N212,$F$13:$F$212)</f>
        <v>0</v>
      </c>
      <c r="O6" s="10" t="n">
        <f aca="false">SUMPRODUCT(O13:O212,$F$13:$F$212)</f>
        <v>0</v>
      </c>
      <c r="P6" s="13" t="n">
        <f aca="false">SUM(J6:O6)</f>
        <v>0</v>
      </c>
      <c r="Q6" s="6"/>
      <c r="R6" s="6"/>
      <c r="S6" s="6"/>
      <c r="T6" s="6"/>
      <c r="U6" s="6"/>
      <c r="V6" s="92" t="s">
        <v>264</v>
      </c>
      <c r="W6" s="92"/>
      <c r="X6" s="92"/>
      <c r="Y6" s="92"/>
      <c r="Z6" s="92"/>
      <c r="AA6" s="92"/>
      <c r="AB6" s="92"/>
      <c r="AC6" s="92"/>
      <c r="AD6" s="92"/>
      <c r="AE6" s="92"/>
      <c r="AF6" s="92"/>
    </row>
    <row r="7" customFormat="false" ht="16.5" hidden="false" customHeight="true" outlineLevel="0" collapsed="false">
      <c r="A7" s="82" t="s">
        <v>265</v>
      </c>
      <c r="B7" s="82"/>
      <c r="C7" s="82"/>
      <c r="D7" s="82"/>
      <c r="E7" s="82"/>
      <c r="F7" s="82"/>
      <c r="G7" s="82"/>
      <c r="H7" s="82"/>
      <c r="I7" s="82"/>
      <c r="J7" s="10" t="n">
        <f aca="false">SUMPRODUCT(J13:J212,$E$13:$E$212)</f>
        <v>0</v>
      </c>
      <c r="K7" s="10" t="n">
        <f aca="false">SUMPRODUCT(K13:K212,$E$13:$E$212)</f>
        <v>0</v>
      </c>
      <c r="L7" s="10" t="n">
        <f aca="false">SUMPRODUCT(L13:L212,$E$13:$E$212)</f>
        <v>0</v>
      </c>
      <c r="M7" s="10" t="n">
        <f aca="false">SUMPRODUCT(M13:M212,$E$13:$E$212)</f>
        <v>0</v>
      </c>
      <c r="N7" s="10" t="n">
        <f aca="false">SUMPRODUCT(N13:N212,$E$13:$E$212)</f>
        <v>0</v>
      </c>
      <c r="O7" s="10" t="n">
        <f aca="false">SUMPRODUCT(O13:O212,$E$13:$E$212)</f>
        <v>0</v>
      </c>
      <c r="P7" s="13" t="n">
        <f aca="false">SUM(J7:O7)</f>
        <v>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customFormat="false" ht="16.5" hidden="false" customHeight="true" outlineLevel="0" collapsed="false">
      <c r="A8" s="82" t="s">
        <v>266</v>
      </c>
      <c r="B8" s="82"/>
      <c r="C8" s="82"/>
      <c r="D8" s="82"/>
      <c r="E8" s="82"/>
      <c r="F8" s="82"/>
      <c r="G8" s="82"/>
      <c r="H8" s="82"/>
      <c r="I8" s="82"/>
      <c r="J8" s="85"/>
      <c r="K8" s="85"/>
      <c r="L8" s="85"/>
      <c r="M8" s="85"/>
      <c r="N8" s="85"/>
      <c r="O8" s="85"/>
      <c r="P8" s="43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customFormat="false" ht="16.5" hidden="false" customHeight="true" outlineLevel="0" collapsed="false">
      <c r="A9" s="82" t="s">
        <v>267</v>
      </c>
      <c r="B9" s="82"/>
      <c r="C9" s="82"/>
      <c r="D9" s="82"/>
      <c r="E9" s="82"/>
      <c r="F9" s="82"/>
      <c r="G9" s="82"/>
      <c r="H9" s="82"/>
      <c r="I9" s="82"/>
      <c r="J9" s="10" t="n">
        <f aca="false">SUMIFS(GASTOS!$J$7:$J$5000,GASTOS!$L$7:$L$5000,"Mano de obra contratista",GASTOS!$E$7:$E$5000,"Corte 1")</f>
        <v>0</v>
      </c>
      <c r="K9" s="10" t="n">
        <f aca="false">SUMIFS(GASTOS!$J$7:$J$5000,GASTOS!$L$7:$L$5000,"Mano de obra contratista",GASTOS!$E$7:$E$5000,"Corte 2")</f>
        <v>0</v>
      </c>
      <c r="L9" s="10" t="n">
        <f aca="false">SUMIFS(GASTOS!$J$7:$J$5000,GASTOS!$L$7:$L$5000,"Mano de obra contratista",GASTOS!$E$7:$E$5000,"Corte 3")</f>
        <v>0</v>
      </c>
      <c r="M9" s="10" t="n">
        <f aca="false">SUMIFS(GASTOS!$J$7:$J$5000,GASTOS!$L$7:$L$5000,"Mano de obra contratista",GASTOS!$E$7:$E$5000,"Corte 4")</f>
        <v>0</v>
      </c>
      <c r="N9" s="10" t="n">
        <f aca="false">SUMIFS(GASTOS!$J$7:$J$5000,GASTOS!$L$7:$L$5000,"Mano de obra contratista",GASTOS!$E$7:$E$5000,"Corte 5")</f>
        <v>0</v>
      </c>
      <c r="O9" s="10" t="n">
        <f aca="false">SUMIFS(GASTOS!$J$7:$J$5000,GASTOS!$L$7:$L$5000,"Mano de obra contratista",GASTOS!$E$7:$E$5000,"Corte 6")</f>
        <v>0</v>
      </c>
      <c r="P9" s="13" t="n">
        <f aca="false">SUM(J9:O9)</f>
        <v>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customFormat="false" ht="16.5" hidden="false" customHeight="true" outlineLevel="0" collapsed="false">
      <c r="A10" s="84" t="s">
        <v>268</v>
      </c>
      <c r="B10" s="84"/>
      <c r="C10" s="84"/>
      <c r="D10" s="84"/>
      <c r="E10" s="84"/>
      <c r="F10" s="84"/>
      <c r="G10" s="84"/>
      <c r="H10" s="84"/>
      <c r="I10" s="84"/>
      <c r="J10" s="13" t="n">
        <f aca="false">J6-J9</f>
        <v>0</v>
      </c>
      <c r="K10" s="13" t="n">
        <f aca="false">K6-K9</f>
        <v>0</v>
      </c>
      <c r="L10" s="13" t="n">
        <f aca="false">L6-L9</f>
        <v>0</v>
      </c>
      <c r="M10" s="13" t="n">
        <f aca="false">M6-M9</f>
        <v>0</v>
      </c>
      <c r="N10" s="13" t="n">
        <f aca="false">N6-N9</f>
        <v>0</v>
      </c>
      <c r="O10" s="13" t="n">
        <f aca="false">O6-O9</f>
        <v>0</v>
      </c>
      <c r="P10" s="13" t="n">
        <f aca="false">SUM(J10:O10)</f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customFormat="false" ht="16.5" hidden="false" customHeight="true" outlineLevel="0" collapsed="false">
      <c r="A11" s="84" t="s">
        <v>269</v>
      </c>
      <c r="B11" s="84"/>
      <c r="C11" s="84"/>
      <c r="D11" s="84"/>
      <c r="E11" s="84"/>
      <c r="F11" s="84"/>
      <c r="G11" s="13" t="n">
        <f aca="false">SUM(G13:G212)</f>
        <v>0</v>
      </c>
      <c r="H11" s="13" t="n">
        <f aca="false">SUM(H13:H212)</f>
        <v>0</v>
      </c>
      <c r="I11" s="13" t="n">
        <f aca="false">SUM(I13:I212)</f>
        <v>0</v>
      </c>
      <c r="J11" s="6"/>
      <c r="K11" s="6"/>
      <c r="L11" s="6"/>
      <c r="M11" s="6"/>
      <c r="N11" s="6"/>
      <c r="O11" s="6"/>
      <c r="P11" s="6"/>
      <c r="Q11" s="6"/>
      <c r="R11" s="41" t="str">
        <f aca="false">IF(H11=0,"",S11/H11)</f>
        <v/>
      </c>
      <c r="S11" s="13" t="n">
        <f aca="false">SUM(S13:S212)</f>
        <v>0</v>
      </c>
      <c r="T11" s="13" t="n">
        <f aca="false">SUM(T13:T212)</f>
        <v>0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customFormat="false" ht="31.5" hidden="false" customHeight="true" outlineLevel="0" collapsed="false">
      <c r="A12" s="35" t="s">
        <v>206</v>
      </c>
      <c r="B12" s="35" t="s">
        <v>207</v>
      </c>
      <c r="C12" s="35" t="s">
        <v>208</v>
      </c>
      <c r="D12" s="35" t="s">
        <v>209</v>
      </c>
      <c r="E12" s="35" t="s">
        <v>270</v>
      </c>
      <c r="F12" s="35" t="s">
        <v>271</v>
      </c>
      <c r="G12" s="35" t="s">
        <v>272</v>
      </c>
      <c r="H12" s="35" t="s">
        <v>273</v>
      </c>
      <c r="I12" s="35" t="s">
        <v>274</v>
      </c>
      <c r="J12" s="90" t="s">
        <v>249</v>
      </c>
      <c r="K12" s="90" t="s">
        <v>250</v>
      </c>
      <c r="L12" s="90" t="s">
        <v>251</v>
      </c>
      <c r="M12" s="90" t="s">
        <v>252</v>
      </c>
      <c r="N12" s="90" t="s">
        <v>253</v>
      </c>
      <c r="O12" s="90" t="s">
        <v>254</v>
      </c>
      <c r="P12" s="35" t="s">
        <v>255</v>
      </c>
      <c r="Q12" s="35" t="s">
        <v>256</v>
      </c>
      <c r="R12" s="35" t="s">
        <v>275</v>
      </c>
      <c r="S12" s="35" t="s">
        <v>258</v>
      </c>
      <c r="T12" s="35" t="s">
        <v>259</v>
      </c>
      <c r="U12" s="6"/>
      <c r="V12" s="35" t="s">
        <v>276</v>
      </c>
      <c r="W12" s="35" t="s">
        <v>187</v>
      </c>
      <c r="X12" s="35" t="s">
        <v>277</v>
      </c>
      <c r="Y12" s="35" t="s">
        <v>278</v>
      </c>
      <c r="Z12" s="35" t="s">
        <v>161</v>
      </c>
      <c r="AA12" s="35" t="s">
        <v>279</v>
      </c>
      <c r="AB12" s="35" t="s">
        <v>280</v>
      </c>
      <c r="AC12" s="35" t="s">
        <v>34</v>
      </c>
      <c r="AD12" s="35" t="s">
        <v>281</v>
      </c>
      <c r="AE12" s="35" t="s">
        <v>282</v>
      </c>
      <c r="AF12" s="35" t="s">
        <v>283</v>
      </c>
    </row>
    <row r="13" customFormat="false" ht="16.5" hidden="false" customHeight="true" outlineLevel="0" collapsed="false">
      <c r="A13" s="23" t="str">
        <f aca="false">IF(PRESUPUESTO!$A7="Ítem",PRESUPUESTO!B7,"")</f>
        <v/>
      </c>
      <c r="B13" s="23" t="str">
        <f aca="false">IF(PRESUPUESTO!C7="","",PRESUPUESTO!C7)</f>
        <v/>
      </c>
      <c r="C13" s="86" t="str">
        <f aca="false">IF(PRESUPUESTO!$A7="Ítem",PRESUPUESTO!D7,"")</f>
        <v/>
      </c>
      <c r="D13" s="87" t="str">
        <f aca="false">IF(PRESUPUESTO!$A7="Ítem",PRESUPUESTO!E7,"")</f>
        <v/>
      </c>
      <c r="E13" s="10" t="str">
        <f aca="false">IF(D13="","",N(PRESUPUESTO!J7))</f>
        <v/>
      </c>
      <c r="F13" s="16"/>
      <c r="G13" s="10" t="str">
        <f aca="false">IF(D13="","",D13*E13)</f>
        <v/>
      </c>
      <c r="H13" s="10" t="str">
        <f aca="false">IF(D13="","",D13*N(F13))</f>
        <v/>
      </c>
      <c r="I13" s="10" t="str">
        <f aca="false">IF(D13="","",G13-H13)</f>
        <v/>
      </c>
      <c r="J13" s="80"/>
      <c r="K13" s="80"/>
      <c r="L13" s="80"/>
      <c r="M13" s="80"/>
      <c r="N13" s="80"/>
      <c r="O13" s="80"/>
      <c r="P13" s="88" t="str">
        <f aca="false">IF(D13="","",SUM(J13:O13))</f>
        <v/>
      </c>
      <c r="Q13" s="87" t="str">
        <f aca="false">IF(D13="","",D13-P13)</f>
        <v/>
      </c>
      <c r="R13" s="36" t="str">
        <f aca="false">IF(OR(D13="",N(D13)=0),"",P13/D13)</f>
        <v/>
      </c>
      <c r="S13" s="10" t="str">
        <f aca="false">IF(D13="","",P13*N(F13))</f>
        <v/>
      </c>
      <c r="T13" s="10" t="str">
        <f aca="false">IF(D13="","",Q13*N(F13))</f>
        <v/>
      </c>
      <c r="U13" s="6"/>
      <c r="V13" s="83"/>
      <c r="W13" s="15"/>
      <c r="X13" s="15"/>
      <c r="Y13" s="15"/>
      <c r="Z13" s="93"/>
      <c r="AA13" s="93"/>
      <c r="AB13" s="93"/>
      <c r="AC13" s="10" t="str">
        <f aca="false">IF(X13="","",IFERROR(INDEX(t_Hora,MATCH(X13,t_Cargo,0)),0))</f>
        <v/>
      </c>
      <c r="AD13" s="94" t="str">
        <f aca="false">IF(X13="","",N(Z13)*IF(AA13="",IFERROR(INDEX(t_Horas,MATCH(X13,t_Cargo,0)),8),AA13)+N(AB13))</f>
        <v/>
      </c>
      <c r="AE13" s="37" t="str">
        <f aca="false">IF(X13="","",AC13*(N(Z13)*IF(AA13="",IFERROR(INDEX(t_Horas,MATCH(X13,t_Cargo,0)),8),AA13)+N(AB13)*(1+p_Extra)))</f>
        <v/>
      </c>
      <c r="AF13" s="15"/>
    </row>
    <row r="14" customFormat="false" ht="16.5" hidden="false" customHeight="true" outlineLevel="0" collapsed="false">
      <c r="A14" s="23" t="str">
        <f aca="false">IF(PRESUPUESTO!$A8="Ítem",PRESUPUESTO!B8,"")</f>
        <v/>
      </c>
      <c r="B14" s="23" t="str">
        <f aca="false">IF(PRESUPUESTO!C8="","",PRESUPUESTO!C8)</f>
        <v/>
      </c>
      <c r="C14" s="86" t="str">
        <f aca="false">IF(PRESUPUESTO!$A8="Ítem",PRESUPUESTO!D8,"")</f>
        <v/>
      </c>
      <c r="D14" s="87" t="str">
        <f aca="false">IF(PRESUPUESTO!$A8="Ítem",PRESUPUESTO!E8,"")</f>
        <v/>
      </c>
      <c r="E14" s="10" t="str">
        <f aca="false">IF(D14="","",N(PRESUPUESTO!J8))</f>
        <v/>
      </c>
      <c r="F14" s="16"/>
      <c r="G14" s="10" t="str">
        <f aca="false">IF(D14="","",D14*E14)</f>
        <v/>
      </c>
      <c r="H14" s="10" t="str">
        <f aca="false">IF(D14="","",D14*N(F14))</f>
        <v/>
      </c>
      <c r="I14" s="10" t="str">
        <f aca="false">IF(D14="","",G14-H14)</f>
        <v/>
      </c>
      <c r="J14" s="80"/>
      <c r="K14" s="80"/>
      <c r="L14" s="80"/>
      <c r="M14" s="80"/>
      <c r="N14" s="80"/>
      <c r="O14" s="80"/>
      <c r="P14" s="88" t="str">
        <f aca="false">IF(D14="","",SUM(J14:O14))</f>
        <v/>
      </c>
      <c r="Q14" s="87" t="str">
        <f aca="false">IF(D14="","",D14-P14)</f>
        <v/>
      </c>
      <c r="R14" s="36" t="str">
        <f aca="false">IF(OR(D14="",N(D14)=0),"",P14/D14)</f>
        <v/>
      </c>
      <c r="S14" s="10" t="str">
        <f aca="false">IF(D14="","",P14*N(F14))</f>
        <v/>
      </c>
      <c r="T14" s="10" t="str">
        <f aca="false">IF(D14="","",Q14*N(F14))</f>
        <v/>
      </c>
      <c r="U14" s="6"/>
      <c r="V14" s="83"/>
      <c r="W14" s="15"/>
      <c r="X14" s="15"/>
      <c r="Y14" s="15"/>
      <c r="Z14" s="93"/>
      <c r="AA14" s="93"/>
      <c r="AB14" s="93"/>
      <c r="AC14" s="10" t="str">
        <f aca="false">IF(X14="","",IFERROR(INDEX(t_Hora,MATCH(X14,t_Cargo,0)),0))</f>
        <v/>
      </c>
      <c r="AD14" s="94" t="str">
        <f aca="false">IF(X14="","",N(Z14)*IF(AA14="",IFERROR(INDEX(t_Horas,MATCH(X14,t_Cargo,0)),8),AA14)+N(AB14))</f>
        <v/>
      </c>
      <c r="AE14" s="37" t="str">
        <f aca="false">IF(X14="","",AC14*(N(Z14)*IF(AA14="",IFERROR(INDEX(t_Horas,MATCH(X14,t_Cargo,0)),8),AA14)+N(AB14)*(1+p_Extra)))</f>
        <v/>
      </c>
      <c r="AF14" s="15"/>
    </row>
    <row r="15" customFormat="false" ht="16.5" hidden="false" customHeight="true" outlineLevel="0" collapsed="false">
      <c r="A15" s="23" t="str">
        <f aca="false">IF(PRESUPUESTO!$A9="Ítem",PRESUPUESTO!B9,"")</f>
        <v/>
      </c>
      <c r="B15" s="23" t="str">
        <f aca="false">IF(PRESUPUESTO!C9="","",PRESUPUESTO!C9)</f>
        <v/>
      </c>
      <c r="C15" s="86" t="str">
        <f aca="false">IF(PRESUPUESTO!$A9="Ítem",PRESUPUESTO!D9,"")</f>
        <v/>
      </c>
      <c r="D15" s="87" t="str">
        <f aca="false">IF(PRESUPUESTO!$A9="Ítem",PRESUPUESTO!E9,"")</f>
        <v/>
      </c>
      <c r="E15" s="10" t="str">
        <f aca="false">IF(D15="","",N(PRESUPUESTO!J9))</f>
        <v/>
      </c>
      <c r="F15" s="16"/>
      <c r="G15" s="10" t="str">
        <f aca="false">IF(D15="","",D15*E15)</f>
        <v/>
      </c>
      <c r="H15" s="10" t="str">
        <f aca="false">IF(D15="","",D15*N(F15))</f>
        <v/>
      </c>
      <c r="I15" s="10" t="str">
        <f aca="false">IF(D15="","",G15-H15)</f>
        <v/>
      </c>
      <c r="J15" s="80"/>
      <c r="K15" s="80"/>
      <c r="L15" s="80"/>
      <c r="M15" s="80"/>
      <c r="N15" s="80"/>
      <c r="O15" s="80"/>
      <c r="P15" s="88" t="str">
        <f aca="false">IF(D15="","",SUM(J15:O15))</f>
        <v/>
      </c>
      <c r="Q15" s="87" t="str">
        <f aca="false">IF(D15="","",D15-P15)</f>
        <v/>
      </c>
      <c r="R15" s="36" t="str">
        <f aca="false">IF(OR(D15="",N(D15)=0),"",P15/D15)</f>
        <v/>
      </c>
      <c r="S15" s="10" t="str">
        <f aca="false">IF(D15="","",P15*N(F15))</f>
        <v/>
      </c>
      <c r="T15" s="10" t="str">
        <f aca="false">IF(D15="","",Q15*N(F15))</f>
        <v/>
      </c>
      <c r="U15" s="6"/>
      <c r="V15" s="83"/>
      <c r="W15" s="15"/>
      <c r="X15" s="15"/>
      <c r="Y15" s="15"/>
      <c r="Z15" s="93"/>
      <c r="AA15" s="93"/>
      <c r="AB15" s="93"/>
      <c r="AC15" s="10" t="str">
        <f aca="false">IF(X15="","",IFERROR(INDEX(t_Hora,MATCH(X15,t_Cargo,0)),0))</f>
        <v/>
      </c>
      <c r="AD15" s="94" t="str">
        <f aca="false">IF(X15="","",N(Z15)*IF(AA15="",IFERROR(INDEX(t_Horas,MATCH(X15,t_Cargo,0)),8),AA15)+N(AB15))</f>
        <v/>
      </c>
      <c r="AE15" s="37" t="str">
        <f aca="false">IF(X15="","",AC15*(N(Z15)*IF(AA15="",IFERROR(INDEX(t_Horas,MATCH(X15,t_Cargo,0)),8),AA15)+N(AB15)*(1+p_Extra)))</f>
        <v/>
      </c>
      <c r="AF15" s="15"/>
    </row>
    <row r="16" customFormat="false" ht="16.5" hidden="false" customHeight="true" outlineLevel="0" collapsed="false">
      <c r="A16" s="23" t="str">
        <f aca="false">IF(PRESUPUESTO!$A10="Ítem",PRESUPUESTO!B10,"")</f>
        <v/>
      </c>
      <c r="B16" s="23" t="str">
        <f aca="false">IF(PRESUPUESTO!C10="","",PRESUPUESTO!C10)</f>
        <v/>
      </c>
      <c r="C16" s="86" t="str">
        <f aca="false">IF(PRESUPUESTO!$A10="Ítem",PRESUPUESTO!D10,"")</f>
        <v/>
      </c>
      <c r="D16" s="87" t="str">
        <f aca="false">IF(PRESUPUESTO!$A10="Ítem",PRESUPUESTO!E10,"")</f>
        <v/>
      </c>
      <c r="E16" s="10" t="str">
        <f aca="false">IF(D16="","",N(PRESUPUESTO!J10))</f>
        <v/>
      </c>
      <c r="F16" s="16"/>
      <c r="G16" s="10" t="str">
        <f aca="false">IF(D16="","",D16*E16)</f>
        <v/>
      </c>
      <c r="H16" s="10" t="str">
        <f aca="false">IF(D16="","",D16*N(F16))</f>
        <v/>
      </c>
      <c r="I16" s="10" t="str">
        <f aca="false">IF(D16="","",G16-H16)</f>
        <v/>
      </c>
      <c r="J16" s="80"/>
      <c r="K16" s="80"/>
      <c r="L16" s="80"/>
      <c r="M16" s="80"/>
      <c r="N16" s="80"/>
      <c r="O16" s="80"/>
      <c r="P16" s="88" t="str">
        <f aca="false">IF(D16="","",SUM(J16:O16))</f>
        <v/>
      </c>
      <c r="Q16" s="87" t="str">
        <f aca="false">IF(D16="","",D16-P16)</f>
        <v/>
      </c>
      <c r="R16" s="36" t="str">
        <f aca="false">IF(OR(D16="",N(D16)=0),"",P16/D16)</f>
        <v/>
      </c>
      <c r="S16" s="10" t="str">
        <f aca="false">IF(D16="","",P16*N(F16))</f>
        <v/>
      </c>
      <c r="T16" s="10" t="str">
        <f aca="false">IF(D16="","",Q16*N(F16))</f>
        <v/>
      </c>
      <c r="U16" s="6"/>
      <c r="V16" s="83"/>
      <c r="W16" s="15"/>
      <c r="X16" s="15"/>
      <c r="Y16" s="15"/>
      <c r="Z16" s="93"/>
      <c r="AA16" s="93"/>
      <c r="AB16" s="93"/>
      <c r="AC16" s="10" t="str">
        <f aca="false">IF(X16="","",IFERROR(INDEX(t_Hora,MATCH(X16,t_Cargo,0)),0))</f>
        <v/>
      </c>
      <c r="AD16" s="94" t="str">
        <f aca="false">IF(X16="","",N(Z16)*IF(AA16="",IFERROR(INDEX(t_Horas,MATCH(X16,t_Cargo,0)),8),AA16)+N(AB16))</f>
        <v/>
      </c>
      <c r="AE16" s="37" t="str">
        <f aca="false">IF(X16="","",AC16*(N(Z16)*IF(AA16="",IFERROR(INDEX(t_Horas,MATCH(X16,t_Cargo,0)),8),AA16)+N(AB16)*(1+p_Extra)))</f>
        <v/>
      </c>
      <c r="AF16" s="15"/>
    </row>
    <row r="17" customFormat="false" ht="16.5" hidden="false" customHeight="true" outlineLevel="0" collapsed="false">
      <c r="A17" s="23" t="str">
        <f aca="false">IF(PRESUPUESTO!$A11="Ítem",PRESUPUESTO!B11,"")</f>
        <v/>
      </c>
      <c r="B17" s="23" t="str">
        <f aca="false">IF(PRESUPUESTO!C11="","",PRESUPUESTO!C11)</f>
        <v/>
      </c>
      <c r="C17" s="86" t="str">
        <f aca="false">IF(PRESUPUESTO!$A11="Ítem",PRESUPUESTO!D11,"")</f>
        <v/>
      </c>
      <c r="D17" s="87" t="str">
        <f aca="false">IF(PRESUPUESTO!$A11="Ítem",PRESUPUESTO!E11,"")</f>
        <v/>
      </c>
      <c r="E17" s="10" t="str">
        <f aca="false">IF(D17="","",N(PRESUPUESTO!J11))</f>
        <v/>
      </c>
      <c r="F17" s="16"/>
      <c r="G17" s="10" t="str">
        <f aca="false">IF(D17="","",D17*E17)</f>
        <v/>
      </c>
      <c r="H17" s="10" t="str">
        <f aca="false">IF(D17="","",D17*N(F17))</f>
        <v/>
      </c>
      <c r="I17" s="10" t="str">
        <f aca="false">IF(D17="","",G17-H17)</f>
        <v/>
      </c>
      <c r="J17" s="80"/>
      <c r="K17" s="80"/>
      <c r="L17" s="80"/>
      <c r="M17" s="80"/>
      <c r="N17" s="80"/>
      <c r="O17" s="80"/>
      <c r="P17" s="88" t="str">
        <f aca="false">IF(D17="","",SUM(J17:O17))</f>
        <v/>
      </c>
      <c r="Q17" s="87" t="str">
        <f aca="false">IF(D17="","",D17-P17)</f>
        <v/>
      </c>
      <c r="R17" s="36" t="str">
        <f aca="false">IF(OR(D17="",N(D17)=0),"",P17/D17)</f>
        <v/>
      </c>
      <c r="S17" s="10" t="str">
        <f aca="false">IF(D17="","",P17*N(F17))</f>
        <v/>
      </c>
      <c r="T17" s="10" t="str">
        <f aca="false">IF(D17="","",Q17*N(F17))</f>
        <v/>
      </c>
      <c r="U17" s="6"/>
      <c r="V17" s="83"/>
      <c r="W17" s="15"/>
      <c r="X17" s="15"/>
      <c r="Y17" s="15"/>
      <c r="Z17" s="93"/>
      <c r="AA17" s="93"/>
      <c r="AB17" s="93"/>
      <c r="AC17" s="10" t="str">
        <f aca="false">IF(X17="","",IFERROR(INDEX(t_Hora,MATCH(X17,t_Cargo,0)),0))</f>
        <v/>
      </c>
      <c r="AD17" s="94" t="str">
        <f aca="false">IF(X17="","",N(Z17)*IF(AA17="",IFERROR(INDEX(t_Horas,MATCH(X17,t_Cargo,0)),8),AA17)+N(AB17))</f>
        <v/>
      </c>
      <c r="AE17" s="37" t="str">
        <f aca="false">IF(X17="","",AC17*(N(Z17)*IF(AA17="",IFERROR(INDEX(t_Horas,MATCH(X17,t_Cargo,0)),8),AA17)+N(AB17)*(1+p_Extra)))</f>
        <v/>
      </c>
      <c r="AF17" s="15"/>
    </row>
    <row r="18" customFormat="false" ht="16.5" hidden="false" customHeight="true" outlineLevel="0" collapsed="false">
      <c r="A18" s="23" t="str">
        <f aca="false">IF(PRESUPUESTO!$A12="Ítem",PRESUPUESTO!B12,"")</f>
        <v/>
      </c>
      <c r="B18" s="23" t="str">
        <f aca="false">IF(PRESUPUESTO!C12="","",PRESUPUESTO!C12)</f>
        <v/>
      </c>
      <c r="C18" s="86" t="str">
        <f aca="false">IF(PRESUPUESTO!$A12="Ítem",PRESUPUESTO!D12,"")</f>
        <v/>
      </c>
      <c r="D18" s="87" t="str">
        <f aca="false">IF(PRESUPUESTO!$A12="Ítem",PRESUPUESTO!E12,"")</f>
        <v/>
      </c>
      <c r="E18" s="10" t="str">
        <f aca="false">IF(D18="","",N(PRESUPUESTO!J12))</f>
        <v/>
      </c>
      <c r="F18" s="16"/>
      <c r="G18" s="10" t="str">
        <f aca="false">IF(D18="","",D18*E18)</f>
        <v/>
      </c>
      <c r="H18" s="10" t="str">
        <f aca="false">IF(D18="","",D18*N(F18))</f>
        <v/>
      </c>
      <c r="I18" s="10" t="str">
        <f aca="false">IF(D18="","",G18-H18)</f>
        <v/>
      </c>
      <c r="J18" s="80"/>
      <c r="K18" s="80"/>
      <c r="L18" s="80"/>
      <c r="M18" s="80"/>
      <c r="N18" s="80"/>
      <c r="O18" s="80"/>
      <c r="P18" s="88" t="str">
        <f aca="false">IF(D18="","",SUM(J18:O18))</f>
        <v/>
      </c>
      <c r="Q18" s="87" t="str">
        <f aca="false">IF(D18="","",D18-P18)</f>
        <v/>
      </c>
      <c r="R18" s="36" t="str">
        <f aca="false">IF(OR(D18="",N(D18)=0),"",P18/D18)</f>
        <v/>
      </c>
      <c r="S18" s="10" t="str">
        <f aca="false">IF(D18="","",P18*N(F18))</f>
        <v/>
      </c>
      <c r="T18" s="10" t="str">
        <f aca="false">IF(D18="","",Q18*N(F18))</f>
        <v/>
      </c>
      <c r="U18" s="6"/>
      <c r="V18" s="83"/>
      <c r="W18" s="15"/>
      <c r="X18" s="15"/>
      <c r="Y18" s="15"/>
      <c r="Z18" s="93"/>
      <c r="AA18" s="93"/>
      <c r="AB18" s="93"/>
      <c r="AC18" s="10" t="str">
        <f aca="false">IF(X18="","",IFERROR(INDEX(t_Hora,MATCH(X18,t_Cargo,0)),0))</f>
        <v/>
      </c>
      <c r="AD18" s="94" t="str">
        <f aca="false">IF(X18="","",N(Z18)*IF(AA18="",IFERROR(INDEX(t_Horas,MATCH(X18,t_Cargo,0)),8),AA18)+N(AB18))</f>
        <v/>
      </c>
      <c r="AE18" s="37" t="str">
        <f aca="false">IF(X18="","",AC18*(N(Z18)*IF(AA18="",IFERROR(INDEX(t_Horas,MATCH(X18,t_Cargo,0)),8),AA18)+N(AB18)*(1+p_Extra)))</f>
        <v/>
      </c>
      <c r="AF18" s="15"/>
    </row>
    <row r="19" customFormat="false" ht="16.5" hidden="false" customHeight="true" outlineLevel="0" collapsed="false">
      <c r="A19" s="23" t="str">
        <f aca="false">IF(PRESUPUESTO!$A13="Ítem",PRESUPUESTO!B13,"")</f>
        <v/>
      </c>
      <c r="B19" s="23" t="str">
        <f aca="false">IF(PRESUPUESTO!C13="","",PRESUPUESTO!C13)</f>
        <v/>
      </c>
      <c r="C19" s="86" t="str">
        <f aca="false">IF(PRESUPUESTO!$A13="Ítem",PRESUPUESTO!D13,"")</f>
        <v/>
      </c>
      <c r="D19" s="87" t="str">
        <f aca="false">IF(PRESUPUESTO!$A13="Ítem",PRESUPUESTO!E13,"")</f>
        <v/>
      </c>
      <c r="E19" s="10" t="str">
        <f aca="false">IF(D19="","",N(PRESUPUESTO!J13))</f>
        <v/>
      </c>
      <c r="F19" s="16"/>
      <c r="G19" s="10" t="str">
        <f aca="false">IF(D19="","",D19*E19)</f>
        <v/>
      </c>
      <c r="H19" s="10" t="str">
        <f aca="false">IF(D19="","",D19*N(F19))</f>
        <v/>
      </c>
      <c r="I19" s="10" t="str">
        <f aca="false">IF(D19="","",G19-H19)</f>
        <v/>
      </c>
      <c r="J19" s="80"/>
      <c r="K19" s="80"/>
      <c r="L19" s="80"/>
      <c r="M19" s="80"/>
      <c r="N19" s="80"/>
      <c r="O19" s="80"/>
      <c r="P19" s="88" t="str">
        <f aca="false">IF(D19="","",SUM(J19:O19))</f>
        <v/>
      </c>
      <c r="Q19" s="87" t="str">
        <f aca="false">IF(D19="","",D19-P19)</f>
        <v/>
      </c>
      <c r="R19" s="36" t="str">
        <f aca="false">IF(OR(D19="",N(D19)=0),"",P19/D19)</f>
        <v/>
      </c>
      <c r="S19" s="10" t="str">
        <f aca="false">IF(D19="","",P19*N(F19))</f>
        <v/>
      </c>
      <c r="T19" s="10" t="str">
        <f aca="false">IF(D19="","",Q19*N(F19))</f>
        <v/>
      </c>
      <c r="U19" s="6"/>
      <c r="V19" s="83"/>
      <c r="W19" s="15"/>
      <c r="X19" s="15"/>
      <c r="Y19" s="15"/>
      <c r="Z19" s="93"/>
      <c r="AA19" s="93"/>
      <c r="AB19" s="93"/>
      <c r="AC19" s="10" t="str">
        <f aca="false">IF(X19="","",IFERROR(INDEX(t_Hora,MATCH(X19,t_Cargo,0)),0))</f>
        <v/>
      </c>
      <c r="AD19" s="94" t="str">
        <f aca="false">IF(X19="","",N(Z19)*IF(AA19="",IFERROR(INDEX(t_Horas,MATCH(X19,t_Cargo,0)),8),AA19)+N(AB19))</f>
        <v/>
      </c>
      <c r="AE19" s="37" t="str">
        <f aca="false">IF(X19="","",AC19*(N(Z19)*IF(AA19="",IFERROR(INDEX(t_Horas,MATCH(X19,t_Cargo,0)),8),AA19)+N(AB19)*(1+p_Extra)))</f>
        <v/>
      </c>
      <c r="AF19" s="15"/>
    </row>
    <row r="20" customFormat="false" ht="16.5" hidden="false" customHeight="true" outlineLevel="0" collapsed="false">
      <c r="A20" s="23" t="str">
        <f aca="false">IF(PRESUPUESTO!$A14="Ítem",PRESUPUESTO!B14,"")</f>
        <v/>
      </c>
      <c r="B20" s="23" t="str">
        <f aca="false">IF(PRESUPUESTO!C14="","",PRESUPUESTO!C14)</f>
        <v/>
      </c>
      <c r="C20" s="86" t="str">
        <f aca="false">IF(PRESUPUESTO!$A14="Ítem",PRESUPUESTO!D14,"")</f>
        <v/>
      </c>
      <c r="D20" s="87" t="str">
        <f aca="false">IF(PRESUPUESTO!$A14="Ítem",PRESUPUESTO!E14,"")</f>
        <v/>
      </c>
      <c r="E20" s="10" t="str">
        <f aca="false">IF(D20="","",N(PRESUPUESTO!J14))</f>
        <v/>
      </c>
      <c r="F20" s="16"/>
      <c r="G20" s="10" t="str">
        <f aca="false">IF(D20="","",D20*E20)</f>
        <v/>
      </c>
      <c r="H20" s="10" t="str">
        <f aca="false">IF(D20="","",D20*N(F20))</f>
        <v/>
      </c>
      <c r="I20" s="10" t="str">
        <f aca="false">IF(D20="","",G20-H20)</f>
        <v/>
      </c>
      <c r="J20" s="80"/>
      <c r="K20" s="80"/>
      <c r="L20" s="80"/>
      <c r="M20" s="80"/>
      <c r="N20" s="80"/>
      <c r="O20" s="80"/>
      <c r="P20" s="88" t="str">
        <f aca="false">IF(D20="","",SUM(J20:O20))</f>
        <v/>
      </c>
      <c r="Q20" s="87" t="str">
        <f aca="false">IF(D20="","",D20-P20)</f>
        <v/>
      </c>
      <c r="R20" s="36" t="str">
        <f aca="false">IF(OR(D20="",N(D20)=0),"",P20/D20)</f>
        <v/>
      </c>
      <c r="S20" s="10" t="str">
        <f aca="false">IF(D20="","",P20*N(F20))</f>
        <v/>
      </c>
      <c r="T20" s="10" t="str">
        <f aca="false">IF(D20="","",Q20*N(F20))</f>
        <v/>
      </c>
      <c r="U20" s="6"/>
      <c r="V20" s="83"/>
      <c r="W20" s="15"/>
      <c r="X20" s="15"/>
      <c r="Y20" s="15"/>
      <c r="Z20" s="93"/>
      <c r="AA20" s="93"/>
      <c r="AB20" s="93"/>
      <c r="AC20" s="10" t="str">
        <f aca="false">IF(X20="","",IFERROR(INDEX(t_Hora,MATCH(X20,t_Cargo,0)),0))</f>
        <v/>
      </c>
      <c r="AD20" s="94" t="str">
        <f aca="false">IF(X20="","",N(Z20)*IF(AA20="",IFERROR(INDEX(t_Horas,MATCH(X20,t_Cargo,0)),8),AA20)+N(AB20))</f>
        <v/>
      </c>
      <c r="AE20" s="37" t="str">
        <f aca="false">IF(X20="","",AC20*(N(Z20)*IF(AA20="",IFERROR(INDEX(t_Horas,MATCH(X20,t_Cargo,0)),8),AA20)+N(AB20)*(1+p_Extra)))</f>
        <v/>
      </c>
      <c r="AF20" s="15"/>
    </row>
    <row r="21" customFormat="false" ht="16.5" hidden="false" customHeight="true" outlineLevel="0" collapsed="false">
      <c r="A21" s="23" t="str">
        <f aca="false">IF(PRESUPUESTO!$A15="Ítem",PRESUPUESTO!B15,"")</f>
        <v/>
      </c>
      <c r="B21" s="23" t="str">
        <f aca="false">IF(PRESUPUESTO!C15="","",PRESUPUESTO!C15)</f>
        <v/>
      </c>
      <c r="C21" s="86" t="str">
        <f aca="false">IF(PRESUPUESTO!$A15="Ítem",PRESUPUESTO!D15,"")</f>
        <v/>
      </c>
      <c r="D21" s="87" t="str">
        <f aca="false">IF(PRESUPUESTO!$A15="Ítem",PRESUPUESTO!E15,"")</f>
        <v/>
      </c>
      <c r="E21" s="10" t="str">
        <f aca="false">IF(D21="","",N(PRESUPUESTO!J15))</f>
        <v/>
      </c>
      <c r="F21" s="16"/>
      <c r="G21" s="10" t="str">
        <f aca="false">IF(D21="","",D21*E21)</f>
        <v/>
      </c>
      <c r="H21" s="10" t="str">
        <f aca="false">IF(D21="","",D21*N(F21))</f>
        <v/>
      </c>
      <c r="I21" s="10" t="str">
        <f aca="false">IF(D21="","",G21-H21)</f>
        <v/>
      </c>
      <c r="J21" s="80"/>
      <c r="K21" s="80"/>
      <c r="L21" s="80"/>
      <c r="M21" s="80"/>
      <c r="N21" s="80"/>
      <c r="O21" s="80"/>
      <c r="P21" s="88" t="str">
        <f aca="false">IF(D21="","",SUM(J21:O21))</f>
        <v/>
      </c>
      <c r="Q21" s="87" t="str">
        <f aca="false">IF(D21="","",D21-P21)</f>
        <v/>
      </c>
      <c r="R21" s="36" t="str">
        <f aca="false">IF(OR(D21="",N(D21)=0),"",P21/D21)</f>
        <v/>
      </c>
      <c r="S21" s="10" t="str">
        <f aca="false">IF(D21="","",P21*N(F21))</f>
        <v/>
      </c>
      <c r="T21" s="10" t="str">
        <f aca="false">IF(D21="","",Q21*N(F21))</f>
        <v/>
      </c>
      <c r="U21" s="6"/>
      <c r="V21" s="83"/>
      <c r="W21" s="15"/>
      <c r="X21" s="15"/>
      <c r="Y21" s="15"/>
      <c r="Z21" s="93"/>
      <c r="AA21" s="93"/>
      <c r="AB21" s="93"/>
      <c r="AC21" s="10" t="str">
        <f aca="false">IF(X21="","",IFERROR(INDEX(t_Hora,MATCH(X21,t_Cargo,0)),0))</f>
        <v/>
      </c>
      <c r="AD21" s="94" t="str">
        <f aca="false">IF(X21="","",N(Z21)*IF(AA21="",IFERROR(INDEX(t_Horas,MATCH(X21,t_Cargo,0)),8),AA21)+N(AB21))</f>
        <v/>
      </c>
      <c r="AE21" s="37" t="str">
        <f aca="false">IF(X21="","",AC21*(N(Z21)*IF(AA21="",IFERROR(INDEX(t_Horas,MATCH(X21,t_Cargo,0)),8),AA21)+N(AB21)*(1+p_Extra)))</f>
        <v/>
      </c>
      <c r="AF21" s="15"/>
    </row>
    <row r="22" customFormat="false" ht="16.5" hidden="false" customHeight="true" outlineLevel="0" collapsed="false">
      <c r="A22" s="23" t="str">
        <f aca="false">IF(PRESUPUESTO!$A16="Ítem",PRESUPUESTO!B16,"")</f>
        <v/>
      </c>
      <c r="B22" s="23" t="str">
        <f aca="false">IF(PRESUPUESTO!C16="","",PRESUPUESTO!C16)</f>
        <v/>
      </c>
      <c r="C22" s="86" t="str">
        <f aca="false">IF(PRESUPUESTO!$A16="Ítem",PRESUPUESTO!D16,"")</f>
        <v/>
      </c>
      <c r="D22" s="87" t="str">
        <f aca="false">IF(PRESUPUESTO!$A16="Ítem",PRESUPUESTO!E16,"")</f>
        <v/>
      </c>
      <c r="E22" s="10" t="str">
        <f aca="false">IF(D22="","",N(PRESUPUESTO!J16))</f>
        <v/>
      </c>
      <c r="F22" s="16"/>
      <c r="G22" s="10" t="str">
        <f aca="false">IF(D22="","",D22*E22)</f>
        <v/>
      </c>
      <c r="H22" s="10" t="str">
        <f aca="false">IF(D22="","",D22*N(F22))</f>
        <v/>
      </c>
      <c r="I22" s="10" t="str">
        <f aca="false">IF(D22="","",G22-H22)</f>
        <v/>
      </c>
      <c r="J22" s="80"/>
      <c r="K22" s="80"/>
      <c r="L22" s="80"/>
      <c r="M22" s="80"/>
      <c r="N22" s="80"/>
      <c r="O22" s="80"/>
      <c r="P22" s="88" t="str">
        <f aca="false">IF(D22="","",SUM(J22:O22))</f>
        <v/>
      </c>
      <c r="Q22" s="87" t="str">
        <f aca="false">IF(D22="","",D22-P22)</f>
        <v/>
      </c>
      <c r="R22" s="36" t="str">
        <f aca="false">IF(OR(D22="",N(D22)=0),"",P22/D22)</f>
        <v/>
      </c>
      <c r="S22" s="10" t="str">
        <f aca="false">IF(D22="","",P22*N(F22))</f>
        <v/>
      </c>
      <c r="T22" s="10" t="str">
        <f aca="false">IF(D22="","",Q22*N(F22))</f>
        <v/>
      </c>
      <c r="U22" s="6"/>
      <c r="V22" s="83"/>
      <c r="W22" s="15"/>
      <c r="X22" s="15"/>
      <c r="Y22" s="15"/>
      <c r="Z22" s="93"/>
      <c r="AA22" s="93"/>
      <c r="AB22" s="93"/>
      <c r="AC22" s="10" t="str">
        <f aca="false">IF(X22="","",IFERROR(INDEX(t_Hora,MATCH(X22,t_Cargo,0)),0))</f>
        <v/>
      </c>
      <c r="AD22" s="94" t="str">
        <f aca="false">IF(X22="","",N(Z22)*IF(AA22="",IFERROR(INDEX(t_Horas,MATCH(X22,t_Cargo,0)),8),AA22)+N(AB22))</f>
        <v/>
      </c>
      <c r="AE22" s="37" t="str">
        <f aca="false">IF(X22="","",AC22*(N(Z22)*IF(AA22="",IFERROR(INDEX(t_Horas,MATCH(X22,t_Cargo,0)),8),AA22)+N(AB22)*(1+p_Extra)))</f>
        <v/>
      </c>
      <c r="AF22" s="15"/>
    </row>
    <row r="23" customFormat="false" ht="16.5" hidden="false" customHeight="true" outlineLevel="0" collapsed="false">
      <c r="A23" s="23" t="str">
        <f aca="false">IF(PRESUPUESTO!$A17="Ítem",PRESUPUESTO!B17,"")</f>
        <v/>
      </c>
      <c r="B23" s="23" t="str">
        <f aca="false">IF(PRESUPUESTO!C17="","",PRESUPUESTO!C17)</f>
        <v/>
      </c>
      <c r="C23" s="86" t="str">
        <f aca="false">IF(PRESUPUESTO!$A17="Ítem",PRESUPUESTO!D17,"")</f>
        <v/>
      </c>
      <c r="D23" s="87" t="str">
        <f aca="false">IF(PRESUPUESTO!$A17="Ítem",PRESUPUESTO!E17,"")</f>
        <v/>
      </c>
      <c r="E23" s="10" t="str">
        <f aca="false">IF(D23="","",N(PRESUPUESTO!J17))</f>
        <v/>
      </c>
      <c r="F23" s="16"/>
      <c r="G23" s="10" t="str">
        <f aca="false">IF(D23="","",D23*E23)</f>
        <v/>
      </c>
      <c r="H23" s="10" t="str">
        <f aca="false">IF(D23="","",D23*N(F23))</f>
        <v/>
      </c>
      <c r="I23" s="10" t="str">
        <f aca="false">IF(D23="","",G23-H23)</f>
        <v/>
      </c>
      <c r="J23" s="80"/>
      <c r="K23" s="80"/>
      <c r="L23" s="80"/>
      <c r="M23" s="80"/>
      <c r="N23" s="80"/>
      <c r="O23" s="80"/>
      <c r="P23" s="88" t="str">
        <f aca="false">IF(D23="","",SUM(J23:O23))</f>
        <v/>
      </c>
      <c r="Q23" s="87" t="str">
        <f aca="false">IF(D23="","",D23-P23)</f>
        <v/>
      </c>
      <c r="R23" s="36" t="str">
        <f aca="false">IF(OR(D23="",N(D23)=0),"",P23/D23)</f>
        <v/>
      </c>
      <c r="S23" s="10" t="str">
        <f aca="false">IF(D23="","",P23*N(F23))</f>
        <v/>
      </c>
      <c r="T23" s="10" t="str">
        <f aca="false">IF(D23="","",Q23*N(F23))</f>
        <v/>
      </c>
      <c r="U23" s="6"/>
      <c r="V23" s="83"/>
      <c r="W23" s="15"/>
      <c r="X23" s="15"/>
      <c r="Y23" s="15"/>
      <c r="Z23" s="93"/>
      <c r="AA23" s="93"/>
      <c r="AB23" s="93"/>
      <c r="AC23" s="10" t="str">
        <f aca="false">IF(X23="","",IFERROR(INDEX(t_Hora,MATCH(X23,t_Cargo,0)),0))</f>
        <v/>
      </c>
      <c r="AD23" s="94" t="str">
        <f aca="false">IF(X23="","",N(Z23)*IF(AA23="",IFERROR(INDEX(t_Horas,MATCH(X23,t_Cargo,0)),8),AA23)+N(AB23))</f>
        <v/>
      </c>
      <c r="AE23" s="37" t="str">
        <f aca="false">IF(X23="","",AC23*(N(Z23)*IF(AA23="",IFERROR(INDEX(t_Horas,MATCH(X23,t_Cargo,0)),8),AA23)+N(AB23)*(1+p_Extra)))</f>
        <v/>
      </c>
      <c r="AF23" s="15"/>
    </row>
    <row r="24" customFormat="false" ht="16.5" hidden="false" customHeight="true" outlineLevel="0" collapsed="false">
      <c r="A24" s="23" t="str">
        <f aca="false">IF(PRESUPUESTO!$A18="Ítem",PRESUPUESTO!B18,"")</f>
        <v/>
      </c>
      <c r="B24" s="23" t="str">
        <f aca="false">IF(PRESUPUESTO!C18="","",PRESUPUESTO!C18)</f>
        <v/>
      </c>
      <c r="C24" s="86" t="str">
        <f aca="false">IF(PRESUPUESTO!$A18="Ítem",PRESUPUESTO!D18,"")</f>
        <v/>
      </c>
      <c r="D24" s="87" t="str">
        <f aca="false">IF(PRESUPUESTO!$A18="Ítem",PRESUPUESTO!E18,"")</f>
        <v/>
      </c>
      <c r="E24" s="10" t="str">
        <f aca="false">IF(D24="","",N(PRESUPUESTO!J18))</f>
        <v/>
      </c>
      <c r="F24" s="16"/>
      <c r="G24" s="10" t="str">
        <f aca="false">IF(D24="","",D24*E24)</f>
        <v/>
      </c>
      <c r="H24" s="10" t="str">
        <f aca="false">IF(D24="","",D24*N(F24))</f>
        <v/>
      </c>
      <c r="I24" s="10" t="str">
        <f aca="false">IF(D24="","",G24-H24)</f>
        <v/>
      </c>
      <c r="J24" s="80"/>
      <c r="K24" s="80"/>
      <c r="L24" s="80"/>
      <c r="M24" s="80"/>
      <c r="N24" s="80"/>
      <c r="O24" s="80"/>
      <c r="P24" s="88" t="str">
        <f aca="false">IF(D24="","",SUM(J24:O24))</f>
        <v/>
      </c>
      <c r="Q24" s="87" t="str">
        <f aca="false">IF(D24="","",D24-P24)</f>
        <v/>
      </c>
      <c r="R24" s="36" t="str">
        <f aca="false">IF(OR(D24="",N(D24)=0),"",P24/D24)</f>
        <v/>
      </c>
      <c r="S24" s="10" t="str">
        <f aca="false">IF(D24="","",P24*N(F24))</f>
        <v/>
      </c>
      <c r="T24" s="10" t="str">
        <f aca="false">IF(D24="","",Q24*N(F24))</f>
        <v/>
      </c>
      <c r="U24" s="6"/>
      <c r="V24" s="83"/>
      <c r="W24" s="15"/>
      <c r="X24" s="15"/>
      <c r="Y24" s="15"/>
      <c r="Z24" s="93"/>
      <c r="AA24" s="93"/>
      <c r="AB24" s="93"/>
      <c r="AC24" s="10" t="str">
        <f aca="false">IF(X24="","",IFERROR(INDEX(t_Hora,MATCH(X24,t_Cargo,0)),0))</f>
        <v/>
      </c>
      <c r="AD24" s="94" t="str">
        <f aca="false">IF(X24="","",N(Z24)*IF(AA24="",IFERROR(INDEX(t_Horas,MATCH(X24,t_Cargo,0)),8),AA24)+N(AB24))</f>
        <v/>
      </c>
      <c r="AE24" s="37" t="str">
        <f aca="false">IF(X24="","",AC24*(N(Z24)*IF(AA24="",IFERROR(INDEX(t_Horas,MATCH(X24,t_Cargo,0)),8),AA24)+N(AB24)*(1+p_Extra)))</f>
        <v/>
      </c>
      <c r="AF24" s="15"/>
    </row>
    <row r="25" customFormat="false" ht="16.5" hidden="false" customHeight="true" outlineLevel="0" collapsed="false">
      <c r="A25" s="23" t="str">
        <f aca="false">IF(PRESUPUESTO!$A19="Ítem",PRESUPUESTO!B19,"")</f>
        <v/>
      </c>
      <c r="B25" s="23" t="str">
        <f aca="false">IF(PRESUPUESTO!C19="","",PRESUPUESTO!C19)</f>
        <v/>
      </c>
      <c r="C25" s="86" t="str">
        <f aca="false">IF(PRESUPUESTO!$A19="Ítem",PRESUPUESTO!D19,"")</f>
        <v/>
      </c>
      <c r="D25" s="87" t="str">
        <f aca="false">IF(PRESUPUESTO!$A19="Ítem",PRESUPUESTO!E19,"")</f>
        <v/>
      </c>
      <c r="E25" s="10" t="str">
        <f aca="false">IF(D25="","",N(PRESUPUESTO!J19))</f>
        <v/>
      </c>
      <c r="F25" s="16"/>
      <c r="G25" s="10" t="str">
        <f aca="false">IF(D25="","",D25*E25)</f>
        <v/>
      </c>
      <c r="H25" s="10" t="str">
        <f aca="false">IF(D25="","",D25*N(F25))</f>
        <v/>
      </c>
      <c r="I25" s="10" t="str">
        <f aca="false">IF(D25="","",G25-H25)</f>
        <v/>
      </c>
      <c r="J25" s="80"/>
      <c r="K25" s="80"/>
      <c r="L25" s="80"/>
      <c r="M25" s="80"/>
      <c r="N25" s="80"/>
      <c r="O25" s="80"/>
      <c r="P25" s="88" t="str">
        <f aca="false">IF(D25="","",SUM(J25:O25))</f>
        <v/>
      </c>
      <c r="Q25" s="87" t="str">
        <f aca="false">IF(D25="","",D25-P25)</f>
        <v/>
      </c>
      <c r="R25" s="36" t="str">
        <f aca="false">IF(OR(D25="",N(D25)=0),"",P25/D25)</f>
        <v/>
      </c>
      <c r="S25" s="10" t="str">
        <f aca="false">IF(D25="","",P25*N(F25))</f>
        <v/>
      </c>
      <c r="T25" s="10" t="str">
        <f aca="false">IF(D25="","",Q25*N(F25))</f>
        <v/>
      </c>
      <c r="U25" s="6"/>
      <c r="V25" s="83"/>
      <c r="W25" s="15"/>
      <c r="X25" s="15"/>
      <c r="Y25" s="15"/>
      <c r="Z25" s="93"/>
      <c r="AA25" s="93"/>
      <c r="AB25" s="93"/>
      <c r="AC25" s="10" t="str">
        <f aca="false">IF(X25="","",IFERROR(INDEX(t_Hora,MATCH(X25,t_Cargo,0)),0))</f>
        <v/>
      </c>
      <c r="AD25" s="94" t="str">
        <f aca="false">IF(X25="","",N(Z25)*IF(AA25="",IFERROR(INDEX(t_Horas,MATCH(X25,t_Cargo,0)),8),AA25)+N(AB25))</f>
        <v/>
      </c>
      <c r="AE25" s="37" t="str">
        <f aca="false">IF(X25="","",AC25*(N(Z25)*IF(AA25="",IFERROR(INDEX(t_Horas,MATCH(X25,t_Cargo,0)),8),AA25)+N(AB25)*(1+p_Extra)))</f>
        <v/>
      </c>
      <c r="AF25" s="15"/>
    </row>
    <row r="26" customFormat="false" ht="16.5" hidden="false" customHeight="true" outlineLevel="0" collapsed="false">
      <c r="A26" s="23" t="str">
        <f aca="false">IF(PRESUPUESTO!$A20="Ítem",PRESUPUESTO!B20,"")</f>
        <v/>
      </c>
      <c r="B26" s="23" t="str">
        <f aca="false">IF(PRESUPUESTO!C20="","",PRESUPUESTO!C20)</f>
        <v/>
      </c>
      <c r="C26" s="86" t="str">
        <f aca="false">IF(PRESUPUESTO!$A20="Ítem",PRESUPUESTO!D20,"")</f>
        <v/>
      </c>
      <c r="D26" s="87" t="str">
        <f aca="false">IF(PRESUPUESTO!$A20="Ítem",PRESUPUESTO!E20,"")</f>
        <v/>
      </c>
      <c r="E26" s="10" t="str">
        <f aca="false">IF(D26="","",N(PRESUPUESTO!J20))</f>
        <v/>
      </c>
      <c r="F26" s="16"/>
      <c r="G26" s="10" t="str">
        <f aca="false">IF(D26="","",D26*E26)</f>
        <v/>
      </c>
      <c r="H26" s="10" t="str">
        <f aca="false">IF(D26="","",D26*N(F26))</f>
        <v/>
      </c>
      <c r="I26" s="10" t="str">
        <f aca="false">IF(D26="","",G26-H26)</f>
        <v/>
      </c>
      <c r="J26" s="80"/>
      <c r="K26" s="80"/>
      <c r="L26" s="80"/>
      <c r="M26" s="80"/>
      <c r="N26" s="80"/>
      <c r="O26" s="80"/>
      <c r="P26" s="88" t="str">
        <f aca="false">IF(D26="","",SUM(J26:O26))</f>
        <v/>
      </c>
      <c r="Q26" s="87" t="str">
        <f aca="false">IF(D26="","",D26-P26)</f>
        <v/>
      </c>
      <c r="R26" s="36" t="str">
        <f aca="false">IF(OR(D26="",N(D26)=0),"",P26/D26)</f>
        <v/>
      </c>
      <c r="S26" s="10" t="str">
        <f aca="false">IF(D26="","",P26*N(F26))</f>
        <v/>
      </c>
      <c r="T26" s="10" t="str">
        <f aca="false">IF(D26="","",Q26*N(F26))</f>
        <v/>
      </c>
      <c r="U26" s="6"/>
      <c r="V26" s="83"/>
      <c r="W26" s="15"/>
      <c r="X26" s="15"/>
      <c r="Y26" s="15"/>
      <c r="Z26" s="93"/>
      <c r="AA26" s="93"/>
      <c r="AB26" s="93"/>
      <c r="AC26" s="10" t="str">
        <f aca="false">IF(X26="","",IFERROR(INDEX(t_Hora,MATCH(X26,t_Cargo,0)),0))</f>
        <v/>
      </c>
      <c r="AD26" s="94" t="str">
        <f aca="false">IF(X26="","",N(Z26)*IF(AA26="",IFERROR(INDEX(t_Horas,MATCH(X26,t_Cargo,0)),8),AA26)+N(AB26))</f>
        <v/>
      </c>
      <c r="AE26" s="37" t="str">
        <f aca="false">IF(X26="","",AC26*(N(Z26)*IF(AA26="",IFERROR(INDEX(t_Horas,MATCH(X26,t_Cargo,0)),8),AA26)+N(AB26)*(1+p_Extra)))</f>
        <v/>
      </c>
      <c r="AF26" s="15"/>
    </row>
    <row r="27" customFormat="false" ht="16.5" hidden="false" customHeight="true" outlineLevel="0" collapsed="false">
      <c r="A27" s="23" t="str">
        <f aca="false">IF(PRESUPUESTO!$A21="Ítem",PRESUPUESTO!B21,"")</f>
        <v/>
      </c>
      <c r="B27" s="23" t="str">
        <f aca="false">IF(PRESUPUESTO!C21="","",PRESUPUESTO!C21)</f>
        <v/>
      </c>
      <c r="C27" s="86" t="str">
        <f aca="false">IF(PRESUPUESTO!$A21="Ítem",PRESUPUESTO!D21,"")</f>
        <v/>
      </c>
      <c r="D27" s="87" t="str">
        <f aca="false">IF(PRESUPUESTO!$A21="Ítem",PRESUPUESTO!E21,"")</f>
        <v/>
      </c>
      <c r="E27" s="10" t="str">
        <f aca="false">IF(D27="","",N(PRESUPUESTO!J21))</f>
        <v/>
      </c>
      <c r="F27" s="16"/>
      <c r="G27" s="10" t="str">
        <f aca="false">IF(D27="","",D27*E27)</f>
        <v/>
      </c>
      <c r="H27" s="10" t="str">
        <f aca="false">IF(D27="","",D27*N(F27))</f>
        <v/>
      </c>
      <c r="I27" s="10" t="str">
        <f aca="false">IF(D27="","",G27-H27)</f>
        <v/>
      </c>
      <c r="J27" s="80"/>
      <c r="K27" s="80"/>
      <c r="L27" s="80"/>
      <c r="M27" s="80"/>
      <c r="N27" s="80"/>
      <c r="O27" s="80"/>
      <c r="P27" s="88" t="str">
        <f aca="false">IF(D27="","",SUM(J27:O27))</f>
        <v/>
      </c>
      <c r="Q27" s="87" t="str">
        <f aca="false">IF(D27="","",D27-P27)</f>
        <v/>
      </c>
      <c r="R27" s="36" t="str">
        <f aca="false">IF(OR(D27="",N(D27)=0),"",P27/D27)</f>
        <v/>
      </c>
      <c r="S27" s="10" t="str">
        <f aca="false">IF(D27="","",P27*N(F27))</f>
        <v/>
      </c>
      <c r="T27" s="10" t="str">
        <f aca="false">IF(D27="","",Q27*N(F27))</f>
        <v/>
      </c>
      <c r="U27" s="6"/>
      <c r="V27" s="83"/>
      <c r="W27" s="15"/>
      <c r="X27" s="15"/>
      <c r="Y27" s="15"/>
      <c r="Z27" s="93"/>
      <c r="AA27" s="93"/>
      <c r="AB27" s="93"/>
      <c r="AC27" s="10" t="str">
        <f aca="false">IF(X27="","",IFERROR(INDEX(t_Hora,MATCH(X27,t_Cargo,0)),0))</f>
        <v/>
      </c>
      <c r="AD27" s="94" t="str">
        <f aca="false">IF(X27="","",N(Z27)*IF(AA27="",IFERROR(INDEX(t_Horas,MATCH(X27,t_Cargo,0)),8),AA27)+N(AB27))</f>
        <v/>
      </c>
      <c r="AE27" s="37" t="str">
        <f aca="false">IF(X27="","",AC27*(N(Z27)*IF(AA27="",IFERROR(INDEX(t_Horas,MATCH(X27,t_Cargo,0)),8),AA27)+N(AB27)*(1+p_Extra)))</f>
        <v/>
      </c>
      <c r="AF27" s="15"/>
    </row>
    <row r="28" customFormat="false" ht="16.5" hidden="false" customHeight="true" outlineLevel="0" collapsed="false">
      <c r="A28" s="23" t="str">
        <f aca="false">IF(PRESUPUESTO!$A22="Ítem",PRESUPUESTO!B22,"")</f>
        <v/>
      </c>
      <c r="B28" s="23" t="str">
        <f aca="false">IF(PRESUPUESTO!C22="","",PRESUPUESTO!C22)</f>
        <v/>
      </c>
      <c r="C28" s="86" t="str">
        <f aca="false">IF(PRESUPUESTO!$A22="Ítem",PRESUPUESTO!D22,"")</f>
        <v/>
      </c>
      <c r="D28" s="87" t="str">
        <f aca="false">IF(PRESUPUESTO!$A22="Ítem",PRESUPUESTO!E22,"")</f>
        <v/>
      </c>
      <c r="E28" s="10" t="str">
        <f aca="false">IF(D28="","",N(PRESUPUESTO!J22))</f>
        <v/>
      </c>
      <c r="F28" s="16"/>
      <c r="G28" s="10" t="str">
        <f aca="false">IF(D28="","",D28*E28)</f>
        <v/>
      </c>
      <c r="H28" s="10" t="str">
        <f aca="false">IF(D28="","",D28*N(F28))</f>
        <v/>
      </c>
      <c r="I28" s="10" t="str">
        <f aca="false">IF(D28="","",G28-H28)</f>
        <v/>
      </c>
      <c r="J28" s="80"/>
      <c r="K28" s="80"/>
      <c r="L28" s="80"/>
      <c r="M28" s="80"/>
      <c r="N28" s="80"/>
      <c r="O28" s="80"/>
      <c r="P28" s="88" t="str">
        <f aca="false">IF(D28="","",SUM(J28:O28))</f>
        <v/>
      </c>
      <c r="Q28" s="87" t="str">
        <f aca="false">IF(D28="","",D28-P28)</f>
        <v/>
      </c>
      <c r="R28" s="36" t="str">
        <f aca="false">IF(OR(D28="",N(D28)=0),"",P28/D28)</f>
        <v/>
      </c>
      <c r="S28" s="10" t="str">
        <f aca="false">IF(D28="","",P28*N(F28))</f>
        <v/>
      </c>
      <c r="T28" s="10" t="str">
        <f aca="false">IF(D28="","",Q28*N(F28))</f>
        <v/>
      </c>
      <c r="U28" s="6"/>
      <c r="V28" s="83"/>
      <c r="W28" s="15"/>
      <c r="X28" s="15"/>
      <c r="Y28" s="15"/>
      <c r="Z28" s="93"/>
      <c r="AA28" s="93"/>
      <c r="AB28" s="93"/>
      <c r="AC28" s="10" t="str">
        <f aca="false">IF(X28="","",IFERROR(INDEX(t_Hora,MATCH(X28,t_Cargo,0)),0))</f>
        <v/>
      </c>
      <c r="AD28" s="94" t="str">
        <f aca="false">IF(X28="","",N(Z28)*IF(AA28="",IFERROR(INDEX(t_Horas,MATCH(X28,t_Cargo,0)),8),AA28)+N(AB28))</f>
        <v/>
      </c>
      <c r="AE28" s="37" t="str">
        <f aca="false">IF(X28="","",AC28*(N(Z28)*IF(AA28="",IFERROR(INDEX(t_Horas,MATCH(X28,t_Cargo,0)),8),AA28)+N(AB28)*(1+p_Extra)))</f>
        <v/>
      </c>
      <c r="AF28" s="15"/>
    </row>
    <row r="29" customFormat="false" ht="16.5" hidden="false" customHeight="true" outlineLevel="0" collapsed="false">
      <c r="A29" s="23" t="str">
        <f aca="false">IF(PRESUPUESTO!$A23="Ítem",PRESUPUESTO!B23,"")</f>
        <v/>
      </c>
      <c r="B29" s="23" t="str">
        <f aca="false">IF(PRESUPUESTO!C23="","",PRESUPUESTO!C23)</f>
        <v/>
      </c>
      <c r="C29" s="86" t="str">
        <f aca="false">IF(PRESUPUESTO!$A23="Ítem",PRESUPUESTO!D23,"")</f>
        <v/>
      </c>
      <c r="D29" s="87" t="str">
        <f aca="false">IF(PRESUPUESTO!$A23="Ítem",PRESUPUESTO!E23,"")</f>
        <v/>
      </c>
      <c r="E29" s="10" t="str">
        <f aca="false">IF(D29="","",N(PRESUPUESTO!J23))</f>
        <v/>
      </c>
      <c r="F29" s="16"/>
      <c r="G29" s="10" t="str">
        <f aca="false">IF(D29="","",D29*E29)</f>
        <v/>
      </c>
      <c r="H29" s="10" t="str">
        <f aca="false">IF(D29="","",D29*N(F29))</f>
        <v/>
      </c>
      <c r="I29" s="10" t="str">
        <f aca="false">IF(D29="","",G29-H29)</f>
        <v/>
      </c>
      <c r="J29" s="80"/>
      <c r="K29" s="80"/>
      <c r="L29" s="80"/>
      <c r="M29" s="80"/>
      <c r="N29" s="80"/>
      <c r="O29" s="80"/>
      <c r="P29" s="88" t="str">
        <f aca="false">IF(D29="","",SUM(J29:O29))</f>
        <v/>
      </c>
      <c r="Q29" s="87" t="str">
        <f aca="false">IF(D29="","",D29-P29)</f>
        <v/>
      </c>
      <c r="R29" s="36" t="str">
        <f aca="false">IF(OR(D29="",N(D29)=0),"",P29/D29)</f>
        <v/>
      </c>
      <c r="S29" s="10" t="str">
        <f aca="false">IF(D29="","",P29*N(F29))</f>
        <v/>
      </c>
      <c r="T29" s="10" t="str">
        <f aca="false">IF(D29="","",Q29*N(F29))</f>
        <v/>
      </c>
      <c r="U29" s="6"/>
      <c r="V29" s="83"/>
      <c r="W29" s="15"/>
      <c r="X29" s="15"/>
      <c r="Y29" s="15"/>
      <c r="Z29" s="93"/>
      <c r="AA29" s="93"/>
      <c r="AB29" s="93"/>
      <c r="AC29" s="10" t="str">
        <f aca="false">IF(X29="","",IFERROR(INDEX(t_Hora,MATCH(X29,t_Cargo,0)),0))</f>
        <v/>
      </c>
      <c r="AD29" s="94" t="str">
        <f aca="false">IF(X29="","",N(Z29)*IF(AA29="",IFERROR(INDEX(t_Horas,MATCH(X29,t_Cargo,0)),8),AA29)+N(AB29))</f>
        <v/>
      </c>
      <c r="AE29" s="37" t="str">
        <f aca="false">IF(X29="","",AC29*(N(Z29)*IF(AA29="",IFERROR(INDEX(t_Horas,MATCH(X29,t_Cargo,0)),8),AA29)+N(AB29)*(1+p_Extra)))</f>
        <v/>
      </c>
      <c r="AF29" s="15"/>
    </row>
    <row r="30" customFormat="false" ht="16.5" hidden="false" customHeight="true" outlineLevel="0" collapsed="false">
      <c r="A30" s="23" t="str">
        <f aca="false">IF(PRESUPUESTO!$A24="Ítem",PRESUPUESTO!B24,"")</f>
        <v/>
      </c>
      <c r="B30" s="23" t="str">
        <f aca="false">IF(PRESUPUESTO!C24="","",PRESUPUESTO!C24)</f>
        <v/>
      </c>
      <c r="C30" s="86" t="str">
        <f aca="false">IF(PRESUPUESTO!$A24="Ítem",PRESUPUESTO!D24,"")</f>
        <v/>
      </c>
      <c r="D30" s="87" t="str">
        <f aca="false">IF(PRESUPUESTO!$A24="Ítem",PRESUPUESTO!E24,"")</f>
        <v/>
      </c>
      <c r="E30" s="10" t="str">
        <f aca="false">IF(D30="","",N(PRESUPUESTO!J24))</f>
        <v/>
      </c>
      <c r="F30" s="16"/>
      <c r="G30" s="10" t="str">
        <f aca="false">IF(D30="","",D30*E30)</f>
        <v/>
      </c>
      <c r="H30" s="10" t="str">
        <f aca="false">IF(D30="","",D30*N(F30))</f>
        <v/>
      </c>
      <c r="I30" s="10" t="str">
        <f aca="false">IF(D30="","",G30-H30)</f>
        <v/>
      </c>
      <c r="J30" s="80"/>
      <c r="K30" s="80"/>
      <c r="L30" s="80"/>
      <c r="M30" s="80"/>
      <c r="N30" s="80"/>
      <c r="O30" s="80"/>
      <c r="P30" s="88" t="str">
        <f aca="false">IF(D30="","",SUM(J30:O30))</f>
        <v/>
      </c>
      <c r="Q30" s="87" t="str">
        <f aca="false">IF(D30="","",D30-P30)</f>
        <v/>
      </c>
      <c r="R30" s="36" t="str">
        <f aca="false">IF(OR(D30="",N(D30)=0),"",P30/D30)</f>
        <v/>
      </c>
      <c r="S30" s="10" t="str">
        <f aca="false">IF(D30="","",P30*N(F30))</f>
        <v/>
      </c>
      <c r="T30" s="10" t="str">
        <f aca="false">IF(D30="","",Q30*N(F30))</f>
        <v/>
      </c>
      <c r="U30" s="6"/>
      <c r="V30" s="83"/>
      <c r="W30" s="15"/>
      <c r="X30" s="15"/>
      <c r="Y30" s="15"/>
      <c r="Z30" s="93"/>
      <c r="AA30" s="93"/>
      <c r="AB30" s="93"/>
      <c r="AC30" s="10" t="str">
        <f aca="false">IF(X30="","",IFERROR(INDEX(t_Hora,MATCH(X30,t_Cargo,0)),0))</f>
        <v/>
      </c>
      <c r="AD30" s="94" t="str">
        <f aca="false">IF(X30="","",N(Z30)*IF(AA30="",IFERROR(INDEX(t_Horas,MATCH(X30,t_Cargo,0)),8),AA30)+N(AB30))</f>
        <v/>
      </c>
      <c r="AE30" s="37" t="str">
        <f aca="false">IF(X30="","",AC30*(N(Z30)*IF(AA30="",IFERROR(INDEX(t_Horas,MATCH(X30,t_Cargo,0)),8),AA30)+N(AB30)*(1+p_Extra)))</f>
        <v/>
      </c>
      <c r="AF30" s="15"/>
    </row>
    <row r="31" customFormat="false" ht="16.5" hidden="false" customHeight="true" outlineLevel="0" collapsed="false">
      <c r="A31" s="23" t="str">
        <f aca="false">IF(PRESUPUESTO!$A25="Ítem",PRESUPUESTO!B25,"")</f>
        <v/>
      </c>
      <c r="B31" s="23" t="str">
        <f aca="false">IF(PRESUPUESTO!C25="","",PRESUPUESTO!C25)</f>
        <v/>
      </c>
      <c r="C31" s="86" t="str">
        <f aca="false">IF(PRESUPUESTO!$A25="Ítem",PRESUPUESTO!D25,"")</f>
        <v/>
      </c>
      <c r="D31" s="87" t="str">
        <f aca="false">IF(PRESUPUESTO!$A25="Ítem",PRESUPUESTO!E25,"")</f>
        <v/>
      </c>
      <c r="E31" s="10" t="str">
        <f aca="false">IF(D31="","",N(PRESUPUESTO!J25))</f>
        <v/>
      </c>
      <c r="F31" s="16"/>
      <c r="G31" s="10" t="str">
        <f aca="false">IF(D31="","",D31*E31)</f>
        <v/>
      </c>
      <c r="H31" s="10" t="str">
        <f aca="false">IF(D31="","",D31*N(F31))</f>
        <v/>
      </c>
      <c r="I31" s="10" t="str">
        <f aca="false">IF(D31="","",G31-H31)</f>
        <v/>
      </c>
      <c r="J31" s="80"/>
      <c r="K31" s="80"/>
      <c r="L31" s="80"/>
      <c r="M31" s="80"/>
      <c r="N31" s="80"/>
      <c r="O31" s="80"/>
      <c r="P31" s="88" t="str">
        <f aca="false">IF(D31="","",SUM(J31:O31))</f>
        <v/>
      </c>
      <c r="Q31" s="87" t="str">
        <f aca="false">IF(D31="","",D31-P31)</f>
        <v/>
      </c>
      <c r="R31" s="36" t="str">
        <f aca="false">IF(OR(D31="",N(D31)=0),"",P31/D31)</f>
        <v/>
      </c>
      <c r="S31" s="10" t="str">
        <f aca="false">IF(D31="","",P31*N(F31))</f>
        <v/>
      </c>
      <c r="T31" s="10" t="str">
        <f aca="false">IF(D31="","",Q31*N(F31))</f>
        <v/>
      </c>
      <c r="U31" s="6"/>
      <c r="V31" s="83"/>
      <c r="W31" s="15"/>
      <c r="X31" s="15"/>
      <c r="Y31" s="15"/>
      <c r="Z31" s="93"/>
      <c r="AA31" s="93"/>
      <c r="AB31" s="93"/>
      <c r="AC31" s="10" t="str">
        <f aca="false">IF(X31="","",IFERROR(INDEX(t_Hora,MATCH(X31,t_Cargo,0)),0))</f>
        <v/>
      </c>
      <c r="AD31" s="94" t="str">
        <f aca="false">IF(X31="","",N(Z31)*IF(AA31="",IFERROR(INDEX(t_Horas,MATCH(X31,t_Cargo,0)),8),AA31)+N(AB31))</f>
        <v/>
      </c>
      <c r="AE31" s="37" t="str">
        <f aca="false">IF(X31="","",AC31*(N(Z31)*IF(AA31="",IFERROR(INDEX(t_Horas,MATCH(X31,t_Cargo,0)),8),AA31)+N(AB31)*(1+p_Extra)))</f>
        <v/>
      </c>
      <c r="AF31" s="15"/>
    </row>
    <row r="32" customFormat="false" ht="16.5" hidden="false" customHeight="true" outlineLevel="0" collapsed="false">
      <c r="A32" s="23" t="str">
        <f aca="false">IF(PRESUPUESTO!$A26="Ítem",PRESUPUESTO!B26,"")</f>
        <v/>
      </c>
      <c r="B32" s="23" t="str">
        <f aca="false">IF(PRESUPUESTO!C26="","",PRESUPUESTO!C26)</f>
        <v/>
      </c>
      <c r="C32" s="86" t="str">
        <f aca="false">IF(PRESUPUESTO!$A26="Ítem",PRESUPUESTO!D26,"")</f>
        <v/>
      </c>
      <c r="D32" s="87" t="str">
        <f aca="false">IF(PRESUPUESTO!$A26="Ítem",PRESUPUESTO!E26,"")</f>
        <v/>
      </c>
      <c r="E32" s="10" t="str">
        <f aca="false">IF(D32="","",N(PRESUPUESTO!J26))</f>
        <v/>
      </c>
      <c r="F32" s="16"/>
      <c r="G32" s="10" t="str">
        <f aca="false">IF(D32="","",D32*E32)</f>
        <v/>
      </c>
      <c r="H32" s="10" t="str">
        <f aca="false">IF(D32="","",D32*N(F32))</f>
        <v/>
      </c>
      <c r="I32" s="10" t="str">
        <f aca="false">IF(D32="","",G32-H32)</f>
        <v/>
      </c>
      <c r="J32" s="80"/>
      <c r="K32" s="80"/>
      <c r="L32" s="80"/>
      <c r="M32" s="80"/>
      <c r="N32" s="80"/>
      <c r="O32" s="80"/>
      <c r="P32" s="88" t="str">
        <f aca="false">IF(D32="","",SUM(J32:O32))</f>
        <v/>
      </c>
      <c r="Q32" s="87" t="str">
        <f aca="false">IF(D32="","",D32-P32)</f>
        <v/>
      </c>
      <c r="R32" s="36" t="str">
        <f aca="false">IF(OR(D32="",N(D32)=0),"",P32/D32)</f>
        <v/>
      </c>
      <c r="S32" s="10" t="str">
        <f aca="false">IF(D32="","",P32*N(F32))</f>
        <v/>
      </c>
      <c r="T32" s="10" t="str">
        <f aca="false">IF(D32="","",Q32*N(F32))</f>
        <v/>
      </c>
      <c r="U32" s="6"/>
      <c r="V32" s="83"/>
      <c r="W32" s="15"/>
      <c r="X32" s="15"/>
      <c r="Y32" s="15"/>
      <c r="Z32" s="93"/>
      <c r="AA32" s="93"/>
      <c r="AB32" s="93"/>
      <c r="AC32" s="10" t="str">
        <f aca="false">IF(X32="","",IFERROR(INDEX(t_Hora,MATCH(X32,t_Cargo,0)),0))</f>
        <v/>
      </c>
      <c r="AD32" s="94" t="str">
        <f aca="false">IF(X32="","",N(Z32)*IF(AA32="",IFERROR(INDEX(t_Horas,MATCH(X32,t_Cargo,0)),8),AA32)+N(AB32))</f>
        <v/>
      </c>
      <c r="AE32" s="37" t="str">
        <f aca="false">IF(X32="","",AC32*(N(Z32)*IF(AA32="",IFERROR(INDEX(t_Horas,MATCH(X32,t_Cargo,0)),8),AA32)+N(AB32)*(1+p_Extra)))</f>
        <v/>
      </c>
      <c r="AF32" s="15"/>
    </row>
    <row r="33" customFormat="false" ht="16.5" hidden="false" customHeight="true" outlineLevel="0" collapsed="false">
      <c r="A33" s="23" t="str">
        <f aca="false">IF(PRESUPUESTO!$A27="Ítem",PRESUPUESTO!B27,"")</f>
        <v/>
      </c>
      <c r="B33" s="23" t="str">
        <f aca="false">IF(PRESUPUESTO!C27="","",PRESUPUESTO!C27)</f>
        <v/>
      </c>
      <c r="C33" s="86" t="str">
        <f aca="false">IF(PRESUPUESTO!$A27="Ítem",PRESUPUESTO!D27,"")</f>
        <v/>
      </c>
      <c r="D33" s="87" t="str">
        <f aca="false">IF(PRESUPUESTO!$A27="Ítem",PRESUPUESTO!E27,"")</f>
        <v/>
      </c>
      <c r="E33" s="10" t="str">
        <f aca="false">IF(D33="","",N(PRESUPUESTO!J27))</f>
        <v/>
      </c>
      <c r="F33" s="16"/>
      <c r="G33" s="10" t="str">
        <f aca="false">IF(D33="","",D33*E33)</f>
        <v/>
      </c>
      <c r="H33" s="10" t="str">
        <f aca="false">IF(D33="","",D33*N(F33))</f>
        <v/>
      </c>
      <c r="I33" s="10" t="str">
        <f aca="false">IF(D33="","",G33-H33)</f>
        <v/>
      </c>
      <c r="J33" s="80"/>
      <c r="K33" s="80"/>
      <c r="L33" s="80"/>
      <c r="M33" s="80"/>
      <c r="N33" s="80"/>
      <c r="O33" s="80"/>
      <c r="P33" s="88" t="str">
        <f aca="false">IF(D33="","",SUM(J33:O33))</f>
        <v/>
      </c>
      <c r="Q33" s="87" t="str">
        <f aca="false">IF(D33="","",D33-P33)</f>
        <v/>
      </c>
      <c r="R33" s="36" t="str">
        <f aca="false">IF(OR(D33="",N(D33)=0),"",P33/D33)</f>
        <v/>
      </c>
      <c r="S33" s="10" t="str">
        <f aca="false">IF(D33="","",P33*N(F33))</f>
        <v/>
      </c>
      <c r="T33" s="10" t="str">
        <f aca="false">IF(D33="","",Q33*N(F33))</f>
        <v/>
      </c>
      <c r="U33" s="6"/>
      <c r="V33" s="83"/>
      <c r="W33" s="15"/>
      <c r="X33" s="15"/>
      <c r="Y33" s="15"/>
      <c r="Z33" s="93"/>
      <c r="AA33" s="93"/>
      <c r="AB33" s="93"/>
      <c r="AC33" s="10" t="str">
        <f aca="false">IF(X33="","",IFERROR(INDEX(t_Hora,MATCH(X33,t_Cargo,0)),0))</f>
        <v/>
      </c>
      <c r="AD33" s="94" t="str">
        <f aca="false">IF(X33="","",N(Z33)*IF(AA33="",IFERROR(INDEX(t_Horas,MATCH(X33,t_Cargo,0)),8),AA33)+N(AB33))</f>
        <v/>
      </c>
      <c r="AE33" s="37" t="str">
        <f aca="false">IF(X33="","",AC33*(N(Z33)*IF(AA33="",IFERROR(INDEX(t_Horas,MATCH(X33,t_Cargo,0)),8),AA33)+N(AB33)*(1+p_Extra)))</f>
        <v/>
      </c>
      <c r="AF33" s="15"/>
    </row>
    <row r="34" customFormat="false" ht="16.5" hidden="false" customHeight="true" outlineLevel="0" collapsed="false">
      <c r="A34" s="23" t="str">
        <f aca="false">IF(PRESUPUESTO!$A28="Ítem",PRESUPUESTO!B28,"")</f>
        <v/>
      </c>
      <c r="B34" s="23" t="str">
        <f aca="false">IF(PRESUPUESTO!C28="","",PRESUPUESTO!C28)</f>
        <v/>
      </c>
      <c r="C34" s="86" t="str">
        <f aca="false">IF(PRESUPUESTO!$A28="Ítem",PRESUPUESTO!D28,"")</f>
        <v/>
      </c>
      <c r="D34" s="87" t="str">
        <f aca="false">IF(PRESUPUESTO!$A28="Ítem",PRESUPUESTO!E28,"")</f>
        <v/>
      </c>
      <c r="E34" s="10" t="str">
        <f aca="false">IF(D34="","",N(PRESUPUESTO!J28))</f>
        <v/>
      </c>
      <c r="F34" s="16"/>
      <c r="G34" s="10" t="str">
        <f aca="false">IF(D34="","",D34*E34)</f>
        <v/>
      </c>
      <c r="H34" s="10" t="str">
        <f aca="false">IF(D34="","",D34*N(F34))</f>
        <v/>
      </c>
      <c r="I34" s="10" t="str">
        <f aca="false">IF(D34="","",G34-H34)</f>
        <v/>
      </c>
      <c r="J34" s="80"/>
      <c r="K34" s="80"/>
      <c r="L34" s="80"/>
      <c r="M34" s="80"/>
      <c r="N34" s="80"/>
      <c r="O34" s="80"/>
      <c r="P34" s="88" t="str">
        <f aca="false">IF(D34="","",SUM(J34:O34))</f>
        <v/>
      </c>
      <c r="Q34" s="87" t="str">
        <f aca="false">IF(D34="","",D34-P34)</f>
        <v/>
      </c>
      <c r="R34" s="36" t="str">
        <f aca="false">IF(OR(D34="",N(D34)=0),"",P34/D34)</f>
        <v/>
      </c>
      <c r="S34" s="10" t="str">
        <f aca="false">IF(D34="","",P34*N(F34))</f>
        <v/>
      </c>
      <c r="T34" s="10" t="str">
        <f aca="false">IF(D34="","",Q34*N(F34))</f>
        <v/>
      </c>
      <c r="U34" s="6"/>
      <c r="V34" s="83"/>
      <c r="W34" s="15"/>
      <c r="X34" s="15"/>
      <c r="Y34" s="15"/>
      <c r="Z34" s="93"/>
      <c r="AA34" s="93"/>
      <c r="AB34" s="93"/>
      <c r="AC34" s="10" t="str">
        <f aca="false">IF(X34="","",IFERROR(INDEX(t_Hora,MATCH(X34,t_Cargo,0)),0))</f>
        <v/>
      </c>
      <c r="AD34" s="94" t="str">
        <f aca="false">IF(X34="","",N(Z34)*IF(AA34="",IFERROR(INDEX(t_Horas,MATCH(X34,t_Cargo,0)),8),AA34)+N(AB34))</f>
        <v/>
      </c>
      <c r="AE34" s="37" t="str">
        <f aca="false">IF(X34="","",AC34*(N(Z34)*IF(AA34="",IFERROR(INDEX(t_Horas,MATCH(X34,t_Cargo,0)),8),AA34)+N(AB34)*(1+p_Extra)))</f>
        <v/>
      </c>
      <c r="AF34" s="15"/>
    </row>
    <row r="35" customFormat="false" ht="16.5" hidden="false" customHeight="true" outlineLevel="0" collapsed="false">
      <c r="A35" s="23" t="str">
        <f aca="false">IF(PRESUPUESTO!$A29="Ítem",PRESUPUESTO!B29,"")</f>
        <v/>
      </c>
      <c r="B35" s="23" t="str">
        <f aca="false">IF(PRESUPUESTO!C29="","",PRESUPUESTO!C29)</f>
        <v/>
      </c>
      <c r="C35" s="86" t="str">
        <f aca="false">IF(PRESUPUESTO!$A29="Ítem",PRESUPUESTO!D29,"")</f>
        <v/>
      </c>
      <c r="D35" s="87" t="str">
        <f aca="false">IF(PRESUPUESTO!$A29="Ítem",PRESUPUESTO!E29,"")</f>
        <v/>
      </c>
      <c r="E35" s="10" t="str">
        <f aca="false">IF(D35="","",N(PRESUPUESTO!J29))</f>
        <v/>
      </c>
      <c r="F35" s="16"/>
      <c r="G35" s="10" t="str">
        <f aca="false">IF(D35="","",D35*E35)</f>
        <v/>
      </c>
      <c r="H35" s="10" t="str">
        <f aca="false">IF(D35="","",D35*N(F35))</f>
        <v/>
      </c>
      <c r="I35" s="10" t="str">
        <f aca="false">IF(D35="","",G35-H35)</f>
        <v/>
      </c>
      <c r="J35" s="80"/>
      <c r="K35" s="80"/>
      <c r="L35" s="80"/>
      <c r="M35" s="80"/>
      <c r="N35" s="80"/>
      <c r="O35" s="80"/>
      <c r="P35" s="88" t="str">
        <f aca="false">IF(D35="","",SUM(J35:O35))</f>
        <v/>
      </c>
      <c r="Q35" s="87" t="str">
        <f aca="false">IF(D35="","",D35-P35)</f>
        <v/>
      </c>
      <c r="R35" s="36" t="str">
        <f aca="false">IF(OR(D35="",N(D35)=0),"",P35/D35)</f>
        <v/>
      </c>
      <c r="S35" s="10" t="str">
        <f aca="false">IF(D35="","",P35*N(F35))</f>
        <v/>
      </c>
      <c r="T35" s="10" t="str">
        <f aca="false">IF(D35="","",Q35*N(F35))</f>
        <v/>
      </c>
      <c r="U35" s="6"/>
      <c r="V35" s="83"/>
      <c r="W35" s="15"/>
      <c r="X35" s="15"/>
      <c r="Y35" s="15"/>
      <c r="Z35" s="93"/>
      <c r="AA35" s="93"/>
      <c r="AB35" s="93"/>
      <c r="AC35" s="10" t="str">
        <f aca="false">IF(X35="","",IFERROR(INDEX(t_Hora,MATCH(X35,t_Cargo,0)),0))</f>
        <v/>
      </c>
      <c r="AD35" s="94" t="str">
        <f aca="false">IF(X35="","",N(Z35)*IF(AA35="",IFERROR(INDEX(t_Horas,MATCH(X35,t_Cargo,0)),8),AA35)+N(AB35))</f>
        <v/>
      </c>
      <c r="AE35" s="37" t="str">
        <f aca="false">IF(X35="","",AC35*(N(Z35)*IF(AA35="",IFERROR(INDEX(t_Horas,MATCH(X35,t_Cargo,0)),8),AA35)+N(AB35)*(1+p_Extra)))</f>
        <v/>
      </c>
      <c r="AF35" s="15"/>
    </row>
    <row r="36" customFormat="false" ht="16.5" hidden="false" customHeight="true" outlineLevel="0" collapsed="false">
      <c r="A36" s="23" t="str">
        <f aca="false">IF(PRESUPUESTO!$A30="Ítem",PRESUPUESTO!B30,"")</f>
        <v/>
      </c>
      <c r="B36" s="23" t="str">
        <f aca="false">IF(PRESUPUESTO!C30="","",PRESUPUESTO!C30)</f>
        <v/>
      </c>
      <c r="C36" s="86" t="str">
        <f aca="false">IF(PRESUPUESTO!$A30="Ítem",PRESUPUESTO!D30,"")</f>
        <v/>
      </c>
      <c r="D36" s="87" t="str">
        <f aca="false">IF(PRESUPUESTO!$A30="Ítem",PRESUPUESTO!E30,"")</f>
        <v/>
      </c>
      <c r="E36" s="10" t="str">
        <f aca="false">IF(D36="","",N(PRESUPUESTO!J30))</f>
        <v/>
      </c>
      <c r="F36" s="16"/>
      <c r="G36" s="10" t="str">
        <f aca="false">IF(D36="","",D36*E36)</f>
        <v/>
      </c>
      <c r="H36" s="10" t="str">
        <f aca="false">IF(D36="","",D36*N(F36))</f>
        <v/>
      </c>
      <c r="I36" s="10" t="str">
        <f aca="false">IF(D36="","",G36-H36)</f>
        <v/>
      </c>
      <c r="J36" s="80"/>
      <c r="K36" s="80"/>
      <c r="L36" s="80"/>
      <c r="M36" s="80"/>
      <c r="N36" s="80"/>
      <c r="O36" s="80"/>
      <c r="P36" s="88" t="str">
        <f aca="false">IF(D36="","",SUM(J36:O36))</f>
        <v/>
      </c>
      <c r="Q36" s="87" t="str">
        <f aca="false">IF(D36="","",D36-P36)</f>
        <v/>
      </c>
      <c r="R36" s="36" t="str">
        <f aca="false">IF(OR(D36="",N(D36)=0),"",P36/D36)</f>
        <v/>
      </c>
      <c r="S36" s="10" t="str">
        <f aca="false">IF(D36="","",P36*N(F36))</f>
        <v/>
      </c>
      <c r="T36" s="10" t="str">
        <f aca="false">IF(D36="","",Q36*N(F36))</f>
        <v/>
      </c>
      <c r="U36" s="6"/>
      <c r="V36" s="83"/>
      <c r="W36" s="15"/>
      <c r="X36" s="15"/>
      <c r="Y36" s="15"/>
      <c r="Z36" s="93"/>
      <c r="AA36" s="93"/>
      <c r="AB36" s="93"/>
      <c r="AC36" s="10" t="str">
        <f aca="false">IF(X36="","",IFERROR(INDEX(t_Hora,MATCH(X36,t_Cargo,0)),0))</f>
        <v/>
      </c>
      <c r="AD36" s="94" t="str">
        <f aca="false">IF(X36="","",N(Z36)*IF(AA36="",IFERROR(INDEX(t_Horas,MATCH(X36,t_Cargo,0)),8),AA36)+N(AB36))</f>
        <v/>
      </c>
      <c r="AE36" s="37" t="str">
        <f aca="false">IF(X36="","",AC36*(N(Z36)*IF(AA36="",IFERROR(INDEX(t_Horas,MATCH(X36,t_Cargo,0)),8),AA36)+N(AB36)*(1+p_Extra)))</f>
        <v/>
      </c>
      <c r="AF36" s="15"/>
    </row>
    <row r="37" customFormat="false" ht="16.5" hidden="false" customHeight="true" outlineLevel="0" collapsed="false">
      <c r="A37" s="23" t="str">
        <f aca="false">IF(PRESUPUESTO!$A31="Ítem",PRESUPUESTO!B31,"")</f>
        <v/>
      </c>
      <c r="B37" s="23" t="str">
        <f aca="false">IF(PRESUPUESTO!C31="","",PRESUPUESTO!C31)</f>
        <v/>
      </c>
      <c r="C37" s="86" t="str">
        <f aca="false">IF(PRESUPUESTO!$A31="Ítem",PRESUPUESTO!D31,"")</f>
        <v/>
      </c>
      <c r="D37" s="87" t="str">
        <f aca="false">IF(PRESUPUESTO!$A31="Ítem",PRESUPUESTO!E31,"")</f>
        <v/>
      </c>
      <c r="E37" s="10" t="str">
        <f aca="false">IF(D37="","",N(PRESUPUESTO!J31))</f>
        <v/>
      </c>
      <c r="F37" s="16"/>
      <c r="G37" s="10" t="str">
        <f aca="false">IF(D37="","",D37*E37)</f>
        <v/>
      </c>
      <c r="H37" s="10" t="str">
        <f aca="false">IF(D37="","",D37*N(F37))</f>
        <v/>
      </c>
      <c r="I37" s="10" t="str">
        <f aca="false">IF(D37="","",G37-H37)</f>
        <v/>
      </c>
      <c r="J37" s="80"/>
      <c r="K37" s="80"/>
      <c r="L37" s="80"/>
      <c r="M37" s="80"/>
      <c r="N37" s="80"/>
      <c r="O37" s="80"/>
      <c r="P37" s="88" t="str">
        <f aca="false">IF(D37="","",SUM(J37:O37))</f>
        <v/>
      </c>
      <c r="Q37" s="87" t="str">
        <f aca="false">IF(D37="","",D37-P37)</f>
        <v/>
      </c>
      <c r="R37" s="36" t="str">
        <f aca="false">IF(OR(D37="",N(D37)=0),"",P37/D37)</f>
        <v/>
      </c>
      <c r="S37" s="10" t="str">
        <f aca="false">IF(D37="","",P37*N(F37))</f>
        <v/>
      </c>
      <c r="T37" s="10" t="str">
        <f aca="false">IF(D37="","",Q37*N(F37))</f>
        <v/>
      </c>
      <c r="U37" s="6"/>
      <c r="V37" s="83"/>
      <c r="W37" s="15"/>
      <c r="X37" s="15"/>
      <c r="Y37" s="15"/>
      <c r="Z37" s="93"/>
      <c r="AA37" s="93"/>
      <c r="AB37" s="93"/>
      <c r="AC37" s="10" t="str">
        <f aca="false">IF(X37="","",IFERROR(INDEX(t_Hora,MATCH(X37,t_Cargo,0)),0))</f>
        <v/>
      </c>
      <c r="AD37" s="94" t="str">
        <f aca="false">IF(X37="","",N(Z37)*IF(AA37="",IFERROR(INDEX(t_Horas,MATCH(X37,t_Cargo,0)),8),AA37)+N(AB37))</f>
        <v/>
      </c>
      <c r="AE37" s="37" t="str">
        <f aca="false">IF(X37="","",AC37*(N(Z37)*IF(AA37="",IFERROR(INDEX(t_Horas,MATCH(X37,t_Cargo,0)),8),AA37)+N(AB37)*(1+p_Extra)))</f>
        <v/>
      </c>
      <c r="AF37" s="15"/>
    </row>
    <row r="38" customFormat="false" ht="16.5" hidden="false" customHeight="true" outlineLevel="0" collapsed="false">
      <c r="A38" s="23" t="str">
        <f aca="false">IF(PRESUPUESTO!$A32="Ítem",PRESUPUESTO!B32,"")</f>
        <v/>
      </c>
      <c r="B38" s="23" t="str">
        <f aca="false">IF(PRESUPUESTO!C32="","",PRESUPUESTO!C32)</f>
        <v/>
      </c>
      <c r="C38" s="86" t="str">
        <f aca="false">IF(PRESUPUESTO!$A32="Ítem",PRESUPUESTO!D32,"")</f>
        <v/>
      </c>
      <c r="D38" s="87" t="str">
        <f aca="false">IF(PRESUPUESTO!$A32="Ítem",PRESUPUESTO!E32,"")</f>
        <v/>
      </c>
      <c r="E38" s="10" t="str">
        <f aca="false">IF(D38="","",N(PRESUPUESTO!J32))</f>
        <v/>
      </c>
      <c r="F38" s="16"/>
      <c r="G38" s="10" t="str">
        <f aca="false">IF(D38="","",D38*E38)</f>
        <v/>
      </c>
      <c r="H38" s="10" t="str">
        <f aca="false">IF(D38="","",D38*N(F38))</f>
        <v/>
      </c>
      <c r="I38" s="10" t="str">
        <f aca="false">IF(D38="","",G38-H38)</f>
        <v/>
      </c>
      <c r="J38" s="80"/>
      <c r="K38" s="80"/>
      <c r="L38" s="80"/>
      <c r="M38" s="80"/>
      <c r="N38" s="80"/>
      <c r="O38" s="80"/>
      <c r="P38" s="88" t="str">
        <f aca="false">IF(D38="","",SUM(J38:O38))</f>
        <v/>
      </c>
      <c r="Q38" s="87" t="str">
        <f aca="false">IF(D38="","",D38-P38)</f>
        <v/>
      </c>
      <c r="R38" s="36" t="str">
        <f aca="false">IF(OR(D38="",N(D38)=0),"",P38/D38)</f>
        <v/>
      </c>
      <c r="S38" s="10" t="str">
        <f aca="false">IF(D38="","",P38*N(F38))</f>
        <v/>
      </c>
      <c r="T38" s="10" t="str">
        <f aca="false">IF(D38="","",Q38*N(F38))</f>
        <v/>
      </c>
      <c r="U38" s="6"/>
      <c r="V38" s="83"/>
      <c r="W38" s="15"/>
      <c r="X38" s="15"/>
      <c r="Y38" s="15"/>
      <c r="Z38" s="93"/>
      <c r="AA38" s="93"/>
      <c r="AB38" s="93"/>
      <c r="AC38" s="10" t="str">
        <f aca="false">IF(X38="","",IFERROR(INDEX(t_Hora,MATCH(X38,t_Cargo,0)),0))</f>
        <v/>
      </c>
      <c r="AD38" s="94" t="str">
        <f aca="false">IF(X38="","",N(Z38)*IF(AA38="",IFERROR(INDEX(t_Horas,MATCH(X38,t_Cargo,0)),8),AA38)+N(AB38))</f>
        <v/>
      </c>
      <c r="AE38" s="37" t="str">
        <f aca="false">IF(X38="","",AC38*(N(Z38)*IF(AA38="",IFERROR(INDEX(t_Horas,MATCH(X38,t_Cargo,0)),8),AA38)+N(AB38)*(1+p_Extra)))</f>
        <v/>
      </c>
      <c r="AF38" s="15"/>
    </row>
    <row r="39" customFormat="false" ht="16.5" hidden="false" customHeight="true" outlineLevel="0" collapsed="false">
      <c r="A39" s="23" t="str">
        <f aca="false">IF(PRESUPUESTO!$A33="Ítem",PRESUPUESTO!B33,"")</f>
        <v/>
      </c>
      <c r="B39" s="23" t="str">
        <f aca="false">IF(PRESUPUESTO!C33="","",PRESUPUESTO!C33)</f>
        <v/>
      </c>
      <c r="C39" s="86" t="str">
        <f aca="false">IF(PRESUPUESTO!$A33="Ítem",PRESUPUESTO!D33,"")</f>
        <v/>
      </c>
      <c r="D39" s="87" t="str">
        <f aca="false">IF(PRESUPUESTO!$A33="Ítem",PRESUPUESTO!E33,"")</f>
        <v/>
      </c>
      <c r="E39" s="10" t="str">
        <f aca="false">IF(D39="","",N(PRESUPUESTO!J33))</f>
        <v/>
      </c>
      <c r="F39" s="16"/>
      <c r="G39" s="10" t="str">
        <f aca="false">IF(D39="","",D39*E39)</f>
        <v/>
      </c>
      <c r="H39" s="10" t="str">
        <f aca="false">IF(D39="","",D39*N(F39))</f>
        <v/>
      </c>
      <c r="I39" s="10" t="str">
        <f aca="false">IF(D39="","",G39-H39)</f>
        <v/>
      </c>
      <c r="J39" s="80"/>
      <c r="K39" s="80"/>
      <c r="L39" s="80"/>
      <c r="M39" s="80"/>
      <c r="N39" s="80"/>
      <c r="O39" s="80"/>
      <c r="P39" s="88" t="str">
        <f aca="false">IF(D39="","",SUM(J39:O39))</f>
        <v/>
      </c>
      <c r="Q39" s="87" t="str">
        <f aca="false">IF(D39="","",D39-P39)</f>
        <v/>
      </c>
      <c r="R39" s="36" t="str">
        <f aca="false">IF(OR(D39="",N(D39)=0),"",P39/D39)</f>
        <v/>
      </c>
      <c r="S39" s="10" t="str">
        <f aca="false">IF(D39="","",P39*N(F39))</f>
        <v/>
      </c>
      <c r="T39" s="10" t="str">
        <f aca="false">IF(D39="","",Q39*N(F39))</f>
        <v/>
      </c>
      <c r="U39" s="6"/>
      <c r="V39" s="83"/>
      <c r="W39" s="15"/>
      <c r="X39" s="15"/>
      <c r="Y39" s="15"/>
      <c r="Z39" s="93"/>
      <c r="AA39" s="93"/>
      <c r="AB39" s="93"/>
      <c r="AC39" s="10" t="str">
        <f aca="false">IF(X39="","",IFERROR(INDEX(t_Hora,MATCH(X39,t_Cargo,0)),0))</f>
        <v/>
      </c>
      <c r="AD39" s="94" t="str">
        <f aca="false">IF(X39="","",N(Z39)*IF(AA39="",IFERROR(INDEX(t_Horas,MATCH(X39,t_Cargo,0)),8),AA39)+N(AB39))</f>
        <v/>
      </c>
      <c r="AE39" s="37" t="str">
        <f aca="false">IF(X39="","",AC39*(N(Z39)*IF(AA39="",IFERROR(INDEX(t_Horas,MATCH(X39,t_Cargo,0)),8),AA39)+N(AB39)*(1+p_Extra)))</f>
        <v/>
      </c>
      <c r="AF39" s="15"/>
    </row>
    <row r="40" customFormat="false" ht="16.5" hidden="false" customHeight="true" outlineLevel="0" collapsed="false">
      <c r="A40" s="23" t="str">
        <f aca="false">IF(PRESUPUESTO!$A34="Ítem",PRESUPUESTO!B34,"")</f>
        <v/>
      </c>
      <c r="B40" s="23" t="str">
        <f aca="false">IF(PRESUPUESTO!C34="","",PRESUPUESTO!C34)</f>
        <v/>
      </c>
      <c r="C40" s="86" t="str">
        <f aca="false">IF(PRESUPUESTO!$A34="Ítem",PRESUPUESTO!D34,"")</f>
        <v/>
      </c>
      <c r="D40" s="87" t="str">
        <f aca="false">IF(PRESUPUESTO!$A34="Ítem",PRESUPUESTO!E34,"")</f>
        <v/>
      </c>
      <c r="E40" s="10" t="str">
        <f aca="false">IF(D40="","",N(PRESUPUESTO!J34))</f>
        <v/>
      </c>
      <c r="F40" s="16"/>
      <c r="G40" s="10" t="str">
        <f aca="false">IF(D40="","",D40*E40)</f>
        <v/>
      </c>
      <c r="H40" s="10" t="str">
        <f aca="false">IF(D40="","",D40*N(F40))</f>
        <v/>
      </c>
      <c r="I40" s="10" t="str">
        <f aca="false">IF(D40="","",G40-H40)</f>
        <v/>
      </c>
      <c r="J40" s="80"/>
      <c r="K40" s="80"/>
      <c r="L40" s="80"/>
      <c r="M40" s="80"/>
      <c r="N40" s="80"/>
      <c r="O40" s="80"/>
      <c r="P40" s="88" t="str">
        <f aca="false">IF(D40="","",SUM(J40:O40))</f>
        <v/>
      </c>
      <c r="Q40" s="87" t="str">
        <f aca="false">IF(D40="","",D40-P40)</f>
        <v/>
      </c>
      <c r="R40" s="36" t="str">
        <f aca="false">IF(OR(D40="",N(D40)=0),"",P40/D40)</f>
        <v/>
      </c>
      <c r="S40" s="10" t="str">
        <f aca="false">IF(D40="","",P40*N(F40))</f>
        <v/>
      </c>
      <c r="T40" s="10" t="str">
        <f aca="false">IF(D40="","",Q40*N(F40))</f>
        <v/>
      </c>
      <c r="U40" s="6"/>
      <c r="V40" s="83"/>
      <c r="W40" s="15"/>
      <c r="X40" s="15"/>
      <c r="Y40" s="15"/>
      <c r="Z40" s="93"/>
      <c r="AA40" s="93"/>
      <c r="AB40" s="93"/>
      <c r="AC40" s="10" t="str">
        <f aca="false">IF(X40="","",IFERROR(INDEX(t_Hora,MATCH(X40,t_Cargo,0)),0))</f>
        <v/>
      </c>
      <c r="AD40" s="94" t="str">
        <f aca="false">IF(X40="","",N(Z40)*IF(AA40="",IFERROR(INDEX(t_Horas,MATCH(X40,t_Cargo,0)),8),AA40)+N(AB40))</f>
        <v/>
      </c>
      <c r="AE40" s="37" t="str">
        <f aca="false">IF(X40="","",AC40*(N(Z40)*IF(AA40="",IFERROR(INDEX(t_Horas,MATCH(X40,t_Cargo,0)),8),AA40)+N(AB40)*(1+p_Extra)))</f>
        <v/>
      </c>
      <c r="AF40" s="15"/>
    </row>
    <row r="41" customFormat="false" ht="16.5" hidden="false" customHeight="true" outlineLevel="0" collapsed="false">
      <c r="A41" s="23" t="str">
        <f aca="false">IF(PRESUPUESTO!$A35="Ítem",PRESUPUESTO!B35,"")</f>
        <v/>
      </c>
      <c r="B41" s="23" t="str">
        <f aca="false">IF(PRESUPUESTO!C35="","",PRESUPUESTO!C35)</f>
        <v/>
      </c>
      <c r="C41" s="86" t="str">
        <f aca="false">IF(PRESUPUESTO!$A35="Ítem",PRESUPUESTO!D35,"")</f>
        <v/>
      </c>
      <c r="D41" s="87" t="str">
        <f aca="false">IF(PRESUPUESTO!$A35="Ítem",PRESUPUESTO!E35,"")</f>
        <v/>
      </c>
      <c r="E41" s="10" t="str">
        <f aca="false">IF(D41="","",N(PRESUPUESTO!J35))</f>
        <v/>
      </c>
      <c r="F41" s="16"/>
      <c r="G41" s="10" t="str">
        <f aca="false">IF(D41="","",D41*E41)</f>
        <v/>
      </c>
      <c r="H41" s="10" t="str">
        <f aca="false">IF(D41="","",D41*N(F41))</f>
        <v/>
      </c>
      <c r="I41" s="10" t="str">
        <f aca="false">IF(D41="","",G41-H41)</f>
        <v/>
      </c>
      <c r="J41" s="80"/>
      <c r="K41" s="80"/>
      <c r="L41" s="80"/>
      <c r="M41" s="80"/>
      <c r="N41" s="80"/>
      <c r="O41" s="80"/>
      <c r="P41" s="88" t="str">
        <f aca="false">IF(D41="","",SUM(J41:O41))</f>
        <v/>
      </c>
      <c r="Q41" s="87" t="str">
        <f aca="false">IF(D41="","",D41-P41)</f>
        <v/>
      </c>
      <c r="R41" s="36" t="str">
        <f aca="false">IF(OR(D41="",N(D41)=0),"",P41/D41)</f>
        <v/>
      </c>
      <c r="S41" s="10" t="str">
        <f aca="false">IF(D41="","",P41*N(F41))</f>
        <v/>
      </c>
      <c r="T41" s="10" t="str">
        <f aca="false">IF(D41="","",Q41*N(F41))</f>
        <v/>
      </c>
      <c r="U41" s="6"/>
      <c r="V41" s="83"/>
      <c r="W41" s="15"/>
      <c r="X41" s="15"/>
      <c r="Y41" s="15"/>
      <c r="Z41" s="93"/>
      <c r="AA41" s="93"/>
      <c r="AB41" s="93"/>
      <c r="AC41" s="10" t="str">
        <f aca="false">IF(X41="","",IFERROR(INDEX(t_Hora,MATCH(X41,t_Cargo,0)),0))</f>
        <v/>
      </c>
      <c r="AD41" s="94" t="str">
        <f aca="false">IF(X41="","",N(Z41)*IF(AA41="",IFERROR(INDEX(t_Horas,MATCH(X41,t_Cargo,0)),8),AA41)+N(AB41))</f>
        <v/>
      </c>
      <c r="AE41" s="37" t="str">
        <f aca="false">IF(X41="","",AC41*(N(Z41)*IF(AA41="",IFERROR(INDEX(t_Horas,MATCH(X41,t_Cargo,0)),8),AA41)+N(AB41)*(1+p_Extra)))</f>
        <v/>
      </c>
      <c r="AF41" s="15"/>
    </row>
    <row r="42" customFormat="false" ht="16.5" hidden="false" customHeight="true" outlineLevel="0" collapsed="false">
      <c r="A42" s="23" t="str">
        <f aca="false">IF(PRESUPUESTO!$A36="Ítem",PRESUPUESTO!B36,"")</f>
        <v/>
      </c>
      <c r="B42" s="23" t="str">
        <f aca="false">IF(PRESUPUESTO!C36="","",PRESUPUESTO!C36)</f>
        <v/>
      </c>
      <c r="C42" s="86" t="str">
        <f aca="false">IF(PRESUPUESTO!$A36="Ítem",PRESUPUESTO!D36,"")</f>
        <v/>
      </c>
      <c r="D42" s="87" t="str">
        <f aca="false">IF(PRESUPUESTO!$A36="Ítem",PRESUPUESTO!E36,"")</f>
        <v/>
      </c>
      <c r="E42" s="10" t="str">
        <f aca="false">IF(D42="","",N(PRESUPUESTO!J36))</f>
        <v/>
      </c>
      <c r="F42" s="16"/>
      <c r="G42" s="10" t="str">
        <f aca="false">IF(D42="","",D42*E42)</f>
        <v/>
      </c>
      <c r="H42" s="10" t="str">
        <f aca="false">IF(D42="","",D42*N(F42))</f>
        <v/>
      </c>
      <c r="I42" s="10" t="str">
        <f aca="false">IF(D42="","",G42-H42)</f>
        <v/>
      </c>
      <c r="J42" s="80"/>
      <c r="K42" s="80"/>
      <c r="L42" s="80"/>
      <c r="M42" s="80"/>
      <c r="N42" s="80"/>
      <c r="O42" s="80"/>
      <c r="P42" s="88" t="str">
        <f aca="false">IF(D42="","",SUM(J42:O42))</f>
        <v/>
      </c>
      <c r="Q42" s="87" t="str">
        <f aca="false">IF(D42="","",D42-P42)</f>
        <v/>
      </c>
      <c r="R42" s="36" t="str">
        <f aca="false">IF(OR(D42="",N(D42)=0),"",P42/D42)</f>
        <v/>
      </c>
      <c r="S42" s="10" t="str">
        <f aca="false">IF(D42="","",P42*N(F42))</f>
        <v/>
      </c>
      <c r="T42" s="10" t="str">
        <f aca="false">IF(D42="","",Q42*N(F42))</f>
        <v/>
      </c>
      <c r="U42" s="6"/>
      <c r="V42" s="83"/>
      <c r="W42" s="15"/>
      <c r="X42" s="15"/>
      <c r="Y42" s="15"/>
      <c r="Z42" s="93"/>
      <c r="AA42" s="93"/>
      <c r="AB42" s="93"/>
      <c r="AC42" s="10" t="str">
        <f aca="false">IF(X42="","",IFERROR(INDEX(t_Hora,MATCH(X42,t_Cargo,0)),0))</f>
        <v/>
      </c>
      <c r="AD42" s="94" t="str">
        <f aca="false">IF(X42="","",N(Z42)*IF(AA42="",IFERROR(INDEX(t_Horas,MATCH(X42,t_Cargo,0)),8),AA42)+N(AB42))</f>
        <v/>
      </c>
      <c r="AE42" s="37" t="str">
        <f aca="false">IF(X42="","",AC42*(N(Z42)*IF(AA42="",IFERROR(INDEX(t_Horas,MATCH(X42,t_Cargo,0)),8),AA42)+N(AB42)*(1+p_Extra)))</f>
        <v/>
      </c>
      <c r="AF42" s="15"/>
    </row>
    <row r="43" customFormat="false" ht="16.5" hidden="false" customHeight="true" outlineLevel="0" collapsed="false">
      <c r="A43" s="23" t="str">
        <f aca="false">IF(PRESUPUESTO!$A37="Ítem",PRESUPUESTO!B37,"")</f>
        <v/>
      </c>
      <c r="B43" s="23" t="str">
        <f aca="false">IF(PRESUPUESTO!C37="","",PRESUPUESTO!C37)</f>
        <v/>
      </c>
      <c r="C43" s="86" t="str">
        <f aca="false">IF(PRESUPUESTO!$A37="Ítem",PRESUPUESTO!D37,"")</f>
        <v/>
      </c>
      <c r="D43" s="87" t="str">
        <f aca="false">IF(PRESUPUESTO!$A37="Ítem",PRESUPUESTO!E37,"")</f>
        <v/>
      </c>
      <c r="E43" s="10" t="str">
        <f aca="false">IF(D43="","",N(PRESUPUESTO!J37))</f>
        <v/>
      </c>
      <c r="F43" s="16"/>
      <c r="G43" s="10" t="str">
        <f aca="false">IF(D43="","",D43*E43)</f>
        <v/>
      </c>
      <c r="H43" s="10" t="str">
        <f aca="false">IF(D43="","",D43*N(F43))</f>
        <v/>
      </c>
      <c r="I43" s="10" t="str">
        <f aca="false">IF(D43="","",G43-H43)</f>
        <v/>
      </c>
      <c r="J43" s="80"/>
      <c r="K43" s="80"/>
      <c r="L43" s="80"/>
      <c r="M43" s="80"/>
      <c r="N43" s="80"/>
      <c r="O43" s="80"/>
      <c r="P43" s="88" t="str">
        <f aca="false">IF(D43="","",SUM(J43:O43))</f>
        <v/>
      </c>
      <c r="Q43" s="87" t="str">
        <f aca="false">IF(D43="","",D43-P43)</f>
        <v/>
      </c>
      <c r="R43" s="36" t="str">
        <f aca="false">IF(OR(D43="",N(D43)=0),"",P43/D43)</f>
        <v/>
      </c>
      <c r="S43" s="10" t="str">
        <f aca="false">IF(D43="","",P43*N(F43))</f>
        <v/>
      </c>
      <c r="T43" s="10" t="str">
        <f aca="false">IF(D43="","",Q43*N(F43))</f>
        <v/>
      </c>
      <c r="U43" s="6"/>
      <c r="V43" s="83"/>
      <c r="W43" s="15"/>
      <c r="X43" s="15"/>
      <c r="Y43" s="15"/>
      <c r="Z43" s="93"/>
      <c r="AA43" s="93"/>
      <c r="AB43" s="93"/>
      <c r="AC43" s="10" t="str">
        <f aca="false">IF(X43="","",IFERROR(INDEX(t_Hora,MATCH(X43,t_Cargo,0)),0))</f>
        <v/>
      </c>
      <c r="AD43" s="94" t="str">
        <f aca="false">IF(X43="","",N(Z43)*IF(AA43="",IFERROR(INDEX(t_Horas,MATCH(X43,t_Cargo,0)),8),AA43)+N(AB43))</f>
        <v/>
      </c>
      <c r="AE43" s="37" t="str">
        <f aca="false">IF(X43="","",AC43*(N(Z43)*IF(AA43="",IFERROR(INDEX(t_Horas,MATCH(X43,t_Cargo,0)),8),AA43)+N(AB43)*(1+p_Extra)))</f>
        <v/>
      </c>
      <c r="AF43" s="15"/>
    </row>
    <row r="44" customFormat="false" ht="16.5" hidden="false" customHeight="true" outlineLevel="0" collapsed="false">
      <c r="A44" s="23" t="str">
        <f aca="false">IF(PRESUPUESTO!$A38="Ítem",PRESUPUESTO!B38,"")</f>
        <v/>
      </c>
      <c r="B44" s="23" t="str">
        <f aca="false">IF(PRESUPUESTO!C38="","",PRESUPUESTO!C38)</f>
        <v/>
      </c>
      <c r="C44" s="86" t="str">
        <f aca="false">IF(PRESUPUESTO!$A38="Ítem",PRESUPUESTO!D38,"")</f>
        <v/>
      </c>
      <c r="D44" s="87" t="str">
        <f aca="false">IF(PRESUPUESTO!$A38="Ítem",PRESUPUESTO!E38,"")</f>
        <v/>
      </c>
      <c r="E44" s="10" t="str">
        <f aca="false">IF(D44="","",N(PRESUPUESTO!J38))</f>
        <v/>
      </c>
      <c r="F44" s="16"/>
      <c r="G44" s="10" t="str">
        <f aca="false">IF(D44="","",D44*E44)</f>
        <v/>
      </c>
      <c r="H44" s="10" t="str">
        <f aca="false">IF(D44="","",D44*N(F44))</f>
        <v/>
      </c>
      <c r="I44" s="10" t="str">
        <f aca="false">IF(D44="","",G44-H44)</f>
        <v/>
      </c>
      <c r="J44" s="80"/>
      <c r="K44" s="80"/>
      <c r="L44" s="80"/>
      <c r="M44" s="80"/>
      <c r="N44" s="80"/>
      <c r="O44" s="80"/>
      <c r="P44" s="88" t="str">
        <f aca="false">IF(D44="","",SUM(J44:O44))</f>
        <v/>
      </c>
      <c r="Q44" s="87" t="str">
        <f aca="false">IF(D44="","",D44-P44)</f>
        <v/>
      </c>
      <c r="R44" s="36" t="str">
        <f aca="false">IF(OR(D44="",N(D44)=0),"",P44/D44)</f>
        <v/>
      </c>
      <c r="S44" s="10" t="str">
        <f aca="false">IF(D44="","",P44*N(F44))</f>
        <v/>
      </c>
      <c r="T44" s="10" t="str">
        <f aca="false">IF(D44="","",Q44*N(F44))</f>
        <v/>
      </c>
      <c r="U44" s="6"/>
      <c r="V44" s="83"/>
      <c r="W44" s="15"/>
      <c r="X44" s="15"/>
      <c r="Y44" s="15"/>
      <c r="Z44" s="93"/>
      <c r="AA44" s="93"/>
      <c r="AB44" s="93"/>
      <c r="AC44" s="10" t="str">
        <f aca="false">IF(X44="","",IFERROR(INDEX(t_Hora,MATCH(X44,t_Cargo,0)),0))</f>
        <v/>
      </c>
      <c r="AD44" s="94" t="str">
        <f aca="false">IF(X44="","",N(Z44)*IF(AA44="",IFERROR(INDEX(t_Horas,MATCH(X44,t_Cargo,0)),8),AA44)+N(AB44))</f>
        <v/>
      </c>
      <c r="AE44" s="37" t="str">
        <f aca="false">IF(X44="","",AC44*(N(Z44)*IF(AA44="",IFERROR(INDEX(t_Horas,MATCH(X44,t_Cargo,0)),8),AA44)+N(AB44)*(1+p_Extra)))</f>
        <v/>
      </c>
      <c r="AF44" s="15"/>
    </row>
    <row r="45" customFormat="false" ht="16.5" hidden="false" customHeight="true" outlineLevel="0" collapsed="false">
      <c r="A45" s="23" t="str">
        <f aca="false">IF(PRESUPUESTO!$A39="Ítem",PRESUPUESTO!B39,"")</f>
        <v/>
      </c>
      <c r="B45" s="23" t="str">
        <f aca="false">IF(PRESUPUESTO!C39="","",PRESUPUESTO!C39)</f>
        <v/>
      </c>
      <c r="C45" s="86" t="str">
        <f aca="false">IF(PRESUPUESTO!$A39="Ítem",PRESUPUESTO!D39,"")</f>
        <v/>
      </c>
      <c r="D45" s="87" t="str">
        <f aca="false">IF(PRESUPUESTO!$A39="Ítem",PRESUPUESTO!E39,"")</f>
        <v/>
      </c>
      <c r="E45" s="10" t="str">
        <f aca="false">IF(D45="","",N(PRESUPUESTO!J39))</f>
        <v/>
      </c>
      <c r="F45" s="16"/>
      <c r="G45" s="10" t="str">
        <f aca="false">IF(D45="","",D45*E45)</f>
        <v/>
      </c>
      <c r="H45" s="10" t="str">
        <f aca="false">IF(D45="","",D45*N(F45))</f>
        <v/>
      </c>
      <c r="I45" s="10" t="str">
        <f aca="false">IF(D45="","",G45-H45)</f>
        <v/>
      </c>
      <c r="J45" s="80"/>
      <c r="K45" s="80"/>
      <c r="L45" s="80"/>
      <c r="M45" s="80"/>
      <c r="N45" s="80"/>
      <c r="O45" s="80"/>
      <c r="P45" s="88" t="str">
        <f aca="false">IF(D45="","",SUM(J45:O45))</f>
        <v/>
      </c>
      <c r="Q45" s="87" t="str">
        <f aca="false">IF(D45="","",D45-P45)</f>
        <v/>
      </c>
      <c r="R45" s="36" t="str">
        <f aca="false">IF(OR(D45="",N(D45)=0),"",P45/D45)</f>
        <v/>
      </c>
      <c r="S45" s="10" t="str">
        <f aca="false">IF(D45="","",P45*N(F45))</f>
        <v/>
      </c>
      <c r="T45" s="10" t="str">
        <f aca="false">IF(D45="","",Q45*N(F45))</f>
        <v/>
      </c>
      <c r="U45" s="6"/>
      <c r="V45" s="83"/>
      <c r="W45" s="15"/>
      <c r="X45" s="15"/>
      <c r="Y45" s="15"/>
      <c r="Z45" s="93"/>
      <c r="AA45" s="93"/>
      <c r="AB45" s="93"/>
      <c r="AC45" s="10" t="str">
        <f aca="false">IF(X45="","",IFERROR(INDEX(t_Hora,MATCH(X45,t_Cargo,0)),0))</f>
        <v/>
      </c>
      <c r="AD45" s="94" t="str">
        <f aca="false">IF(X45="","",N(Z45)*IF(AA45="",IFERROR(INDEX(t_Horas,MATCH(X45,t_Cargo,0)),8),AA45)+N(AB45))</f>
        <v/>
      </c>
      <c r="AE45" s="37" t="str">
        <f aca="false">IF(X45="","",AC45*(N(Z45)*IF(AA45="",IFERROR(INDEX(t_Horas,MATCH(X45,t_Cargo,0)),8),AA45)+N(AB45)*(1+p_Extra)))</f>
        <v/>
      </c>
      <c r="AF45" s="15"/>
    </row>
    <row r="46" customFormat="false" ht="16.5" hidden="false" customHeight="true" outlineLevel="0" collapsed="false">
      <c r="A46" s="23" t="str">
        <f aca="false">IF(PRESUPUESTO!$A40="Ítem",PRESUPUESTO!B40,"")</f>
        <v/>
      </c>
      <c r="B46" s="23" t="str">
        <f aca="false">IF(PRESUPUESTO!C40="","",PRESUPUESTO!C40)</f>
        <v/>
      </c>
      <c r="C46" s="86" t="str">
        <f aca="false">IF(PRESUPUESTO!$A40="Ítem",PRESUPUESTO!D40,"")</f>
        <v/>
      </c>
      <c r="D46" s="87" t="str">
        <f aca="false">IF(PRESUPUESTO!$A40="Ítem",PRESUPUESTO!E40,"")</f>
        <v/>
      </c>
      <c r="E46" s="10" t="str">
        <f aca="false">IF(D46="","",N(PRESUPUESTO!J40))</f>
        <v/>
      </c>
      <c r="F46" s="16"/>
      <c r="G46" s="10" t="str">
        <f aca="false">IF(D46="","",D46*E46)</f>
        <v/>
      </c>
      <c r="H46" s="10" t="str">
        <f aca="false">IF(D46="","",D46*N(F46))</f>
        <v/>
      </c>
      <c r="I46" s="10" t="str">
        <f aca="false">IF(D46="","",G46-H46)</f>
        <v/>
      </c>
      <c r="J46" s="80"/>
      <c r="K46" s="80"/>
      <c r="L46" s="80"/>
      <c r="M46" s="80"/>
      <c r="N46" s="80"/>
      <c r="O46" s="80"/>
      <c r="P46" s="88" t="str">
        <f aca="false">IF(D46="","",SUM(J46:O46))</f>
        <v/>
      </c>
      <c r="Q46" s="87" t="str">
        <f aca="false">IF(D46="","",D46-P46)</f>
        <v/>
      </c>
      <c r="R46" s="36" t="str">
        <f aca="false">IF(OR(D46="",N(D46)=0),"",P46/D46)</f>
        <v/>
      </c>
      <c r="S46" s="10" t="str">
        <f aca="false">IF(D46="","",P46*N(F46))</f>
        <v/>
      </c>
      <c r="T46" s="10" t="str">
        <f aca="false">IF(D46="","",Q46*N(F46))</f>
        <v/>
      </c>
      <c r="U46" s="6"/>
      <c r="V46" s="83"/>
      <c r="W46" s="15"/>
      <c r="X46" s="15"/>
      <c r="Y46" s="15"/>
      <c r="Z46" s="93"/>
      <c r="AA46" s="93"/>
      <c r="AB46" s="93"/>
      <c r="AC46" s="10" t="str">
        <f aca="false">IF(X46="","",IFERROR(INDEX(t_Hora,MATCH(X46,t_Cargo,0)),0))</f>
        <v/>
      </c>
      <c r="AD46" s="94" t="str">
        <f aca="false">IF(X46="","",N(Z46)*IF(AA46="",IFERROR(INDEX(t_Horas,MATCH(X46,t_Cargo,0)),8),AA46)+N(AB46))</f>
        <v/>
      </c>
      <c r="AE46" s="37" t="str">
        <f aca="false">IF(X46="","",AC46*(N(Z46)*IF(AA46="",IFERROR(INDEX(t_Horas,MATCH(X46,t_Cargo,0)),8),AA46)+N(AB46)*(1+p_Extra)))</f>
        <v/>
      </c>
      <c r="AF46" s="15"/>
    </row>
    <row r="47" customFormat="false" ht="16.5" hidden="false" customHeight="true" outlineLevel="0" collapsed="false">
      <c r="A47" s="23" t="str">
        <f aca="false">IF(PRESUPUESTO!$A41="Ítem",PRESUPUESTO!B41,"")</f>
        <v/>
      </c>
      <c r="B47" s="23" t="str">
        <f aca="false">IF(PRESUPUESTO!C41="","",PRESUPUESTO!C41)</f>
        <v/>
      </c>
      <c r="C47" s="86" t="str">
        <f aca="false">IF(PRESUPUESTO!$A41="Ítem",PRESUPUESTO!D41,"")</f>
        <v/>
      </c>
      <c r="D47" s="87" t="str">
        <f aca="false">IF(PRESUPUESTO!$A41="Ítem",PRESUPUESTO!E41,"")</f>
        <v/>
      </c>
      <c r="E47" s="10" t="str">
        <f aca="false">IF(D47="","",N(PRESUPUESTO!J41))</f>
        <v/>
      </c>
      <c r="F47" s="16"/>
      <c r="G47" s="10" t="str">
        <f aca="false">IF(D47="","",D47*E47)</f>
        <v/>
      </c>
      <c r="H47" s="10" t="str">
        <f aca="false">IF(D47="","",D47*N(F47))</f>
        <v/>
      </c>
      <c r="I47" s="10" t="str">
        <f aca="false">IF(D47="","",G47-H47)</f>
        <v/>
      </c>
      <c r="J47" s="80"/>
      <c r="K47" s="80"/>
      <c r="L47" s="80"/>
      <c r="M47" s="80"/>
      <c r="N47" s="80"/>
      <c r="O47" s="80"/>
      <c r="P47" s="88" t="str">
        <f aca="false">IF(D47="","",SUM(J47:O47))</f>
        <v/>
      </c>
      <c r="Q47" s="87" t="str">
        <f aca="false">IF(D47="","",D47-P47)</f>
        <v/>
      </c>
      <c r="R47" s="36" t="str">
        <f aca="false">IF(OR(D47="",N(D47)=0),"",P47/D47)</f>
        <v/>
      </c>
      <c r="S47" s="10" t="str">
        <f aca="false">IF(D47="","",P47*N(F47))</f>
        <v/>
      </c>
      <c r="T47" s="10" t="str">
        <f aca="false">IF(D47="","",Q47*N(F47))</f>
        <v/>
      </c>
      <c r="U47" s="6"/>
      <c r="V47" s="83"/>
      <c r="W47" s="15"/>
      <c r="X47" s="15"/>
      <c r="Y47" s="15"/>
      <c r="Z47" s="93"/>
      <c r="AA47" s="93"/>
      <c r="AB47" s="93"/>
      <c r="AC47" s="10" t="str">
        <f aca="false">IF(X47="","",IFERROR(INDEX(t_Hora,MATCH(X47,t_Cargo,0)),0))</f>
        <v/>
      </c>
      <c r="AD47" s="94" t="str">
        <f aca="false">IF(X47="","",N(Z47)*IF(AA47="",IFERROR(INDEX(t_Horas,MATCH(X47,t_Cargo,0)),8),AA47)+N(AB47))</f>
        <v/>
      </c>
      <c r="AE47" s="37" t="str">
        <f aca="false">IF(X47="","",AC47*(N(Z47)*IF(AA47="",IFERROR(INDEX(t_Horas,MATCH(X47,t_Cargo,0)),8),AA47)+N(AB47)*(1+p_Extra)))</f>
        <v/>
      </c>
      <c r="AF47" s="15"/>
    </row>
    <row r="48" customFormat="false" ht="16.5" hidden="false" customHeight="true" outlineLevel="0" collapsed="false">
      <c r="A48" s="23" t="str">
        <f aca="false">IF(PRESUPUESTO!$A42="Ítem",PRESUPUESTO!B42,"")</f>
        <v/>
      </c>
      <c r="B48" s="23" t="str">
        <f aca="false">IF(PRESUPUESTO!C42="","",PRESUPUESTO!C42)</f>
        <v/>
      </c>
      <c r="C48" s="86" t="str">
        <f aca="false">IF(PRESUPUESTO!$A42="Ítem",PRESUPUESTO!D42,"")</f>
        <v/>
      </c>
      <c r="D48" s="87" t="str">
        <f aca="false">IF(PRESUPUESTO!$A42="Ítem",PRESUPUESTO!E42,"")</f>
        <v/>
      </c>
      <c r="E48" s="10" t="str">
        <f aca="false">IF(D48="","",N(PRESUPUESTO!J42))</f>
        <v/>
      </c>
      <c r="F48" s="16"/>
      <c r="G48" s="10" t="str">
        <f aca="false">IF(D48="","",D48*E48)</f>
        <v/>
      </c>
      <c r="H48" s="10" t="str">
        <f aca="false">IF(D48="","",D48*N(F48))</f>
        <v/>
      </c>
      <c r="I48" s="10" t="str">
        <f aca="false">IF(D48="","",G48-H48)</f>
        <v/>
      </c>
      <c r="J48" s="80"/>
      <c r="K48" s="80"/>
      <c r="L48" s="80"/>
      <c r="M48" s="80"/>
      <c r="N48" s="80"/>
      <c r="O48" s="80"/>
      <c r="P48" s="88" t="str">
        <f aca="false">IF(D48="","",SUM(J48:O48))</f>
        <v/>
      </c>
      <c r="Q48" s="87" t="str">
        <f aca="false">IF(D48="","",D48-P48)</f>
        <v/>
      </c>
      <c r="R48" s="36" t="str">
        <f aca="false">IF(OR(D48="",N(D48)=0),"",P48/D48)</f>
        <v/>
      </c>
      <c r="S48" s="10" t="str">
        <f aca="false">IF(D48="","",P48*N(F48))</f>
        <v/>
      </c>
      <c r="T48" s="10" t="str">
        <f aca="false">IF(D48="","",Q48*N(F48))</f>
        <v/>
      </c>
      <c r="U48" s="6"/>
      <c r="V48" s="83"/>
      <c r="W48" s="15"/>
      <c r="X48" s="15"/>
      <c r="Y48" s="15"/>
      <c r="Z48" s="93"/>
      <c r="AA48" s="93"/>
      <c r="AB48" s="93"/>
      <c r="AC48" s="10" t="str">
        <f aca="false">IF(X48="","",IFERROR(INDEX(t_Hora,MATCH(X48,t_Cargo,0)),0))</f>
        <v/>
      </c>
      <c r="AD48" s="94" t="str">
        <f aca="false">IF(X48="","",N(Z48)*IF(AA48="",IFERROR(INDEX(t_Horas,MATCH(X48,t_Cargo,0)),8),AA48)+N(AB48))</f>
        <v/>
      </c>
      <c r="AE48" s="37" t="str">
        <f aca="false">IF(X48="","",AC48*(N(Z48)*IF(AA48="",IFERROR(INDEX(t_Horas,MATCH(X48,t_Cargo,0)),8),AA48)+N(AB48)*(1+p_Extra)))</f>
        <v/>
      </c>
      <c r="AF48" s="15"/>
    </row>
    <row r="49" customFormat="false" ht="16.5" hidden="false" customHeight="true" outlineLevel="0" collapsed="false">
      <c r="A49" s="23" t="str">
        <f aca="false">IF(PRESUPUESTO!$A43="Ítem",PRESUPUESTO!B43,"")</f>
        <v/>
      </c>
      <c r="B49" s="23" t="str">
        <f aca="false">IF(PRESUPUESTO!C43="","",PRESUPUESTO!C43)</f>
        <v/>
      </c>
      <c r="C49" s="86" t="str">
        <f aca="false">IF(PRESUPUESTO!$A43="Ítem",PRESUPUESTO!D43,"")</f>
        <v/>
      </c>
      <c r="D49" s="87" t="str">
        <f aca="false">IF(PRESUPUESTO!$A43="Ítem",PRESUPUESTO!E43,"")</f>
        <v/>
      </c>
      <c r="E49" s="10" t="str">
        <f aca="false">IF(D49="","",N(PRESUPUESTO!J43))</f>
        <v/>
      </c>
      <c r="F49" s="16"/>
      <c r="G49" s="10" t="str">
        <f aca="false">IF(D49="","",D49*E49)</f>
        <v/>
      </c>
      <c r="H49" s="10" t="str">
        <f aca="false">IF(D49="","",D49*N(F49))</f>
        <v/>
      </c>
      <c r="I49" s="10" t="str">
        <f aca="false">IF(D49="","",G49-H49)</f>
        <v/>
      </c>
      <c r="J49" s="80"/>
      <c r="K49" s="80"/>
      <c r="L49" s="80"/>
      <c r="M49" s="80"/>
      <c r="N49" s="80"/>
      <c r="O49" s="80"/>
      <c r="P49" s="88" t="str">
        <f aca="false">IF(D49="","",SUM(J49:O49))</f>
        <v/>
      </c>
      <c r="Q49" s="87" t="str">
        <f aca="false">IF(D49="","",D49-P49)</f>
        <v/>
      </c>
      <c r="R49" s="36" t="str">
        <f aca="false">IF(OR(D49="",N(D49)=0),"",P49/D49)</f>
        <v/>
      </c>
      <c r="S49" s="10" t="str">
        <f aca="false">IF(D49="","",P49*N(F49))</f>
        <v/>
      </c>
      <c r="T49" s="10" t="str">
        <f aca="false">IF(D49="","",Q49*N(F49))</f>
        <v/>
      </c>
      <c r="U49" s="6"/>
      <c r="V49" s="83"/>
      <c r="W49" s="15"/>
      <c r="X49" s="15"/>
      <c r="Y49" s="15"/>
      <c r="Z49" s="93"/>
      <c r="AA49" s="93"/>
      <c r="AB49" s="93"/>
      <c r="AC49" s="10" t="str">
        <f aca="false">IF(X49="","",IFERROR(INDEX(t_Hora,MATCH(X49,t_Cargo,0)),0))</f>
        <v/>
      </c>
      <c r="AD49" s="94" t="str">
        <f aca="false">IF(X49="","",N(Z49)*IF(AA49="",IFERROR(INDEX(t_Horas,MATCH(X49,t_Cargo,0)),8),AA49)+N(AB49))</f>
        <v/>
      </c>
      <c r="AE49" s="37" t="str">
        <f aca="false">IF(X49="","",AC49*(N(Z49)*IF(AA49="",IFERROR(INDEX(t_Horas,MATCH(X49,t_Cargo,0)),8),AA49)+N(AB49)*(1+p_Extra)))</f>
        <v/>
      </c>
      <c r="AF49" s="15"/>
    </row>
    <row r="50" customFormat="false" ht="16.5" hidden="false" customHeight="true" outlineLevel="0" collapsed="false">
      <c r="A50" s="23" t="str">
        <f aca="false">IF(PRESUPUESTO!$A44="Ítem",PRESUPUESTO!B44,"")</f>
        <v/>
      </c>
      <c r="B50" s="23" t="str">
        <f aca="false">IF(PRESUPUESTO!C44="","",PRESUPUESTO!C44)</f>
        <v/>
      </c>
      <c r="C50" s="86" t="str">
        <f aca="false">IF(PRESUPUESTO!$A44="Ítem",PRESUPUESTO!D44,"")</f>
        <v/>
      </c>
      <c r="D50" s="87" t="str">
        <f aca="false">IF(PRESUPUESTO!$A44="Ítem",PRESUPUESTO!E44,"")</f>
        <v/>
      </c>
      <c r="E50" s="10" t="str">
        <f aca="false">IF(D50="","",N(PRESUPUESTO!J44))</f>
        <v/>
      </c>
      <c r="F50" s="16"/>
      <c r="G50" s="10" t="str">
        <f aca="false">IF(D50="","",D50*E50)</f>
        <v/>
      </c>
      <c r="H50" s="10" t="str">
        <f aca="false">IF(D50="","",D50*N(F50))</f>
        <v/>
      </c>
      <c r="I50" s="10" t="str">
        <f aca="false">IF(D50="","",G50-H50)</f>
        <v/>
      </c>
      <c r="J50" s="80"/>
      <c r="K50" s="80"/>
      <c r="L50" s="80"/>
      <c r="M50" s="80"/>
      <c r="N50" s="80"/>
      <c r="O50" s="80"/>
      <c r="P50" s="88" t="str">
        <f aca="false">IF(D50="","",SUM(J50:O50))</f>
        <v/>
      </c>
      <c r="Q50" s="87" t="str">
        <f aca="false">IF(D50="","",D50-P50)</f>
        <v/>
      </c>
      <c r="R50" s="36" t="str">
        <f aca="false">IF(OR(D50="",N(D50)=0),"",P50/D50)</f>
        <v/>
      </c>
      <c r="S50" s="10" t="str">
        <f aca="false">IF(D50="","",P50*N(F50))</f>
        <v/>
      </c>
      <c r="T50" s="10" t="str">
        <f aca="false">IF(D50="","",Q50*N(F50))</f>
        <v/>
      </c>
      <c r="U50" s="6"/>
      <c r="V50" s="83"/>
      <c r="W50" s="15"/>
      <c r="X50" s="15"/>
      <c r="Y50" s="15"/>
      <c r="Z50" s="93"/>
      <c r="AA50" s="93"/>
      <c r="AB50" s="93"/>
      <c r="AC50" s="10" t="str">
        <f aca="false">IF(X50="","",IFERROR(INDEX(t_Hora,MATCH(X50,t_Cargo,0)),0))</f>
        <v/>
      </c>
      <c r="AD50" s="94" t="str">
        <f aca="false">IF(X50="","",N(Z50)*IF(AA50="",IFERROR(INDEX(t_Horas,MATCH(X50,t_Cargo,0)),8),AA50)+N(AB50))</f>
        <v/>
      </c>
      <c r="AE50" s="37" t="str">
        <f aca="false">IF(X50="","",AC50*(N(Z50)*IF(AA50="",IFERROR(INDEX(t_Horas,MATCH(X50,t_Cargo,0)),8),AA50)+N(AB50)*(1+p_Extra)))</f>
        <v/>
      </c>
      <c r="AF50" s="15"/>
    </row>
    <row r="51" customFormat="false" ht="16.5" hidden="false" customHeight="true" outlineLevel="0" collapsed="false">
      <c r="A51" s="23" t="str">
        <f aca="false">IF(PRESUPUESTO!$A45="Ítem",PRESUPUESTO!B45,"")</f>
        <v/>
      </c>
      <c r="B51" s="23" t="str">
        <f aca="false">IF(PRESUPUESTO!C45="","",PRESUPUESTO!C45)</f>
        <v/>
      </c>
      <c r="C51" s="86" t="str">
        <f aca="false">IF(PRESUPUESTO!$A45="Ítem",PRESUPUESTO!D45,"")</f>
        <v/>
      </c>
      <c r="D51" s="87" t="str">
        <f aca="false">IF(PRESUPUESTO!$A45="Ítem",PRESUPUESTO!E45,"")</f>
        <v/>
      </c>
      <c r="E51" s="10" t="str">
        <f aca="false">IF(D51="","",N(PRESUPUESTO!J45))</f>
        <v/>
      </c>
      <c r="F51" s="16"/>
      <c r="G51" s="10" t="str">
        <f aca="false">IF(D51="","",D51*E51)</f>
        <v/>
      </c>
      <c r="H51" s="10" t="str">
        <f aca="false">IF(D51="","",D51*N(F51))</f>
        <v/>
      </c>
      <c r="I51" s="10" t="str">
        <f aca="false">IF(D51="","",G51-H51)</f>
        <v/>
      </c>
      <c r="J51" s="80"/>
      <c r="K51" s="80"/>
      <c r="L51" s="80"/>
      <c r="M51" s="80"/>
      <c r="N51" s="80"/>
      <c r="O51" s="80"/>
      <c r="P51" s="88" t="str">
        <f aca="false">IF(D51="","",SUM(J51:O51))</f>
        <v/>
      </c>
      <c r="Q51" s="87" t="str">
        <f aca="false">IF(D51="","",D51-P51)</f>
        <v/>
      </c>
      <c r="R51" s="36" t="str">
        <f aca="false">IF(OR(D51="",N(D51)=0),"",P51/D51)</f>
        <v/>
      </c>
      <c r="S51" s="10" t="str">
        <f aca="false">IF(D51="","",P51*N(F51))</f>
        <v/>
      </c>
      <c r="T51" s="10" t="str">
        <f aca="false">IF(D51="","",Q51*N(F51))</f>
        <v/>
      </c>
      <c r="U51" s="6"/>
      <c r="V51" s="83"/>
      <c r="W51" s="15"/>
      <c r="X51" s="15"/>
      <c r="Y51" s="15"/>
      <c r="Z51" s="93"/>
      <c r="AA51" s="93"/>
      <c r="AB51" s="93"/>
      <c r="AC51" s="10" t="str">
        <f aca="false">IF(X51="","",IFERROR(INDEX(t_Hora,MATCH(X51,t_Cargo,0)),0))</f>
        <v/>
      </c>
      <c r="AD51" s="94" t="str">
        <f aca="false">IF(X51="","",N(Z51)*IF(AA51="",IFERROR(INDEX(t_Horas,MATCH(X51,t_Cargo,0)),8),AA51)+N(AB51))</f>
        <v/>
      </c>
      <c r="AE51" s="37" t="str">
        <f aca="false">IF(X51="","",AC51*(N(Z51)*IF(AA51="",IFERROR(INDEX(t_Horas,MATCH(X51,t_Cargo,0)),8),AA51)+N(AB51)*(1+p_Extra)))</f>
        <v/>
      </c>
      <c r="AF51" s="15"/>
    </row>
    <row r="52" customFormat="false" ht="16.5" hidden="false" customHeight="true" outlineLevel="0" collapsed="false">
      <c r="A52" s="23" t="str">
        <f aca="false">IF(PRESUPUESTO!$A46="Ítem",PRESUPUESTO!B46,"")</f>
        <v/>
      </c>
      <c r="B52" s="23" t="str">
        <f aca="false">IF(PRESUPUESTO!C46="","",PRESUPUESTO!C46)</f>
        <v/>
      </c>
      <c r="C52" s="86" t="str">
        <f aca="false">IF(PRESUPUESTO!$A46="Ítem",PRESUPUESTO!D46,"")</f>
        <v/>
      </c>
      <c r="D52" s="87" t="str">
        <f aca="false">IF(PRESUPUESTO!$A46="Ítem",PRESUPUESTO!E46,"")</f>
        <v/>
      </c>
      <c r="E52" s="10" t="str">
        <f aca="false">IF(D52="","",N(PRESUPUESTO!J46))</f>
        <v/>
      </c>
      <c r="F52" s="16"/>
      <c r="G52" s="10" t="str">
        <f aca="false">IF(D52="","",D52*E52)</f>
        <v/>
      </c>
      <c r="H52" s="10" t="str">
        <f aca="false">IF(D52="","",D52*N(F52))</f>
        <v/>
      </c>
      <c r="I52" s="10" t="str">
        <f aca="false">IF(D52="","",G52-H52)</f>
        <v/>
      </c>
      <c r="J52" s="80"/>
      <c r="K52" s="80"/>
      <c r="L52" s="80"/>
      <c r="M52" s="80"/>
      <c r="N52" s="80"/>
      <c r="O52" s="80"/>
      <c r="P52" s="88" t="str">
        <f aca="false">IF(D52="","",SUM(J52:O52))</f>
        <v/>
      </c>
      <c r="Q52" s="87" t="str">
        <f aca="false">IF(D52="","",D52-P52)</f>
        <v/>
      </c>
      <c r="R52" s="36" t="str">
        <f aca="false">IF(OR(D52="",N(D52)=0),"",P52/D52)</f>
        <v/>
      </c>
      <c r="S52" s="10" t="str">
        <f aca="false">IF(D52="","",P52*N(F52))</f>
        <v/>
      </c>
      <c r="T52" s="10" t="str">
        <f aca="false">IF(D52="","",Q52*N(F52))</f>
        <v/>
      </c>
      <c r="U52" s="6"/>
      <c r="V52" s="83"/>
      <c r="W52" s="15"/>
      <c r="X52" s="15"/>
      <c r="Y52" s="15"/>
      <c r="Z52" s="93"/>
      <c r="AA52" s="93"/>
      <c r="AB52" s="93"/>
      <c r="AC52" s="10" t="str">
        <f aca="false">IF(X52="","",IFERROR(INDEX(t_Hora,MATCH(X52,t_Cargo,0)),0))</f>
        <v/>
      </c>
      <c r="AD52" s="94" t="str">
        <f aca="false">IF(X52="","",N(Z52)*IF(AA52="",IFERROR(INDEX(t_Horas,MATCH(X52,t_Cargo,0)),8),AA52)+N(AB52))</f>
        <v/>
      </c>
      <c r="AE52" s="37" t="str">
        <f aca="false">IF(X52="","",AC52*(N(Z52)*IF(AA52="",IFERROR(INDEX(t_Horas,MATCH(X52,t_Cargo,0)),8),AA52)+N(AB52)*(1+p_Extra)))</f>
        <v/>
      </c>
      <c r="AF52" s="15"/>
    </row>
    <row r="53" customFormat="false" ht="16.5" hidden="false" customHeight="true" outlineLevel="0" collapsed="false">
      <c r="A53" s="23" t="str">
        <f aca="false">IF(PRESUPUESTO!$A47="Ítem",PRESUPUESTO!B47,"")</f>
        <v/>
      </c>
      <c r="B53" s="23" t="str">
        <f aca="false">IF(PRESUPUESTO!C47="","",PRESUPUESTO!C47)</f>
        <v/>
      </c>
      <c r="C53" s="86" t="str">
        <f aca="false">IF(PRESUPUESTO!$A47="Ítem",PRESUPUESTO!D47,"")</f>
        <v/>
      </c>
      <c r="D53" s="87" t="str">
        <f aca="false">IF(PRESUPUESTO!$A47="Ítem",PRESUPUESTO!E47,"")</f>
        <v/>
      </c>
      <c r="E53" s="10" t="str">
        <f aca="false">IF(D53="","",N(PRESUPUESTO!J47))</f>
        <v/>
      </c>
      <c r="F53" s="16"/>
      <c r="G53" s="10" t="str">
        <f aca="false">IF(D53="","",D53*E53)</f>
        <v/>
      </c>
      <c r="H53" s="10" t="str">
        <f aca="false">IF(D53="","",D53*N(F53))</f>
        <v/>
      </c>
      <c r="I53" s="10" t="str">
        <f aca="false">IF(D53="","",G53-H53)</f>
        <v/>
      </c>
      <c r="J53" s="80"/>
      <c r="K53" s="80"/>
      <c r="L53" s="80"/>
      <c r="M53" s="80"/>
      <c r="N53" s="80"/>
      <c r="O53" s="80"/>
      <c r="P53" s="88" t="str">
        <f aca="false">IF(D53="","",SUM(J53:O53))</f>
        <v/>
      </c>
      <c r="Q53" s="87" t="str">
        <f aca="false">IF(D53="","",D53-P53)</f>
        <v/>
      </c>
      <c r="R53" s="36" t="str">
        <f aca="false">IF(OR(D53="",N(D53)=0),"",P53/D53)</f>
        <v/>
      </c>
      <c r="S53" s="10" t="str">
        <f aca="false">IF(D53="","",P53*N(F53))</f>
        <v/>
      </c>
      <c r="T53" s="10" t="str">
        <f aca="false">IF(D53="","",Q53*N(F53))</f>
        <v/>
      </c>
      <c r="U53" s="6"/>
      <c r="V53" s="83"/>
      <c r="W53" s="15"/>
      <c r="X53" s="15"/>
      <c r="Y53" s="15"/>
      <c r="Z53" s="93"/>
      <c r="AA53" s="93"/>
      <c r="AB53" s="93"/>
      <c r="AC53" s="10" t="str">
        <f aca="false">IF(X53="","",IFERROR(INDEX(t_Hora,MATCH(X53,t_Cargo,0)),0))</f>
        <v/>
      </c>
      <c r="AD53" s="94" t="str">
        <f aca="false">IF(X53="","",N(Z53)*IF(AA53="",IFERROR(INDEX(t_Horas,MATCH(X53,t_Cargo,0)),8),AA53)+N(AB53))</f>
        <v/>
      </c>
      <c r="AE53" s="37" t="str">
        <f aca="false">IF(X53="","",AC53*(N(Z53)*IF(AA53="",IFERROR(INDEX(t_Horas,MATCH(X53,t_Cargo,0)),8),AA53)+N(AB53)*(1+p_Extra)))</f>
        <v/>
      </c>
      <c r="AF53" s="15"/>
    </row>
    <row r="54" customFormat="false" ht="16.5" hidden="false" customHeight="true" outlineLevel="0" collapsed="false">
      <c r="A54" s="23" t="str">
        <f aca="false">IF(PRESUPUESTO!$A48="Ítem",PRESUPUESTO!B48,"")</f>
        <v/>
      </c>
      <c r="B54" s="23" t="str">
        <f aca="false">IF(PRESUPUESTO!C48="","",PRESUPUESTO!C48)</f>
        <v/>
      </c>
      <c r="C54" s="86" t="str">
        <f aca="false">IF(PRESUPUESTO!$A48="Ítem",PRESUPUESTO!D48,"")</f>
        <v/>
      </c>
      <c r="D54" s="87" t="str">
        <f aca="false">IF(PRESUPUESTO!$A48="Ítem",PRESUPUESTO!E48,"")</f>
        <v/>
      </c>
      <c r="E54" s="10" t="str">
        <f aca="false">IF(D54="","",N(PRESUPUESTO!J48))</f>
        <v/>
      </c>
      <c r="F54" s="16"/>
      <c r="G54" s="10" t="str">
        <f aca="false">IF(D54="","",D54*E54)</f>
        <v/>
      </c>
      <c r="H54" s="10" t="str">
        <f aca="false">IF(D54="","",D54*N(F54))</f>
        <v/>
      </c>
      <c r="I54" s="10" t="str">
        <f aca="false">IF(D54="","",G54-H54)</f>
        <v/>
      </c>
      <c r="J54" s="80"/>
      <c r="K54" s="80"/>
      <c r="L54" s="80"/>
      <c r="M54" s="80"/>
      <c r="N54" s="80"/>
      <c r="O54" s="80"/>
      <c r="P54" s="88" t="str">
        <f aca="false">IF(D54="","",SUM(J54:O54))</f>
        <v/>
      </c>
      <c r="Q54" s="87" t="str">
        <f aca="false">IF(D54="","",D54-P54)</f>
        <v/>
      </c>
      <c r="R54" s="36" t="str">
        <f aca="false">IF(OR(D54="",N(D54)=0),"",P54/D54)</f>
        <v/>
      </c>
      <c r="S54" s="10" t="str">
        <f aca="false">IF(D54="","",P54*N(F54))</f>
        <v/>
      </c>
      <c r="T54" s="10" t="str">
        <f aca="false">IF(D54="","",Q54*N(F54))</f>
        <v/>
      </c>
      <c r="U54" s="6"/>
      <c r="V54" s="83"/>
      <c r="W54" s="15"/>
      <c r="X54" s="15"/>
      <c r="Y54" s="15"/>
      <c r="Z54" s="93"/>
      <c r="AA54" s="93"/>
      <c r="AB54" s="93"/>
      <c r="AC54" s="10" t="str">
        <f aca="false">IF(X54="","",IFERROR(INDEX(t_Hora,MATCH(X54,t_Cargo,0)),0))</f>
        <v/>
      </c>
      <c r="AD54" s="94" t="str">
        <f aca="false">IF(X54="","",N(Z54)*IF(AA54="",IFERROR(INDEX(t_Horas,MATCH(X54,t_Cargo,0)),8),AA54)+N(AB54))</f>
        <v/>
      </c>
      <c r="AE54" s="37" t="str">
        <f aca="false">IF(X54="","",AC54*(N(Z54)*IF(AA54="",IFERROR(INDEX(t_Horas,MATCH(X54,t_Cargo,0)),8),AA54)+N(AB54)*(1+p_Extra)))</f>
        <v/>
      </c>
      <c r="AF54" s="15"/>
    </row>
    <row r="55" customFormat="false" ht="16.5" hidden="false" customHeight="true" outlineLevel="0" collapsed="false">
      <c r="A55" s="23" t="str">
        <f aca="false">IF(PRESUPUESTO!$A49="Ítem",PRESUPUESTO!B49,"")</f>
        <v/>
      </c>
      <c r="B55" s="23" t="str">
        <f aca="false">IF(PRESUPUESTO!C49="","",PRESUPUESTO!C49)</f>
        <v/>
      </c>
      <c r="C55" s="86" t="str">
        <f aca="false">IF(PRESUPUESTO!$A49="Ítem",PRESUPUESTO!D49,"")</f>
        <v/>
      </c>
      <c r="D55" s="87" t="str">
        <f aca="false">IF(PRESUPUESTO!$A49="Ítem",PRESUPUESTO!E49,"")</f>
        <v/>
      </c>
      <c r="E55" s="10" t="str">
        <f aca="false">IF(D55="","",N(PRESUPUESTO!J49))</f>
        <v/>
      </c>
      <c r="F55" s="16"/>
      <c r="G55" s="10" t="str">
        <f aca="false">IF(D55="","",D55*E55)</f>
        <v/>
      </c>
      <c r="H55" s="10" t="str">
        <f aca="false">IF(D55="","",D55*N(F55))</f>
        <v/>
      </c>
      <c r="I55" s="10" t="str">
        <f aca="false">IF(D55="","",G55-H55)</f>
        <v/>
      </c>
      <c r="J55" s="80"/>
      <c r="K55" s="80"/>
      <c r="L55" s="80"/>
      <c r="M55" s="80"/>
      <c r="N55" s="80"/>
      <c r="O55" s="80"/>
      <c r="P55" s="88" t="str">
        <f aca="false">IF(D55="","",SUM(J55:O55))</f>
        <v/>
      </c>
      <c r="Q55" s="87" t="str">
        <f aca="false">IF(D55="","",D55-P55)</f>
        <v/>
      </c>
      <c r="R55" s="36" t="str">
        <f aca="false">IF(OR(D55="",N(D55)=0),"",P55/D55)</f>
        <v/>
      </c>
      <c r="S55" s="10" t="str">
        <f aca="false">IF(D55="","",P55*N(F55))</f>
        <v/>
      </c>
      <c r="T55" s="10" t="str">
        <f aca="false">IF(D55="","",Q55*N(F55))</f>
        <v/>
      </c>
      <c r="U55" s="6"/>
      <c r="V55" s="83"/>
      <c r="W55" s="15"/>
      <c r="X55" s="15"/>
      <c r="Y55" s="15"/>
      <c r="Z55" s="93"/>
      <c r="AA55" s="93"/>
      <c r="AB55" s="93"/>
      <c r="AC55" s="10" t="str">
        <f aca="false">IF(X55="","",IFERROR(INDEX(t_Hora,MATCH(X55,t_Cargo,0)),0))</f>
        <v/>
      </c>
      <c r="AD55" s="94" t="str">
        <f aca="false">IF(X55="","",N(Z55)*IF(AA55="",IFERROR(INDEX(t_Horas,MATCH(X55,t_Cargo,0)),8),AA55)+N(AB55))</f>
        <v/>
      </c>
      <c r="AE55" s="37" t="str">
        <f aca="false">IF(X55="","",AC55*(N(Z55)*IF(AA55="",IFERROR(INDEX(t_Horas,MATCH(X55,t_Cargo,0)),8),AA55)+N(AB55)*(1+p_Extra)))</f>
        <v/>
      </c>
      <c r="AF55" s="15"/>
    </row>
    <row r="56" customFormat="false" ht="16.5" hidden="false" customHeight="true" outlineLevel="0" collapsed="false">
      <c r="A56" s="23" t="str">
        <f aca="false">IF(PRESUPUESTO!$A50="Ítem",PRESUPUESTO!B50,"")</f>
        <v/>
      </c>
      <c r="B56" s="23" t="str">
        <f aca="false">IF(PRESUPUESTO!C50="","",PRESUPUESTO!C50)</f>
        <v/>
      </c>
      <c r="C56" s="86" t="str">
        <f aca="false">IF(PRESUPUESTO!$A50="Ítem",PRESUPUESTO!D50,"")</f>
        <v/>
      </c>
      <c r="D56" s="87" t="str">
        <f aca="false">IF(PRESUPUESTO!$A50="Ítem",PRESUPUESTO!E50,"")</f>
        <v/>
      </c>
      <c r="E56" s="10" t="str">
        <f aca="false">IF(D56="","",N(PRESUPUESTO!J50))</f>
        <v/>
      </c>
      <c r="F56" s="16"/>
      <c r="G56" s="10" t="str">
        <f aca="false">IF(D56="","",D56*E56)</f>
        <v/>
      </c>
      <c r="H56" s="10" t="str">
        <f aca="false">IF(D56="","",D56*N(F56))</f>
        <v/>
      </c>
      <c r="I56" s="10" t="str">
        <f aca="false">IF(D56="","",G56-H56)</f>
        <v/>
      </c>
      <c r="J56" s="80"/>
      <c r="K56" s="80"/>
      <c r="L56" s="80"/>
      <c r="M56" s="80"/>
      <c r="N56" s="80"/>
      <c r="O56" s="80"/>
      <c r="P56" s="88" t="str">
        <f aca="false">IF(D56="","",SUM(J56:O56))</f>
        <v/>
      </c>
      <c r="Q56" s="87" t="str">
        <f aca="false">IF(D56="","",D56-P56)</f>
        <v/>
      </c>
      <c r="R56" s="36" t="str">
        <f aca="false">IF(OR(D56="",N(D56)=0),"",P56/D56)</f>
        <v/>
      </c>
      <c r="S56" s="10" t="str">
        <f aca="false">IF(D56="","",P56*N(F56))</f>
        <v/>
      </c>
      <c r="T56" s="10" t="str">
        <f aca="false">IF(D56="","",Q56*N(F56))</f>
        <v/>
      </c>
      <c r="U56" s="6"/>
      <c r="V56" s="83"/>
      <c r="W56" s="15"/>
      <c r="X56" s="15"/>
      <c r="Y56" s="15"/>
      <c r="Z56" s="93"/>
      <c r="AA56" s="93"/>
      <c r="AB56" s="93"/>
      <c r="AC56" s="10" t="str">
        <f aca="false">IF(X56="","",IFERROR(INDEX(t_Hora,MATCH(X56,t_Cargo,0)),0))</f>
        <v/>
      </c>
      <c r="AD56" s="94" t="str">
        <f aca="false">IF(X56="","",N(Z56)*IF(AA56="",IFERROR(INDEX(t_Horas,MATCH(X56,t_Cargo,0)),8),AA56)+N(AB56))</f>
        <v/>
      </c>
      <c r="AE56" s="37" t="str">
        <f aca="false">IF(X56="","",AC56*(N(Z56)*IF(AA56="",IFERROR(INDEX(t_Horas,MATCH(X56,t_Cargo,0)),8),AA56)+N(AB56)*(1+p_Extra)))</f>
        <v/>
      </c>
      <c r="AF56" s="15"/>
    </row>
    <row r="57" customFormat="false" ht="16.5" hidden="false" customHeight="true" outlineLevel="0" collapsed="false">
      <c r="A57" s="23" t="str">
        <f aca="false">IF(PRESUPUESTO!$A51="Ítem",PRESUPUESTO!B51,"")</f>
        <v/>
      </c>
      <c r="B57" s="23" t="str">
        <f aca="false">IF(PRESUPUESTO!C51="","",PRESUPUESTO!C51)</f>
        <v/>
      </c>
      <c r="C57" s="86" t="str">
        <f aca="false">IF(PRESUPUESTO!$A51="Ítem",PRESUPUESTO!D51,"")</f>
        <v/>
      </c>
      <c r="D57" s="87" t="str">
        <f aca="false">IF(PRESUPUESTO!$A51="Ítem",PRESUPUESTO!E51,"")</f>
        <v/>
      </c>
      <c r="E57" s="10" t="str">
        <f aca="false">IF(D57="","",N(PRESUPUESTO!J51))</f>
        <v/>
      </c>
      <c r="F57" s="16"/>
      <c r="G57" s="10" t="str">
        <f aca="false">IF(D57="","",D57*E57)</f>
        <v/>
      </c>
      <c r="H57" s="10" t="str">
        <f aca="false">IF(D57="","",D57*N(F57))</f>
        <v/>
      </c>
      <c r="I57" s="10" t="str">
        <f aca="false">IF(D57="","",G57-H57)</f>
        <v/>
      </c>
      <c r="J57" s="80"/>
      <c r="K57" s="80"/>
      <c r="L57" s="80"/>
      <c r="M57" s="80"/>
      <c r="N57" s="80"/>
      <c r="O57" s="80"/>
      <c r="P57" s="88" t="str">
        <f aca="false">IF(D57="","",SUM(J57:O57))</f>
        <v/>
      </c>
      <c r="Q57" s="87" t="str">
        <f aca="false">IF(D57="","",D57-P57)</f>
        <v/>
      </c>
      <c r="R57" s="36" t="str">
        <f aca="false">IF(OR(D57="",N(D57)=0),"",P57/D57)</f>
        <v/>
      </c>
      <c r="S57" s="10" t="str">
        <f aca="false">IF(D57="","",P57*N(F57))</f>
        <v/>
      </c>
      <c r="T57" s="10" t="str">
        <f aca="false">IF(D57="","",Q57*N(F57))</f>
        <v/>
      </c>
      <c r="U57" s="6"/>
      <c r="V57" s="83"/>
      <c r="W57" s="15"/>
      <c r="X57" s="15"/>
      <c r="Y57" s="15"/>
      <c r="Z57" s="93"/>
      <c r="AA57" s="93"/>
      <c r="AB57" s="93"/>
      <c r="AC57" s="10" t="str">
        <f aca="false">IF(X57="","",IFERROR(INDEX(t_Hora,MATCH(X57,t_Cargo,0)),0))</f>
        <v/>
      </c>
      <c r="AD57" s="94" t="str">
        <f aca="false">IF(X57="","",N(Z57)*IF(AA57="",IFERROR(INDEX(t_Horas,MATCH(X57,t_Cargo,0)),8),AA57)+N(AB57))</f>
        <v/>
      </c>
      <c r="AE57" s="37" t="str">
        <f aca="false">IF(X57="","",AC57*(N(Z57)*IF(AA57="",IFERROR(INDEX(t_Horas,MATCH(X57,t_Cargo,0)),8),AA57)+N(AB57)*(1+p_Extra)))</f>
        <v/>
      </c>
      <c r="AF57" s="15"/>
    </row>
    <row r="58" customFormat="false" ht="16.5" hidden="false" customHeight="true" outlineLevel="0" collapsed="false">
      <c r="A58" s="23" t="str">
        <f aca="false">IF(PRESUPUESTO!$A52="Ítem",PRESUPUESTO!B52,"")</f>
        <v/>
      </c>
      <c r="B58" s="23" t="str">
        <f aca="false">IF(PRESUPUESTO!C52="","",PRESUPUESTO!C52)</f>
        <v/>
      </c>
      <c r="C58" s="86" t="str">
        <f aca="false">IF(PRESUPUESTO!$A52="Ítem",PRESUPUESTO!D52,"")</f>
        <v/>
      </c>
      <c r="D58" s="87" t="str">
        <f aca="false">IF(PRESUPUESTO!$A52="Ítem",PRESUPUESTO!E52,"")</f>
        <v/>
      </c>
      <c r="E58" s="10" t="str">
        <f aca="false">IF(D58="","",N(PRESUPUESTO!J52))</f>
        <v/>
      </c>
      <c r="F58" s="16"/>
      <c r="G58" s="10" t="str">
        <f aca="false">IF(D58="","",D58*E58)</f>
        <v/>
      </c>
      <c r="H58" s="10" t="str">
        <f aca="false">IF(D58="","",D58*N(F58))</f>
        <v/>
      </c>
      <c r="I58" s="10" t="str">
        <f aca="false">IF(D58="","",G58-H58)</f>
        <v/>
      </c>
      <c r="J58" s="80"/>
      <c r="K58" s="80"/>
      <c r="L58" s="80"/>
      <c r="M58" s="80"/>
      <c r="N58" s="80"/>
      <c r="O58" s="80"/>
      <c r="P58" s="88" t="str">
        <f aca="false">IF(D58="","",SUM(J58:O58))</f>
        <v/>
      </c>
      <c r="Q58" s="87" t="str">
        <f aca="false">IF(D58="","",D58-P58)</f>
        <v/>
      </c>
      <c r="R58" s="36" t="str">
        <f aca="false">IF(OR(D58="",N(D58)=0),"",P58/D58)</f>
        <v/>
      </c>
      <c r="S58" s="10" t="str">
        <f aca="false">IF(D58="","",P58*N(F58))</f>
        <v/>
      </c>
      <c r="T58" s="10" t="str">
        <f aca="false">IF(D58="","",Q58*N(F58))</f>
        <v/>
      </c>
      <c r="U58" s="6"/>
      <c r="V58" s="83"/>
      <c r="W58" s="15"/>
      <c r="X58" s="15"/>
      <c r="Y58" s="15"/>
      <c r="Z58" s="93"/>
      <c r="AA58" s="93"/>
      <c r="AB58" s="93"/>
      <c r="AC58" s="10" t="str">
        <f aca="false">IF(X58="","",IFERROR(INDEX(t_Hora,MATCH(X58,t_Cargo,0)),0))</f>
        <v/>
      </c>
      <c r="AD58" s="94" t="str">
        <f aca="false">IF(X58="","",N(Z58)*IF(AA58="",IFERROR(INDEX(t_Horas,MATCH(X58,t_Cargo,0)),8),AA58)+N(AB58))</f>
        <v/>
      </c>
      <c r="AE58" s="37" t="str">
        <f aca="false">IF(X58="","",AC58*(N(Z58)*IF(AA58="",IFERROR(INDEX(t_Horas,MATCH(X58,t_Cargo,0)),8),AA58)+N(AB58)*(1+p_Extra)))</f>
        <v/>
      </c>
      <c r="AF58" s="15"/>
    </row>
    <row r="59" customFormat="false" ht="16.5" hidden="false" customHeight="true" outlineLevel="0" collapsed="false">
      <c r="A59" s="23" t="str">
        <f aca="false">IF(PRESUPUESTO!$A53="Ítem",PRESUPUESTO!B53,"")</f>
        <v/>
      </c>
      <c r="B59" s="23" t="str">
        <f aca="false">IF(PRESUPUESTO!C53="","",PRESUPUESTO!C53)</f>
        <v/>
      </c>
      <c r="C59" s="86" t="str">
        <f aca="false">IF(PRESUPUESTO!$A53="Ítem",PRESUPUESTO!D53,"")</f>
        <v/>
      </c>
      <c r="D59" s="87" t="str">
        <f aca="false">IF(PRESUPUESTO!$A53="Ítem",PRESUPUESTO!E53,"")</f>
        <v/>
      </c>
      <c r="E59" s="10" t="str">
        <f aca="false">IF(D59="","",N(PRESUPUESTO!J53))</f>
        <v/>
      </c>
      <c r="F59" s="16"/>
      <c r="G59" s="10" t="str">
        <f aca="false">IF(D59="","",D59*E59)</f>
        <v/>
      </c>
      <c r="H59" s="10" t="str">
        <f aca="false">IF(D59="","",D59*N(F59))</f>
        <v/>
      </c>
      <c r="I59" s="10" t="str">
        <f aca="false">IF(D59="","",G59-H59)</f>
        <v/>
      </c>
      <c r="J59" s="80"/>
      <c r="K59" s="80"/>
      <c r="L59" s="80"/>
      <c r="M59" s="80"/>
      <c r="N59" s="80"/>
      <c r="O59" s="80"/>
      <c r="P59" s="88" t="str">
        <f aca="false">IF(D59="","",SUM(J59:O59))</f>
        <v/>
      </c>
      <c r="Q59" s="87" t="str">
        <f aca="false">IF(D59="","",D59-P59)</f>
        <v/>
      </c>
      <c r="R59" s="36" t="str">
        <f aca="false">IF(OR(D59="",N(D59)=0),"",P59/D59)</f>
        <v/>
      </c>
      <c r="S59" s="10" t="str">
        <f aca="false">IF(D59="","",P59*N(F59))</f>
        <v/>
      </c>
      <c r="T59" s="10" t="str">
        <f aca="false">IF(D59="","",Q59*N(F59))</f>
        <v/>
      </c>
      <c r="U59" s="6"/>
      <c r="V59" s="83"/>
      <c r="W59" s="15"/>
      <c r="X59" s="15"/>
      <c r="Y59" s="15"/>
      <c r="Z59" s="93"/>
      <c r="AA59" s="93"/>
      <c r="AB59" s="93"/>
      <c r="AC59" s="10" t="str">
        <f aca="false">IF(X59="","",IFERROR(INDEX(t_Hora,MATCH(X59,t_Cargo,0)),0))</f>
        <v/>
      </c>
      <c r="AD59" s="94" t="str">
        <f aca="false">IF(X59="","",N(Z59)*IF(AA59="",IFERROR(INDEX(t_Horas,MATCH(X59,t_Cargo,0)),8),AA59)+N(AB59))</f>
        <v/>
      </c>
      <c r="AE59" s="37" t="str">
        <f aca="false">IF(X59="","",AC59*(N(Z59)*IF(AA59="",IFERROR(INDEX(t_Horas,MATCH(X59,t_Cargo,0)),8),AA59)+N(AB59)*(1+p_Extra)))</f>
        <v/>
      </c>
      <c r="AF59" s="15"/>
    </row>
    <row r="60" customFormat="false" ht="16.5" hidden="false" customHeight="true" outlineLevel="0" collapsed="false">
      <c r="A60" s="23" t="str">
        <f aca="false">IF(PRESUPUESTO!$A54="Ítem",PRESUPUESTO!B54,"")</f>
        <v/>
      </c>
      <c r="B60" s="23" t="str">
        <f aca="false">IF(PRESUPUESTO!C54="","",PRESUPUESTO!C54)</f>
        <v/>
      </c>
      <c r="C60" s="86" t="str">
        <f aca="false">IF(PRESUPUESTO!$A54="Ítem",PRESUPUESTO!D54,"")</f>
        <v/>
      </c>
      <c r="D60" s="87" t="str">
        <f aca="false">IF(PRESUPUESTO!$A54="Ítem",PRESUPUESTO!E54,"")</f>
        <v/>
      </c>
      <c r="E60" s="10" t="str">
        <f aca="false">IF(D60="","",N(PRESUPUESTO!J54))</f>
        <v/>
      </c>
      <c r="F60" s="16"/>
      <c r="G60" s="10" t="str">
        <f aca="false">IF(D60="","",D60*E60)</f>
        <v/>
      </c>
      <c r="H60" s="10" t="str">
        <f aca="false">IF(D60="","",D60*N(F60))</f>
        <v/>
      </c>
      <c r="I60" s="10" t="str">
        <f aca="false">IF(D60="","",G60-H60)</f>
        <v/>
      </c>
      <c r="J60" s="80"/>
      <c r="K60" s="80"/>
      <c r="L60" s="80"/>
      <c r="M60" s="80"/>
      <c r="N60" s="80"/>
      <c r="O60" s="80"/>
      <c r="P60" s="88" t="str">
        <f aca="false">IF(D60="","",SUM(J60:O60))</f>
        <v/>
      </c>
      <c r="Q60" s="87" t="str">
        <f aca="false">IF(D60="","",D60-P60)</f>
        <v/>
      </c>
      <c r="R60" s="36" t="str">
        <f aca="false">IF(OR(D60="",N(D60)=0),"",P60/D60)</f>
        <v/>
      </c>
      <c r="S60" s="10" t="str">
        <f aca="false">IF(D60="","",P60*N(F60))</f>
        <v/>
      </c>
      <c r="T60" s="10" t="str">
        <f aca="false">IF(D60="","",Q60*N(F60))</f>
        <v/>
      </c>
      <c r="U60" s="6"/>
      <c r="V60" s="83"/>
      <c r="W60" s="15"/>
      <c r="X60" s="15"/>
      <c r="Y60" s="15"/>
      <c r="Z60" s="93"/>
      <c r="AA60" s="93"/>
      <c r="AB60" s="93"/>
      <c r="AC60" s="10" t="str">
        <f aca="false">IF(X60="","",IFERROR(INDEX(t_Hora,MATCH(X60,t_Cargo,0)),0))</f>
        <v/>
      </c>
      <c r="AD60" s="94" t="str">
        <f aca="false">IF(X60="","",N(Z60)*IF(AA60="",IFERROR(INDEX(t_Horas,MATCH(X60,t_Cargo,0)),8),AA60)+N(AB60))</f>
        <v/>
      </c>
      <c r="AE60" s="37" t="str">
        <f aca="false">IF(X60="","",AC60*(N(Z60)*IF(AA60="",IFERROR(INDEX(t_Horas,MATCH(X60,t_Cargo,0)),8),AA60)+N(AB60)*(1+p_Extra)))</f>
        <v/>
      </c>
      <c r="AF60" s="15"/>
    </row>
    <row r="61" customFormat="false" ht="16.5" hidden="false" customHeight="true" outlineLevel="0" collapsed="false">
      <c r="A61" s="23" t="str">
        <f aca="false">IF(PRESUPUESTO!$A55="Ítem",PRESUPUESTO!B55,"")</f>
        <v/>
      </c>
      <c r="B61" s="23" t="str">
        <f aca="false">IF(PRESUPUESTO!C55="","",PRESUPUESTO!C55)</f>
        <v/>
      </c>
      <c r="C61" s="86" t="str">
        <f aca="false">IF(PRESUPUESTO!$A55="Ítem",PRESUPUESTO!D55,"")</f>
        <v/>
      </c>
      <c r="D61" s="87" t="str">
        <f aca="false">IF(PRESUPUESTO!$A55="Ítem",PRESUPUESTO!E55,"")</f>
        <v/>
      </c>
      <c r="E61" s="10" t="str">
        <f aca="false">IF(D61="","",N(PRESUPUESTO!J55))</f>
        <v/>
      </c>
      <c r="F61" s="16"/>
      <c r="G61" s="10" t="str">
        <f aca="false">IF(D61="","",D61*E61)</f>
        <v/>
      </c>
      <c r="H61" s="10" t="str">
        <f aca="false">IF(D61="","",D61*N(F61))</f>
        <v/>
      </c>
      <c r="I61" s="10" t="str">
        <f aca="false">IF(D61="","",G61-H61)</f>
        <v/>
      </c>
      <c r="J61" s="80"/>
      <c r="K61" s="80"/>
      <c r="L61" s="80"/>
      <c r="M61" s="80"/>
      <c r="N61" s="80"/>
      <c r="O61" s="80"/>
      <c r="P61" s="88" t="str">
        <f aca="false">IF(D61="","",SUM(J61:O61))</f>
        <v/>
      </c>
      <c r="Q61" s="87" t="str">
        <f aca="false">IF(D61="","",D61-P61)</f>
        <v/>
      </c>
      <c r="R61" s="36" t="str">
        <f aca="false">IF(OR(D61="",N(D61)=0),"",P61/D61)</f>
        <v/>
      </c>
      <c r="S61" s="10" t="str">
        <f aca="false">IF(D61="","",P61*N(F61))</f>
        <v/>
      </c>
      <c r="T61" s="10" t="str">
        <f aca="false">IF(D61="","",Q61*N(F61))</f>
        <v/>
      </c>
      <c r="U61" s="6"/>
      <c r="V61" s="83"/>
      <c r="W61" s="15"/>
      <c r="X61" s="15"/>
      <c r="Y61" s="15"/>
      <c r="Z61" s="93"/>
      <c r="AA61" s="93"/>
      <c r="AB61" s="93"/>
      <c r="AC61" s="10" t="str">
        <f aca="false">IF(X61="","",IFERROR(INDEX(t_Hora,MATCH(X61,t_Cargo,0)),0))</f>
        <v/>
      </c>
      <c r="AD61" s="94" t="str">
        <f aca="false">IF(X61="","",N(Z61)*IF(AA61="",IFERROR(INDEX(t_Horas,MATCH(X61,t_Cargo,0)),8),AA61)+N(AB61))</f>
        <v/>
      </c>
      <c r="AE61" s="37" t="str">
        <f aca="false">IF(X61="","",AC61*(N(Z61)*IF(AA61="",IFERROR(INDEX(t_Horas,MATCH(X61,t_Cargo,0)),8),AA61)+N(AB61)*(1+p_Extra)))</f>
        <v/>
      </c>
      <c r="AF61" s="15"/>
    </row>
    <row r="62" customFormat="false" ht="16.5" hidden="false" customHeight="true" outlineLevel="0" collapsed="false">
      <c r="A62" s="23" t="str">
        <f aca="false">IF(PRESUPUESTO!$A56="Ítem",PRESUPUESTO!B56,"")</f>
        <v/>
      </c>
      <c r="B62" s="23" t="str">
        <f aca="false">IF(PRESUPUESTO!C56="","",PRESUPUESTO!C56)</f>
        <v/>
      </c>
      <c r="C62" s="86" t="str">
        <f aca="false">IF(PRESUPUESTO!$A56="Ítem",PRESUPUESTO!D56,"")</f>
        <v/>
      </c>
      <c r="D62" s="87" t="str">
        <f aca="false">IF(PRESUPUESTO!$A56="Ítem",PRESUPUESTO!E56,"")</f>
        <v/>
      </c>
      <c r="E62" s="10" t="str">
        <f aca="false">IF(D62="","",N(PRESUPUESTO!J56))</f>
        <v/>
      </c>
      <c r="F62" s="16"/>
      <c r="G62" s="10" t="str">
        <f aca="false">IF(D62="","",D62*E62)</f>
        <v/>
      </c>
      <c r="H62" s="10" t="str">
        <f aca="false">IF(D62="","",D62*N(F62))</f>
        <v/>
      </c>
      <c r="I62" s="10" t="str">
        <f aca="false">IF(D62="","",G62-H62)</f>
        <v/>
      </c>
      <c r="J62" s="80"/>
      <c r="K62" s="80"/>
      <c r="L62" s="80"/>
      <c r="M62" s="80"/>
      <c r="N62" s="80"/>
      <c r="O62" s="80"/>
      <c r="P62" s="88" t="str">
        <f aca="false">IF(D62="","",SUM(J62:O62))</f>
        <v/>
      </c>
      <c r="Q62" s="87" t="str">
        <f aca="false">IF(D62="","",D62-P62)</f>
        <v/>
      </c>
      <c r="R62" s="36" t="str">
        <f aca="false">IF(OR(D62="",N(D62)=0),"",P62/D62)</f>
        <v/>
      </c>
      <c r="S62" s="10" t="str">
        <f aca="false">IF(D62="","",P62*N(F62))</f>
        <v/>
      </c>
      <c r="T62" s="10" t="str">
        <f aca="false">IF(D62="","",Q62*N(F62))</f>
        <v/>
      </c>
      <c r="U62" s="6"/>
      <c r="V62" s="83"/>
      <c r="W62" s="15"/>
      <c r="X62" s="15"/>
      <c r="Y62" s="15"/>
      <c r="Z62" s="93"/>
      <c r="AA62" s="93"/>
      <c r="AB62" s="93"/>
      <c r="AC62" s="10" t="str">
        <f aca="false">IF(X62="","",IFERROR(INDEX(t_Hora,MATCH(X62,t_Cargo,0)),0))</f>
        <v/>
      </c>
      <c r="AD62" s="94" t="str">
        <f aca="false">IF(X62="","",N(Z62)*IF(AA62="",IFERROR(INDEX(t_Horas,MATCH(X62,t_Cargo,0)),8),AA62)+N(AB62))</f>
        <v/>
      </c>
      <c r="AE62" s="37" t="str">
        <f aca="false">IF(X62="","",AC62*(N(Z62)*IF(AA62="",IFERROR(INDEX(t_Horas,MATCH(X62,t_Cargo,0)),8),AA62)+N(AB62)*(1+p_Extra)))</f>
        <v/>
      </c>
      <c r="AF62" s="15"/>
    </row>
    <row r="63" customFormat="false" ht="16.5" hidden="false" customHeight="true" outlineLevel="0" collapsed="false">
      <c r="A63" s="23" t="str">
        <f aca="false">IF(PRESUPUESTO!$A57="Ítem",PRESUPUESTO!B57,"")</f>
        <v/>
      </c>
      <c r="B63" s="23" t="str">
        <f aca="false">IF(PRESUPUESTO!C57="","",PRESUPUESTO!C57)</f>
        <v/>
      </c>
      <c r="C63" s="86" t="str">
        <f aca="false">IF(PRESUPUESTO!$A57="Ítem",PRESUPUESTO!D57,"")</f>
        <v/>
      </c>
      <c r="D63" s="87" t="str">
        <f aca="false">IF(PRESUPUESTO!$A57="Ítem",PRESUPUESTO!E57,"")</f>
        <v/>
      </c>
      <c r="E63" s="10" t="str">
        <f aca="false">IF(D63="","",N(PRESUPUESTO!J57))</f>
        <v/>
      </c>
      <c r="F63" s="16"/>
      <c r="G63" s="10" t="str">
        <f aca="false">IF(D63="","",D63*E63)</f>
        <v/>
      </c>
      <c r="H63" s="10" t="str">
        <f aca="false">IF(D63="","",D63*N(F63))</f>
        <v/>
      </c>
      <c r="I63" s="10" t="str">
        <f aca="false">IF(D63="","",G63-H63)</f>
        <v/>
      </c>
      <c r="J63" s="80"/>
      <c r="K63" s="80"/>
      <c r="L63" s="80"/>
      <c r="M63" s="80"/>
      <c r="N63" s="80"/>
      <c r="O63" s="80"/>
      <c r="P63" s="88" t="str">
        <f aca="false">IF(D63="","",SUM(J63:O63))</f>
        <v/>
      </c>
      <c r="Q63" s="87" t="str">
        <f aca="false">IF(D63="","",D63-P63)</f>
        <v/>
      </c>
      <c r="R63" s="36" t="str">
        <f aca="false">IF(OR(D63="",N(D63)=0),"",P63/D63)</f>
        <v/>
      </c>
      <c r="S63" s="10" t="str">
        <f aca="false">IF(D63="","",P63*N(F63))</f>
        <v/>
      </c>
      <c r="T63" s="10" t="str">
        <f aca="false">IF(D63="","",Q63*N(F63))</f>
        <v/>
      </c>
      <c r="U63" s="6"/>
      <c r="V63" s="83"/>
      <c r="W63" s="15"/>
      <c r="X63" s="15"/>
      <c r="Y63" s="15"/>
      <c r="Z63" s="93"/>
      <c r="AA63" s="93"/>
      <c r="AB63" s="93"/>
      <c r="AC63" s="10" t="str">
        <f aca="false">IF(X63="","",IFERROR(INDEX(t_Hora,MATCH(X63,t_Cargo,0)),0))</f>
        <v/>
      </c>
      <c r="AD63" s="94" t="str">
        <f aca="false">IF(X63="","",N(Z63)*IF(AA63="",IFERROR(INDEX(t_Horas,MATCH(X63,t_Cargo,0)),8),AA63)+N(AB63))</f>
        <v/>
      </c>
      <c r="AE63" s="37" t="str">
        <f aca="false">IF(X63="","",AC63*(N(Z63)*IF(AA63="",IFERROR(INDEX(t_Horas,MATCH(X63,t_Cargo,0)),8),AA63)+N(AB63)*(1+p_Extra)))</f>
        <v/>
      </c>
      <c r="AF63" s="15"/>
    </row>
    <row r="64" customFormat="false" ht="16.5" hidden="false" customHeight="true" outlineLevel="0" collapsed="false">
      <c r="A64" s="23" t="str">
        <f aca="false">IF(PRESUPUESTO!$A58="Ítem",PRESUPUESTO!B58,"")</f>
        <v/>
      </c>
      <c r="B64" s="23" t="str">
        <f aca="false">IF(PRESUPUESTO!C58="","",PRESUPUESTO!C58)</f>
        <v/>
      </c>
      <c r="C64" s="86" t="str">
        <f aca="false">IF(PRESUPUESTO!$A58="Ítem",PRESUPUESTO!D58,"")</f>
        <v/>
      </c>
      <c r="D64" s="87" t="str">
        <f aca="false">IF(PRESUPUESTO!$A58="Ítem",PRESUPUESTO!E58,"")</f>
        <v/>
      </c>
      <c r="E64" s="10" t="str">
        <f aca="false">IF(D64="","",N(PRESUPUESTO!J58))</f>
        <v/>
      </c>
      <c r="F64" s="16"/>
      <c r="G64" s="10" t="str">
        <f aca="false">IF(D64="","",D64*E64)</f>
        <v/>
      </c>
      <c r="H64" s="10" t="str">
        <f aca="false">IF(D64="","",D64*N(F64))</f>
        <v/>
      </c>
      <c r="I64" s="10" t="str">
        <f aca="false">IF(D64="","",G64-H64)</f>
        <v/>
      </c>
      <c r="J64" s="80"/>
      <c r="K64" s="80"/>
      <c r="L64" s="80"/>
      <c r="M64" s="80"/>
      <c r="N64" s="80"/>
      <c r="O64" s="80"/>
      <c r="P64" s="88" t="str">
        <f aca="false">IF(D64="","",SUM(J64:O64))</f>
        <v/>
      </c>
      <c r="Q64" s="87" t="str">
        <f aca="false">IF(D64="","",D64-P64)</f>
        <v/>
      </c>
      <c r="R64" s="36" t="str">
        <f aca="false">IF(OR(D64="",N(D64)=0),"",P64/D64)</f>
        <v/>
      </c>
      <c r="S64" s="10" t="str">
        <f aca="false">IF(D64="","",P64*N(F64))</f>
        <v/>
      </c>
      <c r="T64" s="10" t="str">
        <f aca="false">IF(D64="","",Q64*N(F64))</f>
        <v/>
      </c>
      <c r="U64" s="6"/>
      <c r="V64" s="83"/>
      <c r="W64" s="15"/>
      <c r="X64" s="15"/>
      <c r="Y64" s="15"/>
      <c r="Z64" s="93"/>
      <c r="AA64" s="93"/>
      <c r="AB64" s="93"/>
      <c r="AC64" s="10" t="str">
        <f aca="false">IF(X64="","",IFERROR(INDEX(t_Hora,MATCH(X64,t_Cargo,0)),0))</f>
        <v/>
      </c>
      <c r="AD64" s="94" t="str">
        <f aca="false">IF(X64="","",N(Z64)*IF(AA64="",IFERROR(INDEX(t_Horas,MATCH(X64,t_Cargo,0)),8),AA64)+N(AB64))</f>
        <v/>
      </c>
      <c r="AE64" s="37" t="str">
        <f aca="false">IF(X64="","",AC64*(N(Z64)*IF(AA64="",IFERROR(INDEX(t_Horas,MATCH(X64,t_Cargo,0)),8),AA64)+N(AB64)*(1+p_Extra)))</f>
        <v/>
      </c>
      <c r="AF64" s="15"/>
    </row>
    <row r="65" customFormat="false" ht="16.5" hidden="false" customHeight="true" outlineLevel="0" collapsed="false">
      <c r="A65" s="23" t="str">
        <f aca="false">IF(PRESUPUESTO!$A59="Ítem",PRESUPUESTO!B59,"")</f>
        <v/>
      </c>
      <c r="B65" s="23" t="str">
        <f aca="false">IF(PRESUPUESTO!C59="","",PRESUPUESTO!C59)</f>
        <v/>
      </c>
      <c r="C65" s="86" t="str">
        <f aca="false">IF(PRESUPUESTO!$A59="Ítem",PRESUPUESTO!D59,"")</f>
        <v/>
      </c>
      <c r="D65" s="87" t="str">
        <f aca="false">IF(PRESUPUESTO!$A59="Ítem",PRESUPUESTO!E59,"")</f>
        <v/>
      </c>
      <c r="E65" s="10" t="str">
        <f aca="false">IF(D65="","",N(PRESUPUESTO!J59))</f>
        <v/>
      </c>
      <c r="F65" s="16"/>
      <c r="G65" s="10" t="str">
        <f aca="false">IF(D65="","",D65*E65)</f>
        <v/>
      </c>
      <c r="H65" s="10" t="str">
        <f aca="false">IF(D65="","",D65*N(F65))</f>
        <v/>
      </c>
      <c r="I65" s="10" t="str">
        <f aca="false">IF(D65="","",G65-H65)</f>
        <v/>
      </c>
      <c r="J65" s="80"/>
      <c r="K65" s="80"/>
      <c r="L65" s="80"/>
      <c r="M65" s="80"/>
      <c r="N65" s="80"/>
      <c r="O65" s="80"/>
      <c r="P65" s="88" t="str">
        <f aca="false">IF(D65="","",SUM(J65:O65))</f>
        <v/>
      </c>
      <c r="Q65" s="87" t="str">
        <f aca="false">IF(D65="","",D65-P65)</f>
        <v/>
      </c>
      <c r="R65" s="36" t="str">
        <f aca="false">IF(OR(D65="",N(D65)=0),"",P65/D65)</f>
        <v/>
      </c>
      <c r="S65" s="10" t="str">
        <f aca="false">IF(D65="","",P65*N(F65))</f>
        <v/>
      </c>
      <c r="T65" s="10" t="str">
        <f aca="false">IF(D65="","",Q65*N(F65))</f>
        <v/>
      </c>
      <c r="U65" s="6"/>
      <c r="V65" s="83"/>
      <c r="W65" s="15"/>
      <c r="X65" s="15"/>
      <c r="Y65" s="15"/>
      <c r="Z65" s="93"/>
      <c r="AA65" s="93"/>
      <c r="AB65" s="93"/>
      <c r="AC65" s="10" t="str">
        <f aca="false">IF(X65="","",IFERROR(INDEX(t_Hora,MATCH(X65,t_Cargo,0)),0))</f>
        <v/>
      </c>
      <c r="AD65" s="94" t="str">
        <f aca="false">IF(X65="","",N(Z65)*IF(AA65="",IFERROR(INDEX(t_Horas,MATCH(X65,t_Cargo,0)),8),AA65)+N(AB65))</f>
        <v/>
      </c>
      <c r="AE65" s="37" t="str">
        <f aca="false">IF(X65="","",AC65*(N(Z65)*IF(AA65="",IFERROR(INDEX(t_Horas,MATCH(X65,t_Cargo,0)),8),AA65)+N(AB65)*(1+p_Extra)))</f>
        <v/>
      </c>
      <c r="AF65" s="15"/>
    </row>
    <row r="66" customFormat="false" ht="16.5" hidden="false" customHeight="true" outlineLevel="0" collapsed="false">
      <c r="A66" s="23" t="str">
        <f aca="false">IF(PRESUPUESTO!$A60="Ítem",PRESUPUESTO!B60,"")</f>
        <v/>
      </c>
      <c r="B66" s="23" t="str">
        <f aca="false">IF(PRESUPUESTO!C60="","",PRESUPUESTO!C60)</f>
        <v/>
      </c>
      <c r="C66" s="86" t="str">
        <f aca="false">IF(PRESUPUESTO!$A60="Ítem",PRESUPUESTO!D60,"")</f>
        <v/>
      </c>
      <c r="D66" s="87" t="str">
        <f aca="false">IF(PRESUPUESTO!$A60="Ítem",PRESUPUESTO!E60,"")</f>
        <v/>
      </c>
      <c r="E66" s="10" t="str">
        <f aca="false">IF(D66="","",N(PRESUPUESTO!J60))</f>
        <v/>
      </c>
      <c r="F66" s="16"/>
      <c r="G66" s="10" t="str">
        <f aca="false">IF(D66="","",D66*E66)</f>
        <v/>
      </c>
      <c r="H66" s="10" t="str">
        <f aca="false">IF(D66="","",D66*N(F66))</f>
        <v/>
      </c>
      <c r="I66" s="10" t="str">
        <f aca="false">IF(D66="","",G66-H66)</f>
        <v/>
      </c>
      <c r="J66" s="80"/>
      <c r="K66" s="80"/>
      <c r="L66" s="80"/>
      <c r="M66" s="80"/>
      <c r="N66" s="80"/>
      <c r="O66" s="80"/>
      <c r="P66" s="88" t="str">
        <f aca="false">IF(D66="","",SUM(J66:O66))</f>
        <v/>
      </c>
      <c r="Q66" s="87" t="str">
        <f aca="false">IF(D66="","",D66-P66)</f>
        <v/>
      </c>
      <c r="R66" s="36" t="str">
        <f aca="false">IF(OR(D66="",N(D66)=0),"",P66/D66)</f>
        <v/>
      </c>
      <c r="S66" s="10" t="str">
        <f aca="false">IF(D66="","",P66*N(F66))</f>
        <v/>
      </c>
      <c r="T66" s="10" t="str">
        <f aca="false">IF(D66="","",Q66*N(F66))</f>
        <v/>
      </c>
      <c r="U66" s="6"/>
      <c r="V66" s="83"/>
      <c r="W66" s="15"/>
      <c r="X66" s="15"/>
      <c r="Y66" s="15"/>
      <c r="Z66" s="93"/>
      <c r="AA66" s="93"/>
      <c r="AB66" s="93"/>
      <c r="AC66" s="10" t="str">
        <f aca="false">IF(X66="","",IFERROR(INDEX(t_Hora,MATCH(X66,t_Cargo,0)),0))</f>
        <v/>
      </c>
      <c r="AD66" s="94" t="str">
        <f aca="false">IF(X66="","",N(Z66)*IF(AA66="",IFERROR(INDEX(t_Horas,MATCH(X66,t_Cargo,0)),8),AA66)+N(AB66))</f>
        <v/>
      </c>
      <c r="AE66" s="37" t="str">
        <f aca="false">IF(X66="","",AC66*(N(Z66)*IF(AA66="",IFERROR(INDEX(t_Horas,MATCH(X66,t_Cargo,0)),8),AA66)+N(AB66)*(1+p_Extra)))</f>
        <v/>
      </c>
      <c r="AF66" s="15"/>
    </row>
    <row r="67" customFormat="false" ht="16.5" hidden="false" customHeight="true" outlineLevel="0" collapsed="false">
      <c r="A67" s="23" t="str">
        <f aca="false">IF(PRESUPUESTO!$A61="Ítem",PRESUPUESTO!B61,"")</f>
        <v/>
      </c>
      <c r="B67" s="23" t="str">
        <f aca="false">IF(PRESUPUESTO!C61="","",PRESUPUESTO!C61)</f>
        <v/>
      </c>
      <c r="C67" s="86" t="str">
        <f aca="false">IF(PRESUPUESTO!$A61="Ítem",PRESUPUESTO!D61,"")</f>
        <v/>
      </c>
      <c r="D67" s="87" t="str">
        <f aca="false">IF(PRESUPUESTO!$A61="Ítem",PRESUPUESTO!E61,"")</f>
        <v/>
      </c>
      <c r="E67" s="10" t="str">
        <f aca="false">IF(D67="","",N(PRESUPUESTO!J61))</f>
        <v/>
      </c>
      <c r="F67" s="16"/>
      <c r="G67" s="10" t="str">
        <f aca="false">IF(D67="","",D67*E67)</f>
        <v/>
      </c>
      <c r="H67" s="10" t="str">
        <f aca="false">IF(D67="","",D67*N(F67))</f>
        <v/>
      </c>
      <c r="I67" s="10" t="str">
        <f aca="false">IF(D67="","",G67-H67)</f>
        <v/>
      </c>
      <c r="J67" s="80"/>
      <c r="K67" s="80"/>
      <c r="L67" s="80"/>
      <c r="M67" s="80"/>
      <c r="N67" s="80"/>
      <c r="O67" s="80"/>
      <c r="P67" s="88" t="str">
        <f aca="false">IF(D67="","",SUM(J67:O67))</f>
        <v/>
      </c>
      <c r="Q67" s="87" t="str">
        <f aca="false">IF(D67="","",D67-P67)</f>
        <v/>
      </c>
      <c r="R67" s="36" t="str">
        <f aca="false">IF(OR(D67="",N(D67)=0),"",P67/D67)</f>
        <v/>
      </c>
      <c r="S67" s="10" t="str">
        <f aca="false">IF(D67="","",P67*N(F67))</f>
        <v/>
      </c>
      <c r="T67" s="10" t="str">
        <f aca="false">IF(D67="","",Q67*N(F67))</f>
        <v/>
      </c>
      <c r="U67" s="6"/>
      <c r="V67" s="83"/>
      <c r="W67" s="15"/>
      <c r="X67" s="15"/>
      <c r="Y67" s="15"/>
      <c r="Z67" s="93"/>
      <c r="AA67" s="93"/>
      <c r="AB67" s="93"/>
      <c r="AC67" s="10" t="str">
        <f aca="false">IF(X67="","",IFERROR(INDEX(t_Hora,MATCH(X67,t_Cargo,0)),0))</f>
        <v/>
      </c>
      <c r="AD67" s="94" t="str">
        <f aca="false">IF(X67="","",N(Z67)*IF(AA67="",IFERROR(INDEX(t_Horas,MATCH(X67,t_Cargo,0)),8),AA67)+N(AB67))</f>
        <v/>
      </c>
      <c r="AE67" s="37" t="str">
        <f aca="false">IF(X67="","",AC67*(N(Z67)*IF(AA67="",IFERROR(INDEX(t_Horas,MATCH(X67,t_Cargo,0)),8),AA67)+N(AB67)*(1+p_Extra)))</f>
        <v/>
      </c>
      <c r="AF67" s="15"/>
    </row>
    <row r="68" customFormat="false" ht="16.5" hidden="false" customHeight="true" outlineLevel="0" collapsed="false">
      <c r="A68" s="23" t="str">
        <f aca="false">IF(PRESUPUESTO!$A62="Ítem",PRESUPUESTO!B62,"")</f>
        <v/>
      </c>
      <c r="B68" s="23" t="str">
        <f aca="false">IF(PRESUPUESTO!C62="","",PRESUPUESTO!C62)</f>
        <v/>
      </c>
      <c r="C68" s="86" t="str">
        <f aca="false">IF(PRESUPUESTO!$A62="Ítem",PRESUPUESTO!D62,"")</f>
        <v/>
      </c>
      <c r="D68" s="87" t="str">
        <f aca="false">IF(PRESUPUESTO!$A62="Ítem",PRESUPUESTO!E62,"")</f>
        <v/>
      </c>
      <c r="E68" s="10" t="str">
        <f aca="false">IF(D68="","",N(PRESUPUESTO!J62))</f>
        <v/>
      </c>
      <c r="F68" s="16"/>
      <c r="G68" s="10" t="str">
        <f aca="false">IF(D68="","",D68*E68)</f>
        <v/>
      </c>
      <c r="H68" s="10" t="str">
        <f aca="false">IF(D68="","",D68*N(F68))</f>
        <v/>
      </c>
      <c r="I68" s="10" t="str">
        <f aca="false">IF(D68="","",G68-H68)</f>
        <v/>
      </c>
      <c r="J68" s="80"/>
      <c r="K68" s="80"/>
      <c r="L68" s="80"/>
      <c r="M68" s="80"/>
      <c r="N68" s="80"/>
      <c r="O68" s="80"/>
      <c r="P68" s="88" t="str">
        <f aca="false">IF(D68="","",SUM(J68:O68))</f>
        <v/>
      </c>
      <c r="Q68" s="87" t="str">
        <f aca="false">IF(D68="","",D68-P68)</f>
        <v/>
      </c>
      <c r="R68" s="36" t="str">
        <f aca="false">IF(OR(D68="",N(D68)=0),"",P68/D68)</f>
        <v/>
      </c>
      <c r="S68" s="10" t="str">
        <f aca="false">IF(D68="","",P68*N(F68))</f>
        <v/>
      </c>
      <c r="T68" s="10" t="str">
        <f aca="false">IF(D68="","",Q68*N(F68))</f>
        <v/>
      </c>
      <c r="U68" s="6"/>
      <c r="V68" s="83"/>
      <c r="W68" s="15"/>
      <c r="X68" s="15"/>
      <c r="Y68" s="15"/>
      <c r="Z68" s="93"/>
      <c r="AA68" s="93"/>
      <c r="AB68" s="93"/>
      <c r="AC68" s="10" t="str">
        <f aca="false">IF(X68="","",IFERROR(INDEX(t_Hora,MATCH(X68,t_Cargo,0)),0))</f>
        <v/>
      </c>
      <c r="AD68" s="94" t="str">
        <f aca="false">IF(X68="","",N(Z68)*IF(AA68="",IFERROR(INDEX(t_Horas,MATCH(X68,t_Cargo,0)),8),AA68)+N(AB68))</f>
        <v/>
      </c>
      <c r="AE68" s="37" t="str">
        <f aca="false">IF(X68="","",AC68*(N(Z68)*IF(AA68="",IFERROR(INDEX(t_Horas,MATCH(X68,t_Cargo,0)),8),AA68)+N(AB68)*(1+p_Extra)))</f>
        <v/>
      </c>
      <c r="AF68" s="15"/>
    </row>
    <row r="69" customFormat="false" ht="16.5" hidden="false" customHeight="true" outlineLevel="0" collapsed="false">
      <c r="A69" s="23" t="str">
        <f aca="false">IF(PRESUPUESTO!$A63="Ítem",PRESUPUESTO!B63,"")</f>
        <v/>
      </c>
      <c r="B69" s="23" t="str">
        <f aca="false">IF(PRESUPUESTO!C63="","",PRESUPUESTO!C63)</f>
        <v/>
      </c>
      <c r="C69" s="86" t="str">
        <f aca="false">IF(PRESUPUESTO!$A63="Ítem",PRESUPUESTO!D63,"")</f>
        <v/>
      </c>
      <c r="D69" s="87" t="str">
        <f aca="false">IF(PRESUPUESTO!$A63="Ítem",PRESUPUESTO!E63,"")</f>
        <v/>
      </c>
      <c r="E69" s="10" t="str">
        <f aca="false">IF(D69="","",N(PRESUPUESTO!J63))</f>
        <v/>
      </c>
      <c r="F69" s="16"/>
      <c r="G69" s="10" t="str">
        <f aca="false">IF(D69="","",D69*E69)</f>
        <v/>
      </c>
      <c r="H69" s="10" t="str">
        <f aca="false">IF(D69="","",D69*N(F69))</f>
        <v/>
      </c>
      <c r="I69" s="10" t="str">
        <f aca="false">IF(D69="","",G69-H69)</f>
        <v/>
      </c>
      <c r="J69" s="80"/>
      <c r="K69" s="80"/>
      <c r="L69" s="80"/>
      <c r="M69" s="80"/>
      <c r="N69" s="80"/>
      <c r="O69" s="80"/>
      <c r="P69" s="88" t="str">
        <f aca="false">IF(D69="","",SUM(J69:O69))</f>
        <v/>
      </c>
      <c r="Q69" s="87" t="str">
        <f aca="false">IF(D69="","",D69-P69)</f>
        <v/>
      </c>
      <c r="R69" s="36" t="str">
        <f aca="false">IF(OR(D69="",N(D69)=0),"",P69/D69)</f>
        <v/>
      </c>
      <c r="S69" s="10" t="str">
        <f aca="false">IF(D69="","",P69*N(F69))</f>
        <v/>
      </c>
      <c r="T69" s="10" t="str">
        <f aca="false">IF(D69="","",Q69*N(F69))</f>
        <v/>
      </c>
      <c r="U69" s="6"/>
      <c r="V69" s="83"/>
      <c r="W69" s="15"/>
      <c r="X69" s="15"/>
      <c r="Y69" s="15"/>
      <c r="Z69" s="93"/>
      <c r="AA69" s="93"/>
      <c r="AB69" s="93"/>
      <c r="AC69" s="10" t="str">
        <f aca="false">IF(X69="","",IFERROR(INDEX(t_Hora,MATCH(X69,t_Cargo,0)),0))</f>
        <v/>
      </c>
      <c r="AD69" s="94" t="str">
        <f aca="false">IF(X69="","",N(Z69)*IF(AA69="",IFERROR(INDEX(t_Horas,MATCH(X69,t_Cargo,0)),8),AA69)+N(AB69))</f>
        <v/>
      </c>
      <c r="AE69" s="37" t="str">
        <f aca="false">IF(X69="","",AC69*(N(Z69)*IF(AA69="",IFERROR(INDEX(t_Horas,MATCH(X69,t_Cargo,0)),8),AA69)+N(AB69)*(1+p_Extra)))</f>
        <v/>
      </c>
      <c r="AF69" s="15"/>
    </row>
    <row r="70" customFormat="false" ht="16.5" hidden="false" customHeight="true" outlineLevel="0" collapsed="false">
      <c r="A70" s="23" t="str">
        <f aca="false">IF(PRESUPUESTO!$A64="Ítem",PRESUPUESTO!B64,"")</f>
        <v/>
      </c>
      <c r="B70" s="23" t="str">
        <f aca="false">IF(PRESUPUESTO!C64="","",PRESUPUESTO!C64)</f>
        <v/>
      </c>
      <c r="C70" s="86" t="str">
        <f aca="false">IF(PRESUPUESTO!$A64="Ítem",PRESUPUESTO!D64,"")</f>
        <v/>
      </c>
      <c r="D70" s="87" t="str">
        <f aca="false">IF(PRESUPUESTO!$A64="Ítem",PRESUPUESTO!E64,"")</f>
        <v/>
      </c>
      <c r="E70" s="10" t="str">
        <f aca="false">IF(D70="","",N(PRESUPUESTO!J64))</f>
        <v/>
      </c>
      <c r="F70" s="16"/>
      <c r="G70" s="10" t="str">
        <f aca="false">IF(D70="","",D70*E70)</f>
        <v/>
      </c>
      <c r="H70" s="10" t="str">
        <f aca="false">IF(D70="","",D70*N(F70))</f>
        <v/>
      </c>
      <c r="I70" s="10" t="str">
        <f aca="false">IF(D70="","",G70-H70)</f>
        <v/>
      </c>
      <c r="J70" s="80"/>
      <c r="K70" s="80"/>
      <c r="L70" s="80"/>
      <c r="M70" s="80"/>
      <c r="N70" s="80"/>
      <c r="O70" s="80"/>
      <c r="P70" s="88" t="str">
        <f aca="false">IF(D70="","",SUM(J70:O70))</f>
        <v/>
      </c>
      <c r="Q70" s="87" t="str">
        <f aca="false">IF(D70="","",D70-P70)</f>
        <v/>
      </c>
      <c r="R70" s="36" t="str">
        <f aca="false">IF(OR(D70="",N(D70)=0),"",P70/D70)</f>
        <v/>
      </c>
      <c r="S70" s="10" t="str">
        <f aca="false">IF(D70="","",P70*N(F70))</f>
        <v/>
      </c>
      <c r="T70" s="10" t="str">
        <f aca="false">IF(D70="","",Q70*N(F70))</f>
        <v/>
      </c>
      <c r="U70" s="6"/>
      <c r="V70" s="83"/>
      <c r="W70" s="15"/>
      <c r="X70" s="15"/>
      <c r="Y70" s="15"/>
      <c r="Z70" s="93"/>
      <c r="AA70" s="93"/>
      <c r="AB70" s="93"/>
      <c r="AC70" s="10" t="str">
        <f aca="false">IF(X70="","",IFERROR(INDEX(t_Hora,MATCH(X70,t_Cargo,0)),0))</f>
        <v/>
      </c>
      <c r="AD70" s="94" t="str">
        <f aca="false">IF(X70="","",N(Z70)*IF(AA70="",IFERROR(INDEX(t_Horas,MATCH(X70,t_Cargo,0)),8),AA70)+N(AB70))</f>
        <v/>
      </c>
      <c r="AE70" s="37" t="str">
        <f aca="false">IF(X70="","",AC70*(N(Z70)*IF(AA70="",IFERROR(INDEX(t_Horas,MATCH(X70,t_Cargo,0)),8),AA70)+N(AB70)*(1+p_Extra)))</f>
        <v/>
      </c>
      <c r="AF70" s="15"/>
    </row>
    <row r="71" customFormat="false" ht="16.5" hidden="false" customHeight="true" outlineLevel="0" collapsed="false">
      <c r="A71" s="23" t="str">
        <f aca="false">IF(PRESUPUESTO!$A65="Ítem",PRESUPUESTO!B65,"")</f>
        <v/>
      </c>
      <c r="B71" s="23" t="str">
        <f aca="false">IF(PRESUPUESTO!C65="","",PRESUPUESTO!C65)</f>
        <v/>
      </c>
      <c r="C71" s="86" t="str">
        <f aca="false">IF(PRESUPUESTO!$A65="Ítem",PRESUPUESTO!D65,"")</f>
        <v/>
      </c>
      <c r="D71" s="87" t="str">
        <f aca="false">IF(PRESUPUESTO!$A65="Ítem",PRESUPUESTO!E65,"")</f>
        <v/>
      </c>
      <c r="E71" s="10" t="str">
        <f aca="false">IF(D71="","",N(PRESUPUESTO!J65))</f>
        <v/>
      </c>
      <c r="F71" s="16"/>
      <c r="G71" s="10" t="str">
        <f aca="false">IF(D71="","",D71*E71)</f>
        <v/>
      </c>
      <c r="H71" s="10" t="str">
        <f aca="false">IF(D71="","",D71*N(F71))</f>
        <v/>
      </c>
      <c r="I71" s="10" t="str">
        <f aca="false">IF(D71="","",G71-H71)</f>
        <v/>
      </c>
      <c r="J71" s="80"/>
      <c r="K71" s="80"/>
      <c r="L71" s="80"/>
      <c r="M71" s="80"/>
      <c r="N71" s="80"/>
      <c r="O71" s="80"/>
      <c r="P71" s="88" t="str">
        <f aca="false">IF(D71="","",SUM(J71:O71))</f>
        <v/>
      </c>
      <c r="Q71" s="87" t="str">
        <f aca="false">IF(D71="","",D71-P71)</f>
        <v/>
      </c>
      <c r="R71" s="36" t="str">
        <f aca="false">IF(OR(D71="",N(D71)=0),"",P71/D71)</f>
        <v/>
      </c>
      <c r="S71" s="10" t="str">
        <f aca="false">IF(D71="","",P71*N(F71))</f>
        <v/>
      </c>
      <c r="T71" s="10" t="str">
        <f aca="false">IF(D71="","",Q71*N(F71))</f>
        <v/>
      </c>
      <c r="U71" s="6"/>
      <c r="V71" s="83"/>
      <c r="W71" s="15"/>
      <c r="X71" s="15"/>
      <c r="Y71" s="15"/>
      <c r="Z71" s="93"/>
      <c r="AA71" s="93"/>
      <c r="AB71" s="93"/>
      <c r="AC71" s="10" t="str">
        <f aca="false">IF(X71="","",IFERROR(INDEX(t_Hora,MATCH(X71,t_Cargo,0)),0))</f>
        <v/>
      </c>
      <c r="AD71" s="94" t="str">
        <f aca="false">IF(X71="","",N(Z71)*IF(AA71="",IFERROR(INDEX(t_Horas,MATCH(X71,t_Cargo,0)),8),AA71)+N(AB71))</f>
        <v/>
      </c>
      <c r="AE71" s="37" t="str">
        <f aca="false">IF(X71="","",AC71*(N(Z71)*IF(AA71="",IFERROR(INDEX(t_Horas,MATCH(X71,t_Cargo,0)),8),AA71)+N(AB71)*(1+p_Extra)))</f>
        <v/>
      </c>
      <c r="AF71" s="15"/>
    </row>
    <row r="72" customFormat="false" ht="16.5" hidden="false" customHeight="true" outlineLevel="0" collapsed="false">
      <c r="A72" s="23" t="str">
        <f aca="false">IF(PRESUPUESTO!$A66="Ítem",PRESUPUESTO!B66,"")</f>
        <v/>
      </c>
      <c r="B72" s="23" t="str">
        <f aca="false">IF(PRESUPUESTO!C66="","",PRESUPUESTO!C66)</f>
        <v/>
      </c>
      <c r="C72" s="86" t="str">
        <f aca="false">IF(PRESUPUESTO!$A66="Ítem",PRESUPUESTO!D66,"")</f>
        <v/>
      </c>
      <c r="D72" s="87" t="str">
        <f aca="false">IF(PRESUPUESTO!$A66="Ítem",PRESUPUESTO!E66,"")</f>
        <v/>
      </c>
      <c r="E72" s="10" t="str">
        <f aca="false">IF(D72="","",N(PRESUPUESTO!J66))</f>
        <v/>
      </c>
      <c r="F72" s="16"/>
      <c r="G72" s="10" t="str">
        <f aca="false">IF(D72="","",D72*E72)</f>
        <v/>
      </c>
      <c r="H72" s="10" t="str">
        <f aca="false">IF(D72="","",D72*N(F72))</f>
        <v/>
      </c>
      <c r="I72" s="10" t="str">
        <f aca="false">IF(D72="","",G72-H72)</f>
        <v/>
      </c>
      <c r="J72" s="80"/>
      <c r="K72" s="80"/>
      <c r="L72" s="80"/>
      <c r="M72" s="80"/>
      <c r="N72" s="80"/>
      <c r="O72" s="80"/>
      <c r="P72" s="88" t="str">
        <f aca="false">IF(D72="","",SUM(J72:O72))</f>
        <v/>
      </c>
      <c r="Q72" s="87" t="str">
        <f aca="false">IF(D72="","",D72-P72)</f>
        <v/>
      </c>
      <c r="R72" s="36" t="str">
        <f aca="false">IF(OR(D72="",N(D72)=0),"",P72/D72)</f>
        <v/>
      </c>
      <c r="S72" s="10" t="str">
        <f aca="false">IF(D72="","",P72*N(F72))</f>
        <v/>
      </c>
      <c r="T72" s="10" t="str">
        <f aca="false">IF(D72="","",Q72*N(F72))</f>
        <v/>
      </c>
      <c r="U72" s="6"/>
      <c r="V72" s="83"/>
      <c r="W72" s="15"/>
      <c r="X72" s="15"/>
      <c r="Y72" s="15"/>
      <c r="Z72" s="93"/>
      <c r="AA72" s="93"/>
      <c r="AB72" s="93"/>
      <c r="AC72" s="10" t="str">
        <f aca="false">IF(X72="","",IFERROR(INDEX(t_Hora,MATCH(X72,t_Cargo,0)),0))</f>
        <v/>
      </c>
      <c r="AD72" s="94" t="str">
        <f aca="false">IF(X72="","",N(Z72)*IF(AA72="",IFERROR(INDEX(t_Horas,MATCH(X72,t_Cargo,0)),8),AA72)+N(AB72))</f>
        <v/>
      </c>
      <c r="AE72" s="37" t="str">
        <f aca="false">IF(X72="","",AC72*(N(Z72)*IF(AA72="",IFERROR(INDEX(t_Horas,MATCH(X72,t_Cargo,0)),8),AA72)+N(AB72)*(1+p_Extra)))</f>
        <v/>
      </c>
      <c r="AF72" s="15"/>
    </row>
    <row r="73" customFormat="false" ht="16.5" hidden="false" customHeight="true" outlineLevel="0" collapsed="false">
      <c r="A73" s="23" t="str">
        <f aca="false">IF(PRESUPUESTO!$A67="Ítem",PRESUPUESTO!B67,"")</f>
        <v/>
      </c>
      <c r="B73" s="23" t="str">
        <f aca="false">IF(PRESUPUESTO!C67="","",PRESUPUESTO!C67)</f>
        <v/>
      </c>
      <c r="C73" s="86" t="str">
        <f aca="false">IF(PRESUPUESTO!$A67="Ítem",PRESUPUESTO!D67,"")</f>
        <v/>
      </c>
      <c r="D73" s="87" t="str">
        <f aca="false">IF(PRESUPUESTO!$A67="Ítem",PRESUPUESTO!E67,"")</f>
        <v/>
      </c>
      <c r="E73" s="10" t="str">
        <f aca="false">IF(D73="","",N(PRESUPUESTO!J67))</f>
        <v/>
      </c>
      <c r="F73" s="16"/>
      <c r="G73" s="10" t="str">
        <f aca="false">IF(D73="","",D73*E73)</f>
        <v/>
      </c>
      <c r="H73" s="10" t="str">
        <f aca="false">IF(D73="","",D73*N(F73))</f>
        <v/>
      </c>
      <c r="I73" s="10" t="str">
        <f aca="false">IF(D73="","",G73-H73)</f>
        <v/>
      </c>
      <c r="J73" s="80"/>
      <c r="K73" s="80"/>
      <c r="L73" s="80"/>
      <c r="M73" s="80"/>
      <c r="N73" s="80"/>
      <c r="O73" s="80"/>
      <c r="P73" s="88" t="str">
        <f aca="false">IF(D73="","",SUM(J73:O73))</f>
        <v/>
      </c>
      <c r="Q73" s="87" t="str">
        <f aca="false">IF(D73="","",D73-P73)</f>
        <v/>
      </c>
      <c r="R73" s="36" t="str">
        <f aca="false">IF(OR(D73="",N(D73)=0),"",P73/D73)</f>
        <v/>
      </c>
      <c r="S73" s="10" t="str">
        <f aca="false">IF(D73="","",P73*N(F73))</f>
        <v/>
      </c>
      <c r="T73" s="10" t="str">
        <f aca="false">IF(D73="","",Q73*N(F73))</f>
        <v/>
      </c>
      <c r="U73" s="6"/>
      <c r="V73" s="83"/>
      <c r="W73" s="15"/>
      <c r="X73" s="15"/>
      <c r="Y73" s="15"/>
      <c r="Z73" s="93"/>
      <c r="AA73" s="93"/>
      <c r="AB73" s="93"/>
      <c r="AC73" s="10" t="str">
        <f aca="false">IF(X73="","",IFERROR(INDEX(t_Hora,MATCH(X73,t_Cargo,0)),0))</f>
        <v/>
      </c>
      <c r="AD73" s="94" t="str">
        <f aca="false">IF(X73="","",N(Z73)*IF(AA73="",IFERROR(INDEX(t_Horas,MATCH(X73,t_Cargo,0)),8),AA73)+N(AB73))</f>
        <v/>
      </c>
      <c r="AE73" s="37" t="str">
        <f aca="false">IF(X73="","",AC73*(N(Z73)*IF(AA73="",IFERROR(INDEX(t_Horas,MATCH(X73,t_Cargo,0)),8),AA73)+N(AB73)*(1+p_Extra)))</f>
        <v/>
      </c>
      <c r="AF73" s="15"/>
    </row>
    <row r="74" customFormat="false" ht="16.5" hidden="false" customHeight="true" outlineLevel="0" collapsed="false">
      <c r="A74" s="23" t="str">
        <f aca="false">IF(PRESUPUESTO!$A68="Ítem",PRESUPUESTO!B68,"")</f>
        <v/>
      </c>
      <c r="B74" s="23" t="str">
        <f aca="false">IF(PRESUPUESTO!C68="","",PRESUPUESTO!C68)</f>
        <v/>
      </c>
      <c r="C74" s="86" t="str">
        <f aca="false">IF(PRESUPUESTO!$A68="Ítem",PRESUPUESTO!D68,"")</f>
        <v/>
      </c>
      <c r="D74" s="87" t="str">
        <f aca="false">IF(PRESUPUESTO!$A68="Ítem",PRESUPUESTO!E68,"")</f>
        <v/>
      </c>
      <c r="E74" s="10" t="str">
        <f aca="false">IF(D74="","",N(PRESUPUESTO!J68))</f>
        <v/>
      </c>
      <c r="F74" s="16"/>
      <c r="G74" s="10" t="str">
        <f aca="false">IF(D74="","",D74*E74)</f>
        <v/>
      </c>
      <c r="H74" s="10" t="str">
        <f aca="false">IF(D74="","",D74*N(F74))</f>
        <v/>
      </c>
      <c r="I74" s="10" t="str">
        <f aca="false">IF(D74="","",G74-H74)</f>
        <v/>
      </c>
      <c r="J74" s="80"/>
      <c r="K74" s="80"/>
      <c r="L74" s="80"/>
      <c r="M74" s="80"/>
      <c r="N74" s="80"/>
      <c r="O74" s="80"/>
      <c r="P74" s="88" t="str">
        <f aca="false">IF(D74="","",SUM(J74:O74))</f>
        <v/>
      </c>
      <c r="Q74" s="87" t="str">
        <f aca="false">IF(D74="","",D74-P74)</f>
        <v/>
      </c>
      <c r="R74" s="36" t="str">
        <f aca="false">IF(OR(D74="",N(D74)=0),"",P74/D74)</f>
        <v/>
      </c>
      <c r="S74" s="10" t="str">
        <f aca="false">IF(D74="","",P74*N(F74))</f>
        <v/>
      </c>
      <c r="T74" s="10" t="str">
        <f aca="false">IF(D74="","",Q74*N(F74))</f>
        <v/>
      </c>
      <c r="U74" s="6"/>
      <c r="V74" s="83"/>
      <c r="W74" s="15"/>
      <c r="X74" s="15"/>
      <c r="Y74" s="15"/>
      <c r="Z74" s="93"/>
      <c r="AA74" s="93"/>
      <c r="AB74" s="93"/>
      <c r="AC74" s="10" t="str">
        <f aca="false">IF(X74="","",IFERROR(INDEX(t_Hora,MATCH(X74,t_Cargo,0)),0))</f>
        <v/>
      </c>
      <c r="AD74" s="94" t="str">
        <f aca="false">IF(X74="","",N(Z74)*IF(AA74="",IFERROR(INDEX(t_Horas,MATCH(X74,t_Cargo,0)),8),AA74)+N(AB74))</f>
        <v/>
      </c>
      <c r="AE74" s="37" t="str">
        <f aca="false">IF(X74="","",AC74*(N(Z74)*IF(AA74="",IFERROR(INDEX(t_Horas,MATCH(X74,t_Cargo,0)),8),AA74)+N(AB74)*(1+p_Extra)))</f>
        <v/>
      </c>
      <c r="AF74" s="15"/>
    </row>
    <row r="75" customFormat="false" ht="16.5" hidden="false" customHeight="true" outlineLevel="0" collapsed="false">
      <c r="A75" s="23" t="str">
        <f aca="false">IF(PRESUPUESTO!$A69="Ítem",PRESUPUESTO!B69,"")</f>
        <v/>
      </c>
      <c r="B75" s="23" t="str">
        <f aca="false">IF(PRESUPUESTO!C69="","",PRESUPUESTO!C69)</f>
        <v/>
      </c>
      <c r="C75" s="86" t="str">
        <f aca="false">IF(PRESUPUESTO!$A69="Ítem",PRESUPUESTO!D69,"")</f>
        <v/>
      </c>
      <c r="D75" s="87" t="str">
        <f aca="false">IF(PRESUPUESTO!$A69="Ítem",PRESUPUESTO!E69,"")</f>
        <v/>
      </c>
      <c r="E75" s="10" t="str">
        <f aca="false">IF(D75="","",N(PRESUPUESTO!J69))</f>
        <v/>
      </c>
      <c r="F75" s="16"/>
      <c r="G75" s="10" t="str">
        <f aca="false">IF(D75="","",D75*E75)</f>
        <v/>
      </c>
      <c r="H75" s="10" t="str">
        <f aca="false">IF(D75="","",D75*N(F75))</f>
        <v/>
      </c>
      <c r="I75" s="10" t="str">
        <f aca="false">IF(D75="","",G75-H75)</f>
        <v/>
      </c>
      <c r="J75" s="80"/>
      <c r="K75" s="80"/>
      <c r="L75" s="80"/>
      <c r="M75" s="80"/>
      <c r="N75" s="80"/>
      <c r="O75" s="80"/>
      <c r="P75" s="88" t="str">
        <f aca="false">IF(D75="","",SUM(J75:O75))</f>
        <v/>
      </c>
      <c r="Q75" s="87" t="str">
        <f aca="false">IF(D75="","",D75-P75)</f>
        <v/>
      </c>
      <c r="R75" s="36" t="str">
        <f aca="false">IF(OR(D75="",N(D75)=0),"",P75/D75)</f>
        <v/>
      </c>
      <c r="S75" s="10" t="str">
        <f aca="false">IF(D75="","",P75*N(F75))</f>
        <v/>
      </c>
      <c r="T75" s="10" t="str">
        <f aca="false">IF(D75="","",Q75*N(F75))</f>
        <v/>
      </c>
      <c r="U75" s="6"/>
      <c r="V75" s="83"/>
      <c r="W75" s="15"/>
      <c r="X75" s="15"/>
      <c r="Y75" s="15"/>
      <c r="Z75" s="93"/>
      <c r="AA75" s="93"/>
      <c r="AB75" s="93"/>
      <c r="AC75" s="10" t="str">
        <f aca="false">IF(X75="","",IFERROR(INDEX(t_Hora,MATCH(X75,t_Cargo,0)),0))</f>
        <v/>
      </c>
      <c r="AD75" s="94" t="str">
        <f aca="false">IF(X75="","",N(Z75)*IF(AA75="",IFERROR(INDEX(t_Horas,MATCH(X75,t_Cargo,0)),8),AA75)+N(AB75))</f>
        <v/>
      </c>
      <c r="AE75" s="37" t="str">
        <f aca="false">IF(X75="","",AC75*(N(Z75)*IF(AA75="",IFERROR(INDEX(t_Horas,MATCH(X75,t_Cargo,0)),8),AA75)+N(AB75)*(1+p_Extra)))</f>
        <v/>
      </c>
      <c r="AF75" s="15"/>
    </row>
    <row r="76" customFormat="false" ht="16.5" hidden="false" customHeight="true" outlineLevel="0" collapsed="false">
      <c r="A76" s="23" t="str">
        <f aca="false">IF(PRESUPUESTO!$A70="Ítem",PRESUPUESTO!B70,"")</f>
        <v/>
      </c>
      <c r="B76" s="23" t="str">
        <f aca="false">IF(PRESUPUESTO!C70="","",PRESUPUESTO!C70)</f>
        <v/>
      </c>
      <c r="C76" s="86" t="str">
        <f aca="false">IF(PRESUPUESTO!$A70="Ítem",PRESUPUESTO!D70,"")</f>
        <v/>
      </c>
      <c r="D76" s="87" t="str">
        <f aca="false">IF(PRESUPUESTO!$A70="Ítem",PRESUPUESTO!E70,"")</f>
        <v/>
      </c>
      <c r="E76" s="10" t="str">
        <f aca="false">IF(D76="","",N(PRESUPUESTO!J70))</f>
        <v/>
      </c>
      <c r="F76" s="16"/>
      <c r="G76" s="10" t="str">
        <f aca="false">IF(D76="","",D76*E76)</f>
        <v/>
      </c>
      <c r="H76" s="10" t="str">
        <f aca="false">IF(D76="","",D76*N(F76))</f>
        <v/>
      </c>
      <c r="I76" s="10" t="str">
        <f aca="false">IF(D76="","",G76-H76)</f>
        <v/>
      </c>
      <c r="J76" s="80"/>
      <c r="K76" s="80"/>
      <c r="L76" s="80"/>
      <c r="M76" s="80"/>
      <c r="N76" s="80"/>
      <c r="O76" s="80"/>
      <c r="P76" s="88" t="str">
        <f aca="false">IF(D76="","",SUM(J76:O76))</f>
        <v/>
      </c>
      <c r="Q76" s="87" t="str">
        <f aca="false">IF(D76="","",D76-P76)</f>
        <v/>
      </c>
      <c r="R76" s="36" t="str">
        <f aca="false">IF(OR(D76="",N(D76)=0),"",P76/D76)</f>
        <v/>
      </c>
      <c r="S76" s="10" t="str">
        <f aca="false">IF(D76="","",P76*N(F76))</f>
        <v/>
      </c>
      <c r="T76" s="10" t="str">
        <f aca="false">IF(D76="","",Q76*N(F76))</f>
        <v/>
      </c>
      <c r="U76" s="6"/>
      <c r="V76" s="83"/>
      <c r="W76" s="15"/>
      <c r="X76" s="15"/>
      <c r="Y76" s="15"/>
      <c r="Z76" s="93"/>
      <c r="AA76" s="93"/>
      <c r="AB76" s="93"/>
      <c r="AC76" s="10" t="str">
        <f aca="false">IF(X76="","",IFERROR(INDEX(t_Hora,MATCH(X76,t_Cargo,0)),0))</f>
        <v/>
      </c>
      <c r="AD76" s="94" t="str">
        <f aca="false">IF(X76="","",N(Z76)*IF(AA76="",IFERROR(INDEX(t_Horas,MATCH(X76,t_Cargo,0)),8),AA76)+N(AB76))</f>
        <v/>
      </c>
      <c r="AE76" s="37" t="str">
        <f aca="false">IF(X76="","",AC76*(N(Z76)*IF(AA76="",IFERROR(INDEX(t_Horas,MATCH(X76,t_Cargo,0)),8),AA76)+N(AB76)*(1+p_Extra)))</f>
        <v/>
      </c>
      <c r="AF76" s="15"/>
    </row>
    <row r="77" customFormat="false" ht="16.5" hidden="false" customHeight="true" outlineLevel="0" collapsed="false">
      <c r="A77" s="23" t="str">
        <f aca="false">IF(PRESUPUESTO!$A71="Ítem",PRESUPUESTO!B71,"")</f>
        <v/>
      </c>
      <c r="B77" s="23" t="str">
        <f aca="false">IF(PRESUPUESTO!C71="","",PRESUPUESTO!C71)</f>
        <v/>
      </c>
      <c r="C77" s="86" t="str">
        <f aca="false">IF(PRESUPUESTO!$A71="Ítem",PRESUPUESTO!D71,"")</f>
        <v/>
      </c>
      <c r="D77" s="87" t="str">
        <f aca="false">IF(PRESUPUESTO!$A71="Ítem",PRESUPUESTO!E71,"")</f>
        <v/>
      </c>
      <c r="E77" s="10" t="str">
        <f aca="false">IF(D77="","",N(PRESUPUESTO!J71))</f>
        <v/>
      </c>
      <c r="F77" s="16"/>
      <c r="G77" s="10" t="str">
        <f aca="false">IF(D77="","",D77*E77)</f>
        <v/>
      </c>
      <c r="H77" s="10" t="str">
        <f aca="false">IF(D77="","",D77*N(F77))</f>
        <v/>
      </c>
      <c r="I77" s="10" t="str">
        <f aca="false">IF(D77="","",G77-H77)</f>
        <v/>
      </c>
      <c r="J77" s="80"/>
      <c r="K77" s="80"/>
      <c r="L77" s="80"/>
      <c r="M77" s="80"/>
      <c r="N77" s="80"/>
      <c r="O77" s="80"/>
      <c r="P77" s="88" t="str">
        <f aca="false">IF(D77="","",SUM(J77:O77))</f>
        <v/>
      </c>
      <c r="Q77" s="87" t="str">
        <f aca="false">IF(D77="","",D77-P77)</f>
        <v/>
      </c>
      <c r="R77" s="36" t="str">
        <f aca="false">IF(OR(D77="",N(D77)=0),"",P77/D77)</f>
        <v/>
      </c>
      <c r="S77" s="10" t="str">
        <f aca="false">IF(D77="","",P77*N(F77))</f>
        <v/>
      </c>
      <c r="T77" s="10" t="str">
        <f aca="false">IF(D77="","",Q77*N(F77))</f>
        <v/>
      </c>
      <c r="U77" s="6"/>
      <c r="V77" s="83"/>
      <c r="W77" s="15"/>
      <c r="X77" s="15"/>
      <c r="Y77" s="15"/>
      <c r="Z77" s="93"/>
      <c r="AA77" s="93"/>
      <c r="AB77" s="93"/>
      <c r="AC77" s="10" t="str">
        <f aca="false">IF(X77="","",IFERROR(INDEX(t_Hora,MATCH(X77,t_Cargo,0)),0))</f>
        <v/>
      </c>
      <c r="AD77" s="94" t="str">
        <f aca="false">IF(X77="","",N(Z77)*IF(AA77="",IFERROR(INDEX(t_Horas,MATCH(X77,t_Cargo,0)),8),AA77)+N(AB77))</f>
        <v/>
      </c>
      <c r="AE77" s="37" t="str">
        <f aca="false">IF(X77="","",AC77*(N(Z77)*IF(AA77="",IFERROR(INDEX(t_Horas,MATCH(X77,t_Cargo,0)),8),AA77)+N(AB77)*(1+p_Extra)))</f>
        <v/>
      </c>
      <c r="AF77" s="15"/>
    </row>
    <row r="78" customFormat="false" ht="16.5" hidden="false" customHeight="true" outlineLevel="0" collapsed="false">
      <c r="A78" s="23" t="str">
        <f aca="false">IF(PRESUPUESTO!$A72="Ítem",PRESUPUESTO!B72,"")</f>
        <v/>
      </c>
      <c r="B78" s="23" t="str">
        <f aca="false">IF(PRESUPUESTO!C72="","",PRESUPUESTO!C72)</f>
        <v/>
      </c>
      <c r="C78" s="86" t="str">
        <f aca="false">IF(PRESUPUESTO!$A72="Ítem",PRESUPUESTO!D72,"")</f>
        <v/>
      </c>
      <c r="D78" s="87" t="str">
        <f aca="false">IF(PRESUPUESTO!$A72="Ítem",PRESUPUESTO!E72,"")</f>
        <v/>
      </c>
      <c r="E78" s="10" t="str">
        <f aca="false">IF(D78="","",N(PRESUPUESTO!J72))</f>
        <v/>
      </c>
      <c r="F78" s="16"/>
      <c r="G78" s="10" t="str">
        <f aca="false">IF(D78="","",D78*E78)</f>
        <v/>
      </c>
      <c r="H78" s="10" t="str">
        <f aca="false">IF(D78="","",D78*N(F78))</f>
        <v/>
      </c>
      <c r="I78" s="10" t="str">
        <f aca="false">IF(D78="","",G78-H78)</f>
        <v/>
      </c>
      <c r="J78" s="80"/>
      <c r="K78" s="80"/>
      <c r="L78" s="80"/>
      <c r="M78" s="80"/>
      <c r="N78" s="80"/>
      <c r="O78" s="80"/>
      <c r="P78" s="88" t="str">
        <f aca="false">IF(D78="","",SUM(J78:O78))</f>
        <v/>
      </c>
      <c r="Q78" s="87" t="str">
        <f aca="false">IF(D78="","",D78-P78)</f>
        <v/>
      </c>
      <c r="R78" s="36" t="str">
        <f aca="false">IF(OR(D78="",N(D78)=0),"",P78/D78)</f>
        <v/>
      </c>
      <c r="S78" s="10" t="str">
        <f aca="false">IF(D78="","",P78*N(F78))</f>
        <v/>
      </c>
      <c r="T78" s="10" t="str">
        <f aca="false">IF(D78="","",Q78*N(F78))</f>
        <v/>
      </c>
      <c r="U78" s="6"/>
      <c r="V78" s="83"/>
      <c r="W78" s="15"/>
      <c r="X78" s="15"/>
      <c r="Y78" s="15"/>
      <c r="Z78" s="93"/>
      <c r="AA78" s="93"/>
      <c r="AB78" s="93"/>
      <c r="AC78" s="10" t="str">
        <f aca="false">IF(X78="","",IFERROR(INDEX(t_Hora,MATCH(X78,t_Cargo,0)),0))</f>
        <v/>
      </c>
      <c r="AD78" s="94" t="str">
        <f aca="false">IF(X78="","",N(Z78)*IF(AA78="",IFERROR(INDEX(t_Horas,MATCH(X78,t_Cargo,0)),8),AA78)+N(AB78))</f>
        <v/>
      </c>
      <c r="AE78" s="37" t="str">
        <f aca="false">IF(X78="","",AC78*(N(Z78)*IF(AA78="",IFERROR(INDEX(t_Horas,MATCH(X78,t_Cargo,0)),8),AA78)+N(AB78)*(1+p_Extra)))</f>
        <v/>
      </c>
      <c r="AF78" s="15"/>
    </row>
    <row r="79" customFormat="false" ht="16.5" hidden="false" customHeight="true" outlineLevel="0" collapsed="false">
      <c r="A79" s="23" t="str">
        <f aca="false">IF(PRESUPUESTO!$A73="Ítem",PRESUPUESTO!B73,"")</f>
        <v/>
      </c>
      <c r="B79" s="23" t="str">
        <f aca="false">IF(PRESUPUESTO!C73="","",PRESUPUESTO!C73)</f>
        <v/>
      </c>
      <c r="C79" s="86" t="str">
        <f aca="false">IF(PRESUPUESTO!$A73="Ítem",PRESUPUESTO!D73,"")</f>
        <v/>
      </c>
      <c r="D79" s="87" t="str">
        <f aca="false">IF(PRESUPUESTO!$A73="Ítem",PRESUPUESTO!E73,"")</f>
        <v/>
      </c>
      <c r="E79" s="10" t="str">
        <f aca="false">IF(D79="","",N(PRESUPUESTO!J73))</f>
        <v/>
      </c>
      <c r="F79" s="16"/>
      <c r="G79" s="10" t="str">
        <f aca="false">IF(D79="","",D79*E79)</f>
        <v/>
      </c>
      <c r="H79" s="10" t="str">
        <f aca="false">IF(D79="","",D79*N(F79))</f>
        <v/>
      </c>
      <c r="I79" s="10" t="str">
        <f aca="false">IF(D79="","",G79-H79)</f>
        <v/>
      </c>
      <c r="J79" s="80"/>
      <c r="K79" s="80"/>
      <c r="L79" s="80"/>
      <c r="M79" s="80"/>
      <c r="N79" s="80"/>
      <c r="O79" s="80"/>
      <c r="P79" s="88" t="str">
        <f aca="false">IF(D79="","",SUM(J79:O79))</f>
        <v/>
      </c>
      <c r="Q79" s="87" t="str">
        <f aca="false">IF(D79="","",D79-P79)</f>
        <v/>
      </c>
      <c r="R79" s="36" t="str">
        <f aca="false">IF(OR(D79="",N(D79)=0),"",P79/D79)</f>
        <v/>
      </c>
      <c r="S79" s="10" t="str">
        <f aca="false">IF(D79="","",P79*N(F79))</f>
        <v/>
      </c>
      <c r="T79" s="10" t="str">
        <f aca="false">IF(D79="","",Q79*N(F79))</f>
        <v/>
      </c>
      <c r="U79" s="6"/>
      <c r="V79" s="83"/>
      <c r="W79" s="15"/>
      <c r="X79" s="15"/>
      <c r="Y79" s="15"/>
      <c r="Z79" s="93"/>
      <c r="AA79" s="93"/>
      <c r="AB79" s="93"/>
      <c r="AC79" s="10" t="str">
        <f aca="false">IF(X79="","",IFERROR(INDEX(t_Hora,MATCH(X79,t_Cargo,0)),0))</f>
        <v/>
      </c>
      <c r="AD79" s="94" t="str">
        <f aca="false">IF(X79="","",N(Z79)*IF(AA79="",IFERROR(INDEX(t_Horas,MATCH(X79,t_Cargo,0)),8),AA79)+N(AB79))</f>
        <v/>
      </c>
      <c r="AE79" s="37" t="str">
        <f aca="false">IF(X79="","",AC79*(N(Z79)*IF(AA79="",IFERROR(INDEX(t_Horas,MATCH(X79,t_Cargo,0)),8),AA79)+N(AB79)*(1+p_Extra)))</f>
        <v/>
      </c>
      <c r="AF79" s="15"/>
    </row>
    <row r="80" customFormat="false" ht="16.5" hidden="false" customHeight="true" outlineLevel="0" collapsed="false">
      <c r="A80" s="23" t="str">
        <f aca="false">IF(PRESUPUESTO!$A74="Ítem",PRESUPUESTO!B74,"")</f>
        <v/>
      </c>
      <c r="B80" s="23" t="str">
        <f aca="false">IF(PRESUPUESTO!C74="","",PRESUPUESTO!C74)</f>
        <v/>
      </c>
      <c r="C80" s="86" t="str">
        <f aca="false">IF(PRESUPUESTO!$A74="Ítem",PRESUPUESTO!D74,"")</f>
        <v/>
      </c>
      <c r="D80" s="87" t="str">
        <f aca="false">IF(PRESUPUESTO!$A74="Ítem",PRESUPUESTO!E74,"")</f>
        <v/>
      </c>
      <c r="E80" s="10" t="str">
        <f aca="false">IF(D80="","",N(PRESUPUESTO!J74))</f>
        <v/>
      </c>
      <c r="F80" s="16"/>
      <c r="G80" s="10" t="str">
        <f aca="false">IF(D80="","",D80*E80)</f>
        <v/>
      </c>
      <c r="H80" s="10" t="str">
        <f aca="false">IF(D80="","",D80*N(F80))</f>
        <v/>
      </c>
      <c r="I80" s="10" t="str">
        <f aca="false">IF(D80="","",G80-H80)</f>
        <v/>
      </c>
      <c r="J80" s="80"/>
      <c r="K80" s="80"/>
      <c r="L80" s="80"/>
      <c r="M80" s="80"/>
      <c r="N80" s="80"/>
      <c r="O80" s="80"/>
      <c r="P80" s="88" t="str">
        <f aca="false">IF(D80="","",SUM(J80:O80))</f>
        <v/>
      </c>
      <c r="Q80" s="87" t="str">
        <f aca="false">IF(D80="","",D80-P80)</f>
        <v/>
      </c>
      <c r="R80" s="36" t="str">
        <f aca="false">IF(OR(D80="",N(D80)=0),"",P80/D80)</f>
        <v/>
      </c>
      <c r="S80" s="10" t="str">
        <f aca="false">IF(D80="","",P80*N(F80))</f>
        <v/>
      </c>
      <c r="T80" s="10" t="str">
        <f aca="false">IF(D80="","",Q80*N(F80))</f>
        <v/>
      </c>
      <c r="U80" s="6"/>
      <c r="V80" s="83"/>
      <c r="W80" s="15"/>
      <c r="X80" s="15"/>
      <c r="Y80" s="15"/>
      <c r="Z80" s="93"/>
      <c r="AA80" s="93"/>
      <c r="AB80" s="93"/>
      <c r="AC80" s="10" t="str">
        <f aca="false">IF(X80="","",IFERROR(INDEX(t_Hora,MATCH(X80,t_Cargo,0)),0))</f>
        <v/>
      </c>
      <c r="AD80" s="94" t="str">
        <f aca="false">IF(X80="","",N(Z80)*IF(AA80="",IFERROR(INDEX(t_Horas,MATCH(X80,t_Cargo,0)),8),AA80)+N(AB80))</f>
        <v/>
      </c>
      <c r="AE80" s="37" t="str">
        <f aca="false">IF(X80="","",AC80*(N(Z80)*IF(AA80="",IFERROR(INDEX(t_Horas,MATCH(X80,t_Cargo,0)),8),AA80)+N(AB80)*(1+p_Extra)))</f>
        <v/>
      </c>
      <c r="AF80" s="15"/>
    </row>
    <row r="81" customFormat="false" ht="16.5" hidden="false" customHeight="true" outlineLevel="0" collapsed="false">
      <c r="A81" s="23" t="str">
        <f aca="false">IF(PRESUPUESTO!$A75="Ítem",PRESUPUESTO!B75,"")</f>
        <v/>
      </c>
      <c r="B81" s="23" t="str">
        <f aca="false">IF(PRESUPUESTO!C75="","",PRESUPUESTO!C75)</f>
        <v/>
      </c>
      <c r="C81" s="86" t="str">
        <f aca="false">IF(PRESUPUESTO!$A75="Ítem",PRESUPUESTO!D75,"")</f>
        <v/>
      </c>
      <c r="D81" s="87" t="str">
        <f aca="false">IF(PRESUPUESTO!$A75="Ítem",PRESUPUESTO!E75,"")</f>
        <v/>
      </c>
      <c r="E81" s="10" t="str">
        <f aca="false">IF(D81="","",N(PRESUPUESTO!J75))</f>
        <v/>
      </c>
      <c r="F81" s="16"/>
      <c r="G81" s="10" t="str">
        <f aca="false">IF(D81="","",D81*E81)</f>
        <v/>
      </c>
      <c r="H81" s="10" t="str">
        <f aca="false">IF(D81="","",D81*N(F81))</f>
        <v/>
      </c>
      <c r="I81" s="10" t="str">
        <f aca="false">IF(D81="","",G81-H81)</f>
        <v/>
      </c>
      <c r="J81" s="80"/>
      <c r="K81" s="80"/>
      <c r="L81" s="80"/>
      <c r="M81" s="80"/>
      <c r="N81" s="80"/>
      <c r="O81" s="80"/>
      <c r="P81" s="88" t="str">
        <f aca="false">IF(D81="","",SUM(J81:O81))</f>
        <v/>
      </c>
      <c r="Q81" s="87" t="str">
        <f aca="false">IF(D81="","",D81-P81)</f>
        <v/>
      </c>
      <c r="R81" s="36" t="str">
        <f aca="false">IF(OR(D81="",N(D81)=0),"",P81/D81)</f>
        <v/>
      </c>
      <c r="S81" s="10" t="str">
        <f aca="false">IF(D81="","",P81*N(F81))</f>
        <v/>
      </c>
      <c r="T81" s="10" t="str">
        <f aca="false">IF(D81="","",Q81*N(F81))</f>
        <v/>
      </c>
      <c r="U81" s="6"/>
      <c r="V81" s="83"/>
      <c r="W81" s="15"/>
      <c r="X81" s="15"/>
      <c r="Y81" s="15"/>
      <c r="Z81" s="93"/>
      <c r="AA81" s="93"/>
      <c r="AB81" s="93"/>
      <c r="AC81" s="10" t="str">
        <f aca="false">IF(X81="","",IFERROR(INDEX(t_Hora,MATCH(X81,t_Cargo,0)),0))</f>
        <v/>
      </c>
      <c r="AD81" s="94" t="str">
        <f aca="false">IF(X81="","",N(Z81)*IF(AA81="",IFERROR(INDEX(t_Horas,MATCH(X81,t_Cargo,0)),8),AA81)+N(AB81))</f>
        <v/>
      </c>
      <c r="AE81" s="37" t="str">
        <f aca="false">IF(X81="","",AC81*(N(Z81)*IF(AA81="",IFERROR(INDEX(t_Horas,MATCH(X81,t_Cargo,0)),8),AA81)+N(AB81)*(1+p_Extra)))</f>
        <v/>
      </c>
      <c r="AF81" s="15"/>
    </row>
    <row r="82" customFormat="false" ht="16.5" hidden="false" customHeight="true" outlineLevel="0" collapsed="false">
      <c r="A82" s="23" t="str">
        <f aca="false">IF(PRESUPUESTO!$A76="Ítem",PRESUPUESTO!B76,"")</f>
        <v/>
      </c>
      <c r="B82" s="23" t="str">
        <f aca="false">IF(PRESUPUESTO!C76="","",PRESUPUESTO!C76)</f>
        <v/>
      </c>
      <c r="C82" s="86" t="str">
        <f aca="false">IF(PRESUPUESTO!$A76="Ítem",PRESUPUESTO!D76,"")</f>
        <v/>
      </c>
      <c r="D82" s="87" t="str">
        <f aca="false">IF(PRESUPUESTO!$A76="Ítem",PRESUPUESTO!E76,"")</f>
        <v/>
      </c>
      <c r="E82" s="10" t="str">
        <f aca="false">IF(D82="","",N(PRESUPUESTO!J76))</f>
        <v/>
      </c>
      <c r="F82" s="16"/>
      <c r="G82" s="10" t="str">
        <f aca="false">IF(D82="","",D82*E82)</f>
        <v/>
      </c>
      <c r="H82" s="10" t="str">
        <f aca="false">IF(D82="","",D82*N(F82))</f>
        <v/>
      </c>
      <c r="I82" s="10" t="str">
        <f aca="false">IF(D82="","",G82-H82)</f>
        <v/>
      </c>
      <c r="J82" s="80"/>
      <c r="K82" s="80"/>
      <c r="L82" s="80"/>
      <c r="M82" s="80"/>
      <c r="N82" s="80"/>
      <c r="O82" s="80"/>
      <c r="P82" s="88" t="str">
        <f aca="false">IF(D82="","",SUM(J82:O82))</f>
        <v/>
      </c>
      <c r="Q82" s="87" t="str">
        <f aca="false">IF(D82="","",D82-P82)</f>
        <v/>
      </c>
      <c r="R82" s="36" t="str">
        <f aca="false">IF(OR(D82="",N(D82)=0),"",P82/D82)</f>
        <v/>
      </c>
      <c r="S82" s="10" t="str">
        <f aca="false">IF(D82="","",P82*N(F82))</f>
        <v/>
      </c>
      <c r="T82" s="10" t="str">
        <f aca="false">IF(D82="","",Q82*N(F82))</f>
        <v/>
      </c>
      <c r="U82" s="6"/>
      <c r="V82" s="83"/>
      <c r="W82" s="15"/>
      <c r="X82" s="15"/>
      <c r="Y82" s="15"/>
      <c r="Z82" s="93"/>
      <c r="AA82" s="93"/>
      <c r="AB82" s="93"/>
      <c r="AC82" s="10" t="str">
        <f aca="false">IF(X82="","",IFERROR(INDEX(t_Hora,MATCH(X82,t_Cargo,0)),0))</f>
        <v/>
      </c>
      <c r="AD82" s="94" t="str">
        <f aca="false">IF(X82="","",N(Z82)*IF(AA82="",IFERROR(INDEX(t_Horas,MATCH(X82,t_Cargo,0)),8),AA82)+N(AB82))</f>
        <v/>
      </c>
      <c r="AE82" s="37" t="str">
        <f aca="false">IF(X82="","",AC82*(N(Z82)*IF(AA82="",IFERROR(INDEX(t_Horas,MATCH(X82,t_Cargo,0)),8),AA82)+N(AB82)*(1+p_Extra)))</f>
        <v/>
      </c>
      <c r="AF82" s="15"/>
    </row>
    <row r="83" customFormat="false" ht="16.5" hidden="false" customHeight="true" outlineLevel="0" collapsed="false">
      <c r="A83" s="23" t="str">
        <f aca="false">IF(PRESUPUESTO!$A77="Ítem",PRESUPUESTO!B77,"")</f>
        <v/>
      </c>
      <c r="B83" s="23" t="str">
        <f aca="false">IF(PRESUPUESTO!C77="","",PRESUPUESTO!C77)</f>
        <v/>
      </c>
      <c r="C83" s="86" t="str">
        <f aca="false">IF(PRESUPUESTO!$A77="Ítem",PRESUPUESTO!D77,"")</f>
        <v/>
      </c>
      <c r="D83" s="87" t="str">
        <f aca="false">IF(PRESUPUESTO!$A77="Ítem",PRESUPUESTO!E77,"")</f>
        <v/>
      </c>
      <c r="E83" s="10" t="str">
        <f aca="false">IF(D83="","",N(PRESUPUESTO!J77))</f>
        <v/>
      </c>
      <c r="F83" s="16"/>
      <c r="G83" s="10" t="str">
        <f aca="false">IF(D83="","",D83*E83)</f>
        <v/>
      </c>
      <c r="H83" s="10" t="str">
        <f aca="false">IF(D83="","",D83*N(F83))</f>
        <v/>
      </c>
      <c r="I83" s="10" t="str">
        <f aca="false">IF(D83="","",G83-H83)</f>
        <v/>
      </c>
      <c r="J83" s="80"/>
      <c r="K83" s="80"/>
      <c r="L83" s="80"/>
      <c r="M83" s="80"/>
      <c r="N83" s="80"/>
      <c r="O83" s="80"/>
      <c r="P83" s="88" t="str">
        <f aca="false">IF(D83="","",SUM(J83:O83))</f>
        <v/>
      </c>
      <c r="Q83" s="87" t="str">
        <f aca="false">IF(D83="","",D83-P83)</f>
        <v/>
      </c>
      <c r="R83" s="36" t="str">
        <f aca="false">IF(OR(D83="",N(D83)=0),"",P83/D83)</f>
        <v/>
      </c>
      <c r="S83" s="10" t="str">
        <f aca="false">IF(D83="","",P83*N(F83))</f>
        <v/>
      </c>
      <c r="T83" s="10" t="str">
        <f aca="false">IF(D83="","",Q83*N(F83))</f>
        <v/>
      </c>
      <c r="U83" s="6"/>
      <c r="V83" s="83"/>
      <c r="W83" s="15"/>
      <c r="X83" s="15"/>
      <c r="Y83" s="15"/>
      <c r="Z83" s="93"/>
      <c r="AA83" s="93"/>
      <c r="AB83" s="93"/>
      <c r="AC83" s="10" t="str">
        <f aca="false">IF(X83="","",IFERROR(INDEX(t_Hora,MATCH(X83,t_Cargo,0)),0))</f>
        <v/>
      </c>
      <c r="AD83" s="94" t="str">
        <f aca="false">IF(X83="","",N(Z83)*IF(AA83="",IFERROR(INDEX(t_Horas,MATCH(X83,t_Cargo,0)),8),AA83)+N(AB83))</f>
        <v/>
      </c>
      <c r="AE83" s="37" t="str">
        <f aca="false">IF(X83="","",AC83*(N(Z83)*IF(AA83="",IFERROR(INDEX(t_Horas,MATCH(X83,t_Cargo,0)),8),AA83)+N(AB83)*(1+p_Extra)))</f>
        <v/>
      </c>
      <c r="AF83" s="15"/>
    </row>
    <row r="84" customFormat="false" ht="16.5" hidden="false" customHeight="true" outlineLevel="0" collapsed="false">
      <c r="A84" s="23" t="str">
        <f aca="false">IF(PRESUPUESTO!$A78="Ítem",PRESUPUESTO!B78,"")</f>
        <v/>
      </c>
      <c r="B84" s="23" t="str">
        <f aca="false">IF(PRESUPUESTO!C78="","",PRESUPUESTO!C78)</f>
        <v/>
      </c>
      <c r="C84" s="86" t="str">
        <f aca="false">IF(PRESUPUESTO!$A78="Ítem",PRESUPUESTO!D78,"")</f>
        <v/>
      </c>
      <c r="D84" s="87" t="str">
        <f aca="false">IF(PRESUPUESTO!$A78="Ítem",PRESUPUESTO!E78,"")</f>
        <v/>
      </c>
      <c r="E84" s="10" t="str">
        <f aca="false">IF(D84="","",N(PRESUPUESTO!J78))</f>
        <v/>
      </c>
      <c r="F84" s="16"/>
      <c r="G84" s="10" t="str">
        <f aca="false">IF(D84="","",D84*E84)</f>
        <v/>
      </c>
      <c r="H84" s="10" t="str">
        <f aca="false">IF(D84="","",D84*N(F84))</f>
        <v/>
      </c>
      <c r="I84" s="10" t="str">
        <f aca="false">IF(D84="","",G84-H84)</f>
        <v/>
      </c>
      <c r="J84" s="80"/>
      <c r="K84" s="80"/>
      <c r="L84" s="80"/>
      <c r="M84" s="80"/>
      <c r="N84" s="80"/>
      <c r="O84" s="80"/>
      <c r="P84" s="88" t="str">
        <f aca="false">IF(D84="","",SUM(J84:O84))</f>
        <v/>
      </c>
      <c r="Q84" s="87" t="str">
        <f aca="false">IF(D84="","",D84-P84)</f>
        <v/>
      </c>
      <c r="R84" s="36" t="str">
        <f aca="false">IF(OR(D84="",N(D84)=0),"",P84/D84)</f>
        <v/>
      </c>
      <c r="S84" s="10" t="str">
        <f aca="false">IF(D84="","",P84*N(F84))</f>
        <v/>
      </c>
      <c r="T84" s="10" t="str">
        <f aca="false">IF(D84="","",Q84*N(F84))</f>
        <v/>
      </c>
      <c r="U84" s="6"/>
      <c r="V84" s="83"/>
      <c r="W84" s="15"/>
      <c r="X84" s="15"/>
      <c r="Y84" s="15"/>
      <c r="Z84" s="93"/>
      <c r="AA84" s="93"/>
      <c r="AB84" s="93"/>
      <c r="AC84" s="10" t="str">
        <f aca="false">IF(X84="","",IFERROR(INDEX(t_Hora,MATCH(X84,t_Cargo,0)),0))</f>
        <v/>
      </c>
      <c r="AD84" s="94" t="str">
        <f aca="false">IF(X84="","",N(Z84)*IF(AA84="",IFERROR(INDEX(t_Horas,MATCH(X84,t_Cargo,0)),8),AA84)+N(AB84))</f>
        <v/>
      </c>
      <c r="AE84" s="37" t="str">
        <f aca="false">IF(X84="","",AC84*(N(Z84)*IF(AA84="",IFERROR(INDEX(t_Horas,MATCH(X84,t_Cargo,0)),8),AA84)+N(AB84)*(1+p_Extra)))</f>
        <v/>
      </c>
      <c r="AF84" s="15"/>
    </row>
    <row r="85" customFormat="false" ht="16.5" hidden="false" customHeight="true" outlineLevel="0" collapsed="false">
      <c r="A85" s="23" t="str">
        <f aca="false">IF(PRESUPUESTO!$A79="Ítem",PRESUPUESTO!B79,"")</f>
        <v/>
      </c>
      <c r="B85" s="23" t="str">
        <f aca="false">IF(PRESUPUESTO!C79="","",PRESUPUESTO!C79)</f>
        <v/>
      </c>
      <c r="C85" s="86" t="str">
        <f aca="false">IF(PRESUPUESTO!$A79="Ítem",PRESUPUESTO!D79,"")</f>
        <v/>
      </c>
      <c r="D85" s="87" t="str">
        <f aca="false">IF(PRESUPUESTO!$A79="Ítem",PRESUPUESTO!E79,"")</f>
        <v/>
      </c>
      <c r="E85" s="10" t="str">
        <f aca="false">IF(D85="","",N(PRESUPUESTO!J79))</f>
        <v/>
      </c>
      <c r="F85" s="16"/>
      <c r="G85" s="10" t="str">
        <f aca="false">IF(D85="","",D85*E85)</f>
        <v/>
      </c>
      <c r="H85" s="10" t="str">
        <f aca="false">IF(D85="","",D85*N(F85))</f>
        <v/>
      </c>
      <c r="I85" s="10" t="str">
        <f aca="false">IF(D85="","",G85-H85)</f>
        <v/>
      </c>
      <c r="J85" s="80"/>
      <c r="K85" s="80"/>
      <c r="L85" s="80"/>
      <c r="M85" s="80"/>
      <c r="N85" s="80"/>
      <c r="O85" s="80"/>
      <c r="P85" s="88" t="str">
        <f aca="false">IF(D85="","",SUM(J85:O85))</f>
        <v/>
      </c>
      <c r="Q85" s="87" t="str">
        <f aca="false">IF(D85="","",D85-P85)</f>
        <v/>
      </c>
      <c r="R85" s="36" t="str">
        <f aca="false">IF(OR(D85="",N(D85)=0),"",P85/D85)</f>
        <v/>
      </c>
      <c r="S85" s="10" t="str">
        <f aca="false">IF(D85="","",P85*N(F85))</f>
        <v/>
      </c>
      <c r="T85" s="10" t="str">
        <f aca="false">IF(D85="","",Q85*N(F85))</f>
        <v/>
      </c>
      <c r="U85" s="6"/>
      <c r="V85" s="83"/>
      <c r="W85" s="15"/>
      <c r="X85" s="15"/>
      <c r="Y85" s="15"/>
      <c r="Z85" s="93"/>
      <c r="AA85" s="93"/>
      <c r="AB85" s="93"/>
      <c r="AC85" s="10" t="str">
        <f aca="false">IF(X85="","",IFERROR(INDEX(t_Hora,MATCH(X85,t_Cargo,0)),0))</f>
        <v/>
      </c>
      <c r="AD85" s="94" t="str">
        <f aca="false">IF(X85="","",N(Z85)*IF(AA85="",IFERROR(INDEX(t_Horas,MATCH(X85,t_Cargo,0)),8),AA85)+N(AB85))</f>
        <v/>
      </c>
      <c r="AE85" s="37" t="str">
        <f aca="false">IF(X85="","",AC85*(N(Z85)*IF(AA85="",IFERROR(INDEX(t_Horas,MATCH(X85,t_Cargo,0)),8),AA85)+N(AB85)*(1+p_Extra)))</f>
        <v/>
      </c>
      <c r="AF85" s="15"/>
    </row>
    <row r="86" customFormat="false" ht="16.5" hidden="false" customHeight="true" outlineLevel="0" collapsed="false">
      <c r="A86" s="23" t="str">
        <f aca="false">IF(PRESUPUESTO!$A80="Ítem",PRESUPUESTO!B80,"")</f>
        <v/>
      </c>
      <c r="B86" s="23" t="str">
        <f aca="false">IF(PRESUPUESTO!C80="","",PRESUPUESTO!C80)</f>
        <v/>
      </c>
      <c r="C86" s="86" t="str">
        <f aca="false">IF(PRESUPUESTO!$A80="Ítem",PRESUPUESTO!D80,"")</f>
        <v/>
      </c>
      <c r="D86" s="87" t="str">
        <f aca="false">IF(PRESUPUESTO!$A80="Ítem",PRESUPUESTO!E80,"")</f>
        <v/>
      </c>
      <c r="E86" s="10" t="str">
        <f aca="false">IF(D86="","",N(PRESUPUESTO!J80))</f>
        <v/>
      </c>
      <c r="F86" s="16"/>
      <c r="G86" s="10" t="str">
        <f aca="false">IF(D86="","",D86*E86)</f>
        <v/>
      </c>
      <c r="H86" s="10" t="str">
        <f aca="false">IF(D86="","",D86*N(F86))</f>
        <v/>
      </c>
      <c r="I86" s="10" t="str">
        <f aca="false">IF(D86="","",G86-H86)</f>
        <v/>
      </c>
      <c r="J86" s="80"/>
      <c r="K86" s="80"/>
      <c r="L86" s="80"/>
      <c r="M86" s="80"/>
      <c r="N86" s="80"/>
      <c r="O86" s="80"/>
      <c r="P86" s="88" t="str">
        <f aca="false">IF(D86="","",SUM(J86:O86))</f>
        <v/>
      </c>
      <c r="Q86" s="87" t="str">
        <f aca="false">IF(D86="","",D86-P86)</f>
        <v/>
      </c>
      <c r="R86" s="36" t="str">
        <f aca="false">IF(OR(D86="",N(D86)=0),"",P86/D86)</f>
        <v/>
      </c>
      <c r="S86" s="10" t="str">
        <f aca="false">IF(D86="","",P86*N(F86))</f>
        <v/>
      </c>
      <c r="T86" s="10" t="str">
        <f aca="false">IF(D86="","",Q86*N(F86))</f>
        <v/>
      </c>
      <c r="U86" s="6"/>
      <c r="V86" s="83"/>
      <c r="W86" s="15"/>
      <c r="X86" s="15"/>
      <c r="Y86" s="15"/>
      <c r="Z86" s="93"/>
      <c r="AA86" s="93"/>
      <c r="AB86" s="93"/>
      <c r="AC86" s="10" t="str">
        <f aca="false">IF(X86="","",IFERROR(INDEX(t_Hora,MATCH(X86,t_Cargo,0)),0))</f>
        <v/>
      </c>
      <c r="AD86" s="94" t="str">
        <f aca="false">IF(X86="","",N(Z86)*IF(AA86="",IFERROR(INDEX(t_Horas,MATCH(X86,t_Cargo,0)),8),AA86)+N(AB86))</f>
        <v/>
      </c>
      <c r="AE86" s="37" t="str">
        <f aca="false">IF(X86="","",AC86*(N(Z86)*IF(AA86="",IFERROR(INDEX(t_Horas,MATCH(X86,t_Cargo,0)),8),AA86)+N(AB86)*(1+p_Extra)))</f>
        <v/>
      </c>
      <c r="AF86" s="15"/>
    </row>
    <row r="87" customFormat="false" ht="16.5" hidden="false" customHeight="true" outlineLevel="0" collapsed="false">
      <c r="A87" s="23" t="str">
        <f aca="false">IF(PRESUPUESTO!$A81="Ítem",PRESUPUESTO!B81,"")</f>
        <v/>
      </c>
      <c r="B87" s="23" t="str">
        <f aca="false">IF(PRESUPUESTO!C81="","",PRESUPUESTO!C81)</f>
        <v/>
      </c>
      <c r="C87" s="86" t="str">
        <f aca="false">IF(PRESUPUESTO!$A81="Ítem",PRESUPUESTO!D81,"")</f>
        <v/>
      </c>
      <c r="D87" s="87" t="str">
        <f aca="false">IF(PRESUPUESTO!$A81="Ítem",PRESUPUESTO!E81,"")</f>
        <v/>
      </c>
      <c r="E87" s="10" t="str">
        <f aca="false">IF(D87="","",N(PRESUPUESTO!J81))</f>
        <v/>
      </c>
      <c r="F87" s="16"/>
      <c r="G87" s="10" t="str">
        <f aca="false">IF(D87="","",D87*E87)</f>
        <v/>
      </c>
      <c r="H87" s="10" t="str">
        <f aca="false">IF(D87="","",D87*N(F87))</f>
        <v/>
      </c>
      <c r="I87" s="10" t="str">
        <f aca="false">IF(D87="","",G87-H87)</f>
        <v/>
      </c>
      <c r="J87" s="80"/>
      <c r="K87" s="80"/>
      <c r="L87" s="80"/>
      <c r="M87" s="80"/>
      <c r="N87" s="80"/>
      <c r="O87" s="80"/>
      <c r="P87" s="88" t="str">
        <f aca="false">IF(D87="","",SUM(J87:O87))</f>
        <v/>
      </c>
      <c r="Q87" s="87" t="str">
        <f aca="false">IF(D87="","",D87-P87)</f>
        <v/>
      </c>
      <c r="R87" s="36" t="str">
        <f aca="false">IF(OR(D87="",N(D87)=0),"",P87/D87)</f>
        <v/>
      </c>
      <c r="S87" s="10" t="str">
        <f aca="false">IF(D87="","",P87*N(F87))</f>
        <v/>
      </c>
      <c r="T87" s="10" t="str">
        <f aca="false">IF(D87="","",Q87*N(F87))</f>
        <v/>
      </c>
      <c r="U87" s="6"/>
      <c r="V87" s="83"/>
      <c r="W87" s="15"/>
      <c r="X87" s="15"/>
      <c r="Y87" s="15"/>
      <c r="Z87" s="93"/>
      <c r="AA87" s="93"/>
      <c r="AB87" s="93"/>
      <c r="AC87" s="10" t="str">
        <f aca="false">IF(X87="","",IFERROR(INDEX(t_Hora,MATCH(X87,t_Cargo,0)),0))</f>
        <v/>
      </c>
      <c r="AD87" s="94" t="str">
        <f aca="false">IF(X87="","",N(Z87)*IF(AA87="",IFERROR(INDEX(t_Horas,MATCH(X87,t_Cargo,0)),8),AA87)+N(AB87))</f>
        <v/>
      </c>
      <c r="AE87" s="37" t="str">
        <f aca="false">IF(X87="","",AC87*(N(Z87)*IF(AA87="",IFERROR(INDEX(t_Horas,MATCH(X87,t_Cargo,0)),8),AA87)+N(AB87)*(1+p_Extra)))</f>
        <v/>
      </c>
      <c r="AF87" s="15"/>
    </row>
    <row r="88" customFormat="false" ht="16.5" hidden="false" customHeight="true" outlineLevel="0" collapsed="false">
      <c r="A88" s="23" t="str">
        <f aca="false">IF(PRESUPUESTO!$A82="Ítem",PRESUPUESTO!B82,"")</f>
        <v/>
      </c>
      <c r="B88" s="23" t="str">
        <f aca="false">IF(PRESUPUESTO!C82="","",PRESUPUESTO!C82)</f>
        <v/>
      </c>
      <c r="C88" s="86" t="str">
        <f aca="false">IF(PRESUPUESTO!$A82="Ítem",PRESUPUESTO!D82,"")</f>
        <v/>
      </c>
      <c r="D88" s="87" t="str">
        <f aca="false">IF(PRESUPUESTO!$A82="Ítem",PRESUPUESTO!E82,"")</f>
        <v/>
      </c>
      <c r="E88" s="10" t="str">
        <f aca="false">IF(D88="","",N(PRESUPUESTO!J82))</f>
        <v/>
      </c>
      <c r="F88" s="16"/>
      <c r="G88" s="10" t="str">
        <f aca="false">IF(D88="","",D88*E88)</f>
        <v/>
      </c>
      <c r="H88" s="10" t="str">
        <f aca="false">IF(D88="","",D88*N(F88))</f>
        <v/>
      </c>
      <c r="I88" s="10" t="str">
        <f aca="false">IF(D88="","",G88-H88)</f>
        <v/>
      </c>
      <c r="J88" s="80"/>
      <c r="K88" s="80"/>
      <c r="L88" s="80"/>
      <c r="M88" s="80"/>
      <c r="N88" s="80"/>
      <c r="O88" s="80"/>
      <c r="P88" s="88" t="str">
        <f aca="false">IF(D88="","",SUM(J88:O88))</f>
        <v/>
      </c>
      <c r="Q88" s="87" t="str">
        <f aca="false">IF(D88="","",D88-P88)</f>
        <v/>
      </c>
      <c r="R88" s="36" t="str">
        <f aca="false">IF(OR(D88="",N(D88)=0),"",P88/D88)</f>
        <v/>
      </c>
      <c r="S88" s="10" t="str">
        <f aca="false">IF(D88="","",P88*N(F88))</f>
        <v/>
      </c>
      <c r="T88" s="10" t="str">
        <f aca="false">IF(D88="","",Q88*N(F88))</f>
        <v/>
      </c>
      <c r="U88" s="6"/>
      <c r="V88" s="83"/>
      <c r="W88" s="15"/>
      <c r="X88" s="15"/>
      <c r="Y88" s="15"/>
      <c r="Z88" s="93"/>
      <c r="AA88" s="93"/>
      <c r="AB88" s="93"/>
      <c r="AC88" s="10" t="str">
        <f aca="false">IF(X88="","",IFERROR(INDEX(t_Hora,MATCH(X88,t_Cargo,0)),0))</f>
        <v/>
      </c>
      <c r="AD88" s="94" t="str">
        <f aca="false">IF(X88="","",N(Z88)*IF(AA88="",IFERROR(INDEX(t_Horas,MATCH(X88,t_Cargo,0)),8),AA88)+N(AB88))</f>
        <v/>
      </c>
      <c r="AE88" s="37" t="str">
        <f aca="false">IF(X88="","",AC88*(N(Z88)*IF(AA88="",IFERROR(INDEX(t_Horas,MATCH(X88,t_Cargo,0)),8),AA88)+N(AB88)*(1+p_Extra)))</f>
        <v/>
      </c>
      <c r="AF88" s="15"/>
    </row>
    <row r="89" customFormat="false" ht="16.5" hidden="false" customHeight="true" outlineLevel="0" collapsed="false">
      <c r="A89" s="23" t="str">
        <f aca="false">IF(PRESUPUESTO!$A83="Ítem",PRESUPUESTO!B83,"")</f>
        <v/>
      </c>
      <c r="B89" s="23" t="str">
        <f aca="false">IF(PRESUPUESTO!C83="","",PRESUPUESTO!C83)</f>
        <v/>
      </c>
      <c r="C89" s="86" t="str">
        <f aca="false">IF(PRESUPUESTO!$A83="Ítem",PRESUPUESTO!D83,"")</f>
        <v/>
      </c>
      <c r="D89" s="87" t="str">
        <f aca="false">IF(PRESUPUESTO!$A83="Ítem",PRESUPUESTO!E83,"")</f>
        <v/>
      </c>
      <c r="E89" s="10" t="str">
        <f aca="false">IF(D89="","",N(PRESUPUESTO!J83))</f>
        <v/>
      </c>
      <c r="F89" s="16"/>
      <c r="G89" s="10" t="str">
        <f aca="false">IF(D89="","",D89*E89)</f>
        <v/>
      </c>
      <c r="H89" s="10" t="str">
        <f aca="false">IF(D89="","",D89*N(F89))</f>
        <v/>
      </c>
      <c r="I89" s="10" t="str">
        <f aca="false">IF(D89="","",G89-H89)</f>
        <v/>
      </c>
      <c r="J89" s="80"/>
      <c r="K89" s="80"/>
      <c r="L89" s="80"/>
      <c r="M89" s="80"/>
      <c r="N89" s="80"/>
      <c r="O89" s="80"/>
      <c r="P89" s="88" t="str">
        <f aca="false">IF(D89="","",SUM(J89:O89))</f>
        <v/>
      </c>
      <c r="Q89" s="87" t="str">
        <f aca="false">IF(D89="","",D89-P89)</f>
        <v/>
      </c>
      <c r="R89" s="36" t="str">
        <f aca="false">IF(OR(D89="",N(D89)=0),"",P89/D89)</f>
        <v/>
      </c>
      <c r="S89" s="10" t="str">
        <f aca="false">IF(D89="","",P89*N(F89))</f>
        <v/>
      </c>
      <c r="T89" s="10" t="str">
        <f aca="false">IF(D89="","",Q89*N(F89))</f>
        <v/>
      </c>
      <c r="U89" s="6"/>
      <c r="V89" s="83"/>
      <c r="W89" s="15"/>
      <c r="X89" s="15"/>
      <c r="Y89" s="15"/>
      <c r="Z89" s="93"/>
      <c r="AA89" s="93"/>
      <c r="AB89" s="93"/>
      <c r="AC89" s="10" t="str">
        <f aca="false">IF(X89="","",IFERROR(INDEX(t_Hora,MATCH(X89,t_Cargo,0)),0))</f>
        <v/>
      </c>
      <c r="AD89" s="94" t="str">
        <f aca="false">IF(X89="","",N(Z89)*IF(AA89="",IFERROR(INDEX(t_Horas,MATCH(X89,t_Cargo,0)),8),AA89)+N(AB89))</f>
        <v/>
      </c>
      <c r="AE89" s="37" t="str">
        <f aca="false">IF(X89="","",AC89*(N(Z89)*IF(AA89="",IFERROR(INDEX(t_Horas,MATCH(X89,t_Cargo,0)),8),AA89)+N(AB89)*(1+p_Extra)))</f>
        <v/>
      </c>
      <c r="AF89" s="15"/>
    </row>
    <row r="90" customFormat="false" ht="16.5" hidden="false" customHeight="true" outlineLevel="0" collapsed="false">
      <c r="A90" s="23" t="str">
        <f aca="false">IF(PRESUPUESTO!$A84="Ítem",PRESUPUESTO!B84,"")</f>
        <v/>
      </c>
      <c r="B90" s="23" t="str">
        <f aca="false">IF(PRESUPUESTO!C84="","",PRESUPUESTO!C84)</f>
        <v/>
      </c>
      <c r="C90" s="86" t="str">
        <f aca="false">IF(PRESUPUESTO!$A84="Ítem",PRESUPUESTO!D84,"")</f>
        <v/>
      </c>
      <c r="D90" s="87" t="str">
        <f aca="false">IF(PRESUPUESTO!$A84="Ítem",PRESUPUESTO!E84,"")</f>
        <v/>
      </c>
      <c r="E90" s="10" t="str">
        <f aca="false">IF(D90="","",N(PRESUPUESTO!J84))</f>
        <v/>
      </c>
      <c r="F90" s="16"/>
      <c r="G90" s="10" t="str">
        <f aca="false">IF(D90="","",D90*E90)</f>
        <v/>
      </c>
      <c r="H90" s="10" t="str">
        <f aca="false">IF(D90="","",D90*N(F90))</f>
        <v/>
      </c>
      <c r="I90" s="10" t="str">
        <f aca="false">IF(D90="","",G90-H90)</f>
        <v/>
      </c>
      <c r="J90" s="80"/>
      <c r="K90" s="80"/>
      <c r="L90" s="80"/>
      <c r="M90" s="80"/>
      <c r="N90" s="80"/>
      <c r="O90" s="80"/>
      <c r="P90" s="88" t="str">
        <f aca="false">IF(D90="","",SUM(J90:O90))</f>
        <v/>
      </c>
      <c r="Q90" s="87" t="str">
        <f aca="false">IF(D90="","",D90-P90)</f>
        <v/>
      </c>
      <c r="R90" s="36" t="str">
        <f aca="false">IF(OR(D90="",N(D90)=0),"",P90/D90)</f>
        <v/>
      </c>
      <c r="S90" s="10" t="str">
        <f aca="false">IF(D90="","",P90*N(F90))</f>
        <v/>
      </c>
      <c r="T90" s="10" t="str">
        <f aca="false">IF(D90="","",Q90*N(F90))</f>
        <v/>
      </c>
      <c r="U90" s="6"/>
      <c r="V90" s="83"/>
      <c r="W90" s="15"/>
      <c r="X90" s="15"/>
      <c r="Y90" s="15"/>
      <c r="Z90" s="93"/>
      <c r="AA90" s="93"/>
      <c r="AB90" s="93"/>
      <c r="AC90" s="10" t="str">
        <f aca="false">IF(X90="","",IFERROR(INDEX(t_Hora,MATCH(X90,t_Cargo,0)),0))</f>
        <v/>
      </c>
      <c r="AD90" s="94" t="str">
        <f aca="false">IF(X90="","",N(Z90)*IF(AA90="",IFERROR(INDEX(t_Horas,MATCH(X90,t_Cargo,0)),8),AA90)+N(AB90))</f>
        <v/>
      </c>
      <c r="AE90" s="37" t="str">
        <f aca="false">IF(X90="","",AC90*(N(Z90)*IF(AA90="",IFERROR(INDEX(t_Horas,MATCH(X90,t_Cargo,0)),8),AA90)+N(AB90)*(1+p_Extra)))</f>
        <v/>
      </c>
      <c r="AF90" s="15"/>
    </row>
    <row r="91" customFormat="false" ht="16.5" hidden="false" customHeight="true" outlineLevel="0" collapsed="false">
      <c r="A91" s="23" t="str">
        <f aca="false">IF(PRESUPUESTO!$A85="Ítem",PRESUPUESTO!B85,"")</f>
        <v/>
      </c>
      <c r="B91" s="23" t="str">
        <f aca="false">IF(PRESUPUESTO!C85="","",PRESUPUESTO!C85)</f>
        <v/>
      </c>
      <c r="C91" s="86" t="str">
        <f aca="false">IF(PRESUPUESTO!$A85="Ítem",PRESUPUESTO!D85,"")</f>
        <v/>
      </c>
      <c r="D91" s="87" t="str">
        <f aca="false">IF(PRESUPUESTO!$A85="Ítem",PRESUPUESTO!E85,"")</f>
        <v/>
      </c>
      <c r="E91" s="10" t="str">
        <f aca="false">IF(D91="","",N(PRESUPUESTO!J85))</f>
        <v/>
      </c>
      <c r="F91" s="16"/>
      <c r="G91" s="10" t="str">
        <f aca="false">IF(D91="","",D91*E91)</f>
        <v/>
      </c>
      <c r="H91" s="10" t="str">
        <f aca="false">IF(D91="","",D91*N(F91))</f>
        <v/>
      </c>
      <c r="I91" s="10" t="str">
        <f aca="false">IF(D91="","",G91-H91)</f>
        <v/>
      </c>
      <c r="J91" s="80"/>
      <c r="K91" s="80"/>
      <c r="L91" s="80"/>
      <c r="M91" s="80"/>
      <c r="N91" s="80"/>
      <c r="O91" s="80"/>
      <c r="P91" s="88" t="str">
        <f aca="false">IF(D91="","",SUM(J91:O91))</f>
        <v/>
      </c>
      <c r="Q91" s="87" t="str">
        <f aca="false">IF(D91="","",D91-P91)</f>
        <v/>
      </c>
      <c r="R91" s="36" t="str">
        <f aca="false">IF(OR(D91="",N(D91)=0),"",P91/D91)</f>
        <v/>
      </c>
      <c r="S91" s="10" t="str">
        <f aca="false">IF(D91="","",P91*N(F91))</f>
        <v/>
      </c>
      <c r="T91" s="10" t="str">
        <f aca="false">IF(D91="","",Q91*N(F91))</f>
        <v/>
      </c>
      <c r="U91" s="6"/>
      <c r="V91" s="83"/>
      <c r="W91" s="15"/>
      <c r="X91" s="15"/>
      <c r="Y91" s="15"/>
      <c r="Z91" s="93"/>
      <c r="AA91" s="93"/>
      <c r="AB91" s="93"/>
      <c r="AC91" s="10" t="str">
        <f aca="false">IF(X91="","",IFERROR(INDEX(t_Hora,MATCH(X91,t_Cargo,0)),0))</f>
        <v/>
      </c>
      <c r="AD91" s="94" t="str">
        <f aca="false">IF(X91="","",N(Z91)*IF(AA91="",IFERROR(INDEX(t_Horas,MATCH(X91,t_Cargo,0)),8),AA91)+N(AB91))</f>
        <v/>
      </c>
      <c r="AE91" s="37" t="str">
        <f aca="false">IF(X91="","",AC91*(N(Z91)*IF(AA91="",IFERROR(INDEX(t_Horas,MATCH(X91,t_Cargo,0)),8),AA91)+N(AB91)*(1+p_Extra)))</f>
        <v/>
      </c>
      <c r="AF91" s="15"/>
    </row>
    <row r="92" customFormat="false" ht="16.5" hidden="false" customHeight="true" outlineLevel="0" collapsed="false">
      <c r="A92" s="23" t="str">
        <f aca="false">IF(PRESUPUESTO!$A86="Ítem",PRESUPUESTO!B86,"")</f>
        <v/>
      </c>
      <c r="B92" s="23" t="str">
        <f aca="false">IF(PRESUPUESTO!C86="","",PRESUPUESTO!C86)</f>
        <v/>
      </c>
      <c r="C92" s="86" t="str">
        <f aca="false">IF(PRESUPUESTO!$A86="Ítem",PRESUPUESTO!D86,"")</f>
        <v/>
      </c>
      <c r="D92" s="87" t="str">
        <f aca="false">IF(PRESUPUESTO!$A86="Ítem",PRESUPUESTO!E86,"")</f>
        <v/>
      </c>
      <c r="E92" s="10" t="str">
        <f aca="false">IF(D92="","",N(PRESUPUESTO!J86))</f>
        <v/>
      </c>
      <c r="F92" s="16"/>
      <c r="G92" s="10" t="str">
        <f aca="false">IF(D92="","",D92*E92)</f>
        <v/>
      </c>
      <c r="H92" s="10" t="str">
        <f aca="false">IF(D92="","",D92*N(F92))</f>
        <v/>
      </c>
      <c r="I92" s="10" t="str">
        <f aca="false">IF(D92="","",G92-H92)</f>
        <v/>
      </c>
      <c r="J92" s="80"/>
      <c r="K92" s="80"/>
      <c r="L92" s="80"/>
      <c r="M92" s="80"/>
      <c r="N92" s="80"/>
      <c r="O92" s="80"/>
      <c r="P92" s="88" t="str">
        <f aca="false">IF(D92="","",SUM(J92:O92))</f>
        <v/>
      </c>
      <c r="Q92" s="87" t="str">
        <f aca="false">IF(D92="","",D92-P92)</f>
        <v/>
      </c>
      <c r="R92" s="36" t="str">
        <f aca="false">IF(OR(D92="",N(D92)=0),"",P92/D92)</f>
        <v/>
      </c>
      <c r="S92" s="10" t="str">
        <f aca="false">IF(D92="","",P92*N(F92))</f>
        <v/>
      </c>
      <c r="T92" s="10" t="str">
        <f aca="false">IF(D92="","",Q92*N(F92))</f>
        <v/>
      </c>
      <c r="U92" s="6"/>
      <c r="V92" s="83"/>
      <c r="W92" s="15"/>
      <c r="X92" s="15"/>
      <c r="Y92" s="15"/>
      <c r="Z92" s="93"/>
      <c r="AA92" s="93"/>
      <c r="AB92" s="93"/>
      <c r="AC92" s="10" t="str">
        <f aca="false">IF(X92="","",IFERROR(INDEX(t_Hora,MATCH(X92,t_Cargo,0)),0))</f>
        <v/>
      </c>
      <c r="AD92" s="94" t="str">
        <f aca="false">IF(X92="","",N(Z92)*IF(AA92="",IFERROR(INDEX(t_Horas,MATCH(X92,t_Cargo,0)),8),AA92)+N(AB92))</f>
        <v/>
      </c>
      <c r="AE92" s="37" t="str">
        <f aca="false">IF(X92="","",AC92*(N(Z92)*IF(AA92="",IFERROR(INDEX(t_Horas,MATCH(X92,t_Cargo,0)),8),AA92)+N(AB92)*(1+p_Extra)))</f>
        <v/>
      </c>
      <c r="AF92" s="15"/>
    </row>
    <row r="93" customFormat="false" ht="16.5" hidden="false" customHeight="true" outlineLevel="0" collapsed="false">
      <c r="A93" s="23" t="str">
        <f aca="false">IF(PRESUPUESTO!$A87="Ítem",PRESUPUESTO!B87,"")</f>
        <v/>
      </c>
      <c r="B93" s="23" t="str">
        <f aca="false">IF(PRESUPUESTO!C87="","",PRESUPUESTO!C87)</f>
        <v/>
      </c>
      <c r="C93" s="86" t="str">
        <f aca="false">IF(PRESUPUESTO!$A87="Ítem",PRESUPUESTO!D87,"")</f>
        <v/>
      </c>
      <c r="D93" s="87" t="str">
        <f aca="false">IF(PRESUPUESTO!$A87="Ítem",PRESUPUESTO!E87,"")</f>
        <v/>
      </c>
      <c r="E93" s="10" t="str">
        <f aca="false">IF(D93="","",N(PRESUPUESTO!J87))</f>
        <v/>
      </c>
      <c r="F93" s="16"/>
      <c r="G93" s="10" t="str">
        <f aca="false">IF(D93="","",D93*E93)</f>
        <v/>
      </c>
      <c r="H93" s="10" t="str">
        <f aca="false">IF(D93="","",D93*N(F93))</f>
        <v/>
      </c>
      <c r="I93" s="10" t="str">
        <f aca="false">IF(D93="","",G93-H93)</f>
        <v/>
      </c>
      <c r="J93" s="80"/>
      <c r="K93" s="80"/>
      <c r="L93" s="80"/>
      <c r="M93" s="80"/>
      <c r="N93" s="80"/>
      <c r="O93" s="80"/>
      <c r="P93" s="88" t="str">
        <f aca="false">IF(D93="","",SUM(J93:O93))</f>
        <v/>
      </c>
      <c r="Q93" s="87" t="str">
        <f aca="false">IF(D93="","",D93-P93)</f>
        <v/>
      </c>
      <c r="R93" s="36" t="str">
        <f aca="false">IF(OR(D93="",N(D93)=0),"",P93/D93)</f>
        <v/>
      </c>
      <c r="S93" s="10" t="str">
        <f aca="false">IF(D93="","",P93*N(F93))</f>
        <v/>
      </c>
      <c r="T93" s="10" t="str">
        <f aca="false">IF(D93="","",Q93*N(F93))</f>
        <v/>
      </c>
      <c r="U93" s="6"/>
      <c r="V93" s="83"/>
      <c r="W93" s="15"/>
      <c r="X93" s="15"/>
      <c r="Y93" s="15"/>
      <c r="Z93" s="93"/>
      <c r="AA93" s="93"/>
      <c r="AB93" s="93"/>
      <c r="AC93" s="10" t="str">
        <f aca="false">IF(X93="","",IFERROR(INDEX(t_Hora,MATCH(X93,t_Cargo,0)),0))</f>
        <v/>
      </c>
      <c r="AD93" s="94" t="str">
        <f aca="false">IF(X93="","",N(Z93)*IF(AA93="",IFERROR(INDEX(t_Horas,MATCH(X93,t_Cargo,0)),8),AA93)+N(AB93))</f>
        <v/>
      </c>
      <c r="AE93" s="37" t="str">
        <f aca="false">IF(X93="","",AC93*(N(Z93)*IF(AA93="",IFERROR(INDEX(t_Horas,MATCH(X93,t_Cargo,0)),8),AA93)+N(AB93)*(1+p_Extra)))</f>
        <v/>
      </c>
      <c r="AF93" s="15"/>
    </row>
    <row r="94" customFormat="false" ht="16.5" hidden="false" customHeight="true" outlineLevel="0" collapsed="false">
      <c r="A94" s="23" t="str">
        <f aca="false">IF(PRESUPUESTO!$A88="Ítem",PRESUPUESTO!B88,"")</f>
        <v/>
      </c>
      <c r="B94" s="23" t="str">
        <f aca="false">IF(PRESUPUESTO!C88="","",PRESUPUESTO!C88)</f>
        <v/>
      </c>
      <c r="C94" s="86" t="str">
        <f aca="false">IF(PRESUPUESTO!$A88="Ítem",PRESUPUESTO!D88,"")</f>
        <v/>
      </c>
      <c r="D94" s="87" t="str">
        <f aca="false">IF(PRESUPUESTO!$A88="Ítem",PRESUPUESTO!E88,"")</f>
        <v/>
      </c>
      <c r="E94" s="10" t="str">
        <f aca="false">IF(D94="","",N(PRESUPUESTO!J88))</f>
        <v/>
      </c>
      <c r="F94" s="16"/>
      <c r="G94" s="10" t="str">
        <f aca="false">IF(D94="","",D94*E94)</f>
        <v/>
      </c>
      <c r="H94" s="10" t="str">
        <f aca="false">IF(D94="","",D94*N(F94))</f>
        <v/>
      </c>
      <c r="I94" s="10" t="str">
        <f aca="false">IF(D94="","",G94-H94)</f>
        <v/>
      </c>
      <c r="J94" s="80"/>
      <c r="K94" s="80"/>
      <c r="L94" s="80"/>
      <c r="M94" s="80"/>
      <c r="N94" s="80"/>
      <c r="O94" s="80"/>
      <c r="P94" s="88" t="str">
        <f aca="false">IF(D94="","",SUM(J94:O94))</f>
        <v/>
      </c>
      <c r="Q94" s="87" t="str">
        <f aca="false">IF(D94="","",D94-P94)</f>
        <v/>
      </c>
      <c r="R94" s="36" t="str">
        <f aca="false">IF(OR(D94="",N(D94)=0),"",P94/D94)</f>
        <v/>
      </c>
      <c r="S94" s="10" t="str">
        <f aca="false">IF(D94="","",P94*N(F94))</f>
        <v/>
      </c>
      <c r="T94" s="10" t="str">
        <f aca="false">IF(D94="","",Q94*N(F94))</f>
        <v/>
      </c>
      <c r="U94" s="6"/>
      <c r="V94" s="83"/>
      <c r="W94" s="15"/>
      <c r="X94" s="15"/>
      <c r="Y94" s="15"/>
      <c r="Z94" s="93"/>
      <c r="AA94" s="93"/>
      <c r="AB94" s="93"/>
      <c r="AC94" s="10" t="str">
        <f aca="false">IF(X94="","",IFERROR(INDEX(t_Hora,MATCH(X94,t_Cargo,0)),0))</f>
        <v/>
      </c>
      <c r="AD94" s="94" t="str">
        <f aca="false">IF(X94="","",N(Z94)*IF(AA94="",IFERROR(INDEX(t_Horas,MATCH(X94,t_Cargo,0)),8),AA94)+N(AB94))</f>
        <v/>
      </c>
      <c r="AE94" s="37" t="str">
        <f aca="false">IF(X94="","",AC94*(N(Z94)*IF(AA94="",IFERROR(INDEX(t_Horas,MATCH(X94,t_Cargo,0)),8),AA94)+N(AB94)*(1+p_Extra)))</f>
        <v/>
      </c>
      <c r="AF94" s="15"/>
    </row>
    <row r="95" customFormat="false" ht="16.5" hidden="false" customHeight="true" outlineLevel="0" collapsed="false">
      <c r="A95" s="23" t="str">
        <f aca="false">IF(PRESUPUESTO!$A89="Ítem",PRESUPUESTO!B89,"")</f>
        <v/>
      </c>
      <c r="B95" s="23" t="str">
        <f aca="false">IF(PRESUPUESTO!C89="","",PRESUPUESTO!C89)</f>
        <v/>
      </c>
      <c r="C95" s="86" t="str">
        <f aca="false">IF(PRESUPUESTO!$A89="Ítem",PRESUPUESTO!D89,"")</f>
        <v/>
      </c>
      <c r="D95" s="87" t="str">
        <f aca="false">IF(PRESUPUESTO!$A89="Ítem",PRESUPUESTO!E89,"")</f>
        <v/>
      </c>
      <c r="E95" s="10" t="str">
        <f aca="false">IF(D95="","",N(PRESUPUESTO!J89))</f>
        <v/>
      </c>
      <c r="F95" s="16"/>
      <c r="G95" s="10" t="str">
        <f aca="false">IF(D95="","",D95*E95)</f>
        <v/>
      </c>
      <c r="H95" s="10" t="str">
        <f aca="false">IF(D95="","",D95*N(F95))</f>
        <v/>
      </c>
      <c r="I95" s="10" t="str">
        <f aca="false">IF(D95="","",G95-H95)</f>
        <v/>
      </c>
      <c r="J95" s="80"/>
      <c r="K95" s="80"/>
      <c r="L95" s="80"/>
      <c r="M95" s="80"/>
      <c r="N95" s="80"/>
      <c r="O95" s="80"/>
      <c r="P95" s="88" t="str">
        <f aca="false">IF(D95="","",SUM(J95:O95))</f>
        <v/>
      </c>
      <c r="Q95" s="87" t="str">
        <f aca="false">IF(D95="","",D95-P95)</f>
        <v/>
      </c>
      <c r="R95" s="36" t="str">
        <f aca="false">IF(OR(D95="",N(D95)=0),"",P95/D95)</f>
        <v/>
      </c>
      <c r="S95" s="10" t="str">
        <f aca="false">IF(D95="","",P95*N(F95))</f>
        <v/>
      </c>
      <c r="T95" s="10" t="str">
        <f aca="false">IF(D95="","",Q95*N(F95))</f>
        <v/>
      </c>
      <c r="U95" s="6"/>
      <c r="V95" s="83"/>
      <c r="W95" s="15"/>
      <c r="X95" s="15"/>
      <c r="Y95" s="15"/>
      <c r="Z95" s="93"/>
      <c r="AA95" s="93"/>
      <c r="AB95" s="93"/>
      <c r="AC95" s="10" t="str">
        <f aca="false">IF(X95="","",IFERROR(INDEX(t_Hora,MATCH(X95,t_Cargo,0)),0))</f>
        <v/>
      </c>
      <c r="AD95" s="94" t="str">
        <f aca="false">IF(X95="","",N(Z95)*IF(AA95="",IFERROR(INDEX(t_Horas,MATCH(X95,t_Cargo,0)),8),AA95)+N(AB95))</f>
        <v/>
      </c>
      <c r="AE95" s="37" t="str">
        <f aca="false">IF(X95="","",AC95*(N(Z95)*IF(AA95="",IFERROR(INDEX(t_Horas,MATCH(X95,t_Cargo,0)),8),AA95)+N(AB95)*(1+p_Extra)))</f>
        <v/>
      </c>
      <c r="AF95" s="15"/>
    </row>
    <row r="96" customFormat="false" ht="16.5" hidden="false" customHeight="true" outlineLevel="0" collapsed="false">
      <c r="A96" s="23" t="str">
        <f aca="false">IF(PRESUPUESTO!$A90="Ítem",PRESUPUESTO!B90,"")</f>
        <v/>
      </c>
      <c r="B96" s="23" t="str">
        <f aca="false">IF(PRESUPUESTO!C90="","",PRESUPUESTO!C90)</f>
        <v/>
      </c>
      <c r="C96" s="86" t="str">
        <f aca="false">IF(PRESUPUESTO!$A90="Ítem",PRESUPUESTO!D90,"")</f>
        <v/>
      </c>
      <c r="D96" s="87" t="str">
        <f aca="false">IF(PRESUPUESTO!$A90="Ítem",PRESUPUESTO!E90,"")</f>
        <v/>
      </c>
      <c r="E96" s="10" t="str">
        <f aca="false">IF(D96="","",N(PRESUPUESTO!J90))</f>
        <v/>
      </c>
      <c r="F96" s="16"/>
      <c r="G96" s="10" t="str">
        <f aca="false">IF(D96="","",D96*E96)</f>
        <v/>
      </c>
      <c r="H96" s="10" t="str">
        <f aca="false">IF(D96="","",D96*N(F96))</f>
        <v/>
      </c>
      <c r="I96" s="10" t="str">
        <f aca="false">IF(D96="","",G96-H96)</f>
        <v/>
      </c>
      <c r="J96" s="80"/>
      <c r="K96" s="80"/>
      <c r="L96" s="80"/>
      <c r="M96" s="80"/>
      <c r="N96" s="80"/>
      <c r="O96" s="80"/>
      <c r="P96" s="88" t="str">
        <f aca="false">IF(D96="","",SUM(J96:O96))</f>
        <v/>
      </c>
      <c r="Q96" s="87" t="str">
        <f aca="false">IF(D96="","",D96-P96)</f>
        <v/>
      </c>
      <c r="R96" s="36" t="str">
        <f aca="false">IF(OR(D96="",N(D96)=0),"",P96/D96)</f>
        <v/>
      </c>
      <c r="S96" s="10" t="str">
        <f aca="false">IF(D96="","",P96*N(F96))</f>
        <v/>
      </c>
      <c r="T96" s="10" t="str">
        <f aca="false">IF(D96="","",Q96*N(F96))</f>
        <v/>
      </c>
      <c r="U96" s="6"/>
      <c r="V96" s="83"/>
      <c r="W96" s="15"/>
      <c r="X96" s="15"/>
      <c r="Y96" s="15"/>
      <c r="Z96" s="93"/>
      <c r="AA96" s="93"/>
      <c r="AB96" s="93"/>
      <c r="AC96" s="10" t="str">
        <f aca="false">IF(X96="","",IFERROR(INDEX(t_Hora,MATCH(X96,t_Cargo,0)),0))</f>
        <v/>
      </c>
      <c r="AD96" s="94" t="str">
        <f aca="false">IF(X96="","",N(Z96)*IF(AA96="",IFERROR(INDEX(t_Horas,MATCH(X96,t_Cargo,0)),8),AA96)+N(AB96))</f>
        <v/>
      </c>
      <c r="AE96" s="37" t="str">
        <f aca="false">IF(X96="","",AC96*(N(Z96)*IF(AA96="",IFERROR(INDEX(t_Horas,MATCH(X96,t_Cargo,0)),8),AA96)+N(AB96)*(1+p_Extra)))</f>
        <v/>
      </c>
      <c r="AF96" s="15"/>
    </row>
    <row r="97" customFormat="false" ht="16.5" hidden="false" customHeight="true" outlineLevel="0" collapsed="false">
      <c r="A97" s="23" t="str">
        <f aca="false">IF(PRESUPUESTO!$A91="Ítem",PRESUPUESTO!B91,"")</f>
        <v/>
      </c>
      <c r="B97" s="23" t="str">
        <f aca="false">IF(PRESUPUESTO!C91="","",PRESUPUESTO!C91)</f>
        <v/>
      </c>
      <c r="C97" s="86" t="str">
        <f aca="false">IF(PRESUPUESTO!$A91="Ítem",PRESUPUESTO!D91,"")</f>
        <v/>
      </c>
      <c r="D97" s="87" t="str">
        <f aca="false">IF(PRESUPUESTO!$A91="Ítem",PRESUPUESTO!E91,"")</f>
        <v/>
      </c>
      <c r="E97" s="10" t="str">
        <f aca="false">IF(D97="","",N(PRESUPUESTO!J91))</f>
        <v/>
      </c>
      <c r="F97" s="16"/>
      <c r="G97" s="10" t="str">
        <f aca="false">IF(D97="","",D97*E97)</f>
        <v/>
      </c>
      <c r="H97" s="10" t="str">
        <f aca="false">IF(D97="","",D97*N(F97))</f>
        <v/>
      </c>
      <c r="I97" s="10" t="str">
        <f aca="false">IF(D97="","",G97-H97)</f>
        <v/>
      </c>
      <c r="J97" s="80"/>
      <c r="K97" s="80"/>
      <c r="L97" s="80"/>
      <c r="M97" s="80"/>
      <c r="N97" s="80"/>
      <c r="O97" s="80"/>
      <c r="P97" s="88" t="str">
        <f aca="false">IF(D97="","",SUM(J97:O97))</f>
        <v/>
      </c>
      <c r="Q97" s="87" t="str">
        <f aca="false">IF(D97="","",D97-P97)</f>
        <v/>
      </c>
      <c r="R97" s="36" t="str">
        <f aca="false">IF(OR(D97="",N(D97)=0),"",P97/D97)</f>
        <v/>
      </c>
      <c r="S97" s="10" t="str">
        <f aca="false">IF(D97="","",P97*N(F97))</f>
        <v/>
      </c>
      <c r="T97" s="10" t="str">
        <f aca="false">IF(D97="","",Q97*N(F97))</f>
        <v/>
      </c>
      <c r="U97" s="6"/>
      <c r="V97" s="83"/>
      <c r="W97" s="15"/>
      <c r="X97" s="15"/>
      <c r="Y97" s="15"/>
      <c r="Z97" s="93"/>
      <c r="AA97" s="93"/>
      <c r="AB97" s="93"/>
      <c r="AC97" s="10" t="str">
        <f aca="false">IF(X97="","",IFERROR(INDEX(t_Hora,MATCH(X97,t_Cargo,0)),0))</f>
        <v/>
      </c>
      <c r="AD97" s="94" t="str">
        <f aca="false">IF(X97="","",N(Z97)*IF(AA97="",IFERROR(INDEX(t_Horas,MATCH(X97,t_Cargo,0)),8),AA97)+N(AB97))</f>
        <v/>
      </c>
      <c r="AE97" s="37" t="str">
        <f aca="false">IF(X97="","",AC97*(N(Z97)*IF(AA97="",IFERROR(INDEX(t_Horas,MATCH(X97,t_Cargo,0)),8),AA97)+N(AB97)*(1+p_Extra)))</f>
        <v/>
      </c>
      <c r="AF97" s="15"/>
    </row>
    <row r="98" customFormat="false" ht="16.5" hidden="false" customHeight="true" outlineLevel="0" collapsed="false">
      <c r="A98" s="23" t="str">
        <f aca="false">IF(PRESUPUESTO!$A92="Ítem",PRESUPUESTO!B92,"")</f>
        <v/>
      </c>
      <c r="B98" s="23" t="str">
        <f aca="false">IF(PRESUPUESTO!C92="","",PRESUPUESTO!C92)</f>
        <v/>
      </c>
      <c r="C98" s="86" t="str">
        <f aca="false">IF(PRESUPUESTO!$A92="Ítem",PRESUPUESTO!D92,"")</f>
        <v/>
      </c>
      <c r="D98" s="87" t="str">
        <f aca="false">IF(PRESUPUESTO!$A92="Ítem",PRESUPUESTO!E92,"")</f>
        <v/>
      </c>
      <c r="E98" s="10" t="str">
        <f aca="false">IF(D98="","",N(PRESUPUESTO!J92))</f>
        <v/>
      </c>
      <c r="F98" s="16"/>
      <c r="G98" s="10" t="str">
        <f aca="false">IF(D98="","",D98*E98)</f>
        <v/>
      </c>
      <c r="H98" s="10" t="str">
        <f aca="false">IF(D98="","",D98*N(F98))</f>
        <v/>
      </c>
      <c r="I98" s="10" t="str">
        <f aca="false">IF(D98="","",G98-H98)</f>
        <v/>
      </c>
      <c r="J98" s="80"/>
      <c r="K98" s="80"/>
      <c r="L98" s="80"/>
      <c r="M98" s="80"/>
      <c r="N98" s="80"/>
      <c r="O98" s="80"/>
      <c r="P98" s="88" t="str">
        <f aca="false">IF(D98="","",SUM(J98:O98))</f>
        <v/>
      </c>
      <c r="Q98" s="87" t="str">
        <f aca="false">IF(D98="","",D98-P98)</f>
        <v/>
      </c>
      <c r="R98" s="36" t="str">
        <f aca="false">IF(OR(D98="",N(D98)=0),"",P98/D98)</f>
        <v/>
      </c>
      <c r="S98" s="10" t="str">
        <f aca="false">IF(D98="","",P98*N(F98))</f>
        <v/>
      </c>
      <c r="T98" s="10" t="str">
        <f aca="false">IF(D98="","",Q98*N(F98))</f>
        <v/>
      </c>
      <c r="U98" s="6"/>
      <c r="V98" s="83"/>
      <c r="W98" s="15"/>
      <c r="X98" s="15"/>
      <c r="Y98" s="15"/>
      <c r="Z98" s="93"/>
      <c r="AA98" s="93"/>
      <c r="AB98" s="93"/>
      <c r="AC98" s="10" t="str">
        <f aca="false">IF(X98="","",IFERROR(INDEX(t_Hora,MATCH(X98,t_Cargo,0)),0))</f>
        <v/>
      </c>
      <c r="AD98" s="94" t="str">
        <f aca="false">IF(X98="","",N(Z98)*IF(AA98="",IFERROR(INDEX(t_Horas,MATCH(X98,t_Cargo,0)),8),AA98)+N(AB98))</f>
        <v/>
      </c>
      <c r="AE98" s="37" t="str">
        <f aca="false">IF(X98="","",AC98*(N(Z98)*IF(AA98="",IFERROR(INDEX(t_Horas,MATCH(X98,t_Cargo,0)),8),AA98)+N(AB98)*(1+p_Extra)))</f>
        <v/>
      </c>
      <c r="AF98" s="15"/>
    </row>
    <row r="99" customFormat="false" ht="16.5" hidden="false" customHeight="true" outlineLevel="0" collapsed="false">
      <c r="A99" s="23" t="str">
        <f aca="false">IF(PRESUPUESTO!$A93="Ítem",PRESUPUESTO!B93,"")</f>
        <v/>
      </c>
      <c r="B99" s="23" t="str">
        <f aca="false">IF(PRESUPUESTO!C93="","",PRESUPUESTO!C93)</f>
        <v/>
      </c>
      <c r="C99" s="86" t="str">
        <f aca="false">IF(PRESUPUESTO!$A93="Ítem",PRESUPUESTO!D93,"")</f>
        <v/>
      </c>
      <c r="D99" s="87" t="str">
        <f aca="false">IF(PRESUPUESTO!$A93="Ítem",PRESUPUESTO!E93,"")</f>
        <v/>
      </c>
      <c r="E99" s="10" t="str">
        <f aca="false">IF(D99="","",N(PRESUPUESTO!J93))</f>
        <v/>
      </c>
      <c r="F99" s="16"/>
      <c r="G99" s="10" t="str">
        <f aca="false">IF(D99="","",D99*E99)</f>
        <v/>
      </c>
      <c r="H99" s="10" t="str">
        <f aca="false">IF(D99="","",D99*N(F99))</f>
        <v/>
      </c>
      <c r="I99" s="10" t="str">
        <f aca="false">IF(D99="","",G99-H99)</f>
        <v/>
      </c>
      <c r="J99" s="80"/>
      <c r="K99" s="80"/>
      <c r="L99" s="80"/>
      <c r="M99" s="80"/>
      <c r="N99" s="80"/>
      <c r="O99" s="80"/>
      <c r="P99" s="88" t="str">
        <f aca="false">IF(D99="","",SUM(J99:O99))</f>
        <v/>
      </c>
      <c r="Q99" s="87" t="str">
        <f aca="false">IF(D99="","",D99-P99)</f>
        <v/>
      </c>
      <c r="R99" s="36" t="str">
        <f aca="false">IF(OR(D99="",N(D99)=0),"",P99/D99)</f>
        <v/>
      </c>
      <c r="S99" s="10" t="str">
        <f aca="false">IF(D99="","",P99*N(F99))</f>
        <v/>
      </c>
      <c r="T99" s="10" t="str">
        <f aca="false">IF(D99="","",Q99*N(F99))</f>
        <v/>
      </c>
      <c r="U99" s="6"/>
      <c r="V99" s="83"/>
      <c r="W99" s="15"/>
      <c r="X99" s="15"/>
      <c r="Y99" s="15"/>
      <c r="Z99" s="93"/>
      <c r="AA99" s="93"/>
      <c r="AB99" s="93"/>
      <c r="AC99" s="10" t="str">
        <f aca="false">IF(X99="","",IFERROR(INDEX(t_Hora,MATCH(X99,t_Cargo,0)),0))</f>
        <v/>
      </c>
      <c r="AD99" s="94" t="str">
        <f aca="false">IF(X99="","",N(Z99)*IF(AA99="",IFERROR(INDEX(t_Horas,MATCH(X99,t_Cargo,0)),8),AA99)+N(AB99))</f>
        <v/>
      </c>
      <c r="AE99" s="37" t="str">
        <f aca="false">IF(X99="","",AC99*(N(Z99)*IF(AA99="",IFERROR(INDEX(t_Horas,MATCH(X99,t_Cargo,0)),8),AA99)+N(AB99)*(1+p_Extra)))</f>
        <v/>
      </c>
      <c r="AF99" s="15"/>
    </row>
    <row r="100" customFormat="false" ht="16.5" hidden="false" customHeight="true" outlineLevel="0" collapsed="false">
      <c r="A100" s="23" t="str">
        <f aca="false">IF(PRESUPUESTO!$A94="Ítem",PRESUPUESTO!B94,"")</f>
        <v/>
      </c>
      <c r="B100" s="23" t="str">
        <f aca="false">IF(PRESUPUESTO!C94="","",PRESUPUESTO!C94)</f>
        <v/>
      </c>
      <c r="C100" s="86" t="str">
        <f aca="false">IF(PRESUPUESTO!$A94="Ítem",PRESUPUESTO!D94,"")</f>
        <v/>
      </c>
      <c r="D100" s="87" t="str">
        <f aca="false">IF(PRESUPUESTO!$A94="Ítem",PRESUPUESTO!E94,"")</f>
        <v/>
      </c>
      <c r="E100" s="10" t="str">
        <f aca="false">IF(D100="","",N(PRESUPUESTO!J94))</f>
        <v/>
      </c>
      <c r="F100" s="16"/>
      <c r="G100" s="10" t="str">
        <f aca="false">IF(D100="","",D100*E100)</f>
        <v/>
      </c>
      <c r="H100" s="10" t="str">
        <f aca="false">IF(D100="","",D100*N(F100))</f>
        <v/>
      </c>
      <c r="I100" s="10" t="str">
        <f aca="false">IF(D100="","",G100-H100)</f>
        <v/>
      </c>
      <c r="J100" s="80"/>
      <c r="K100" s="80"/>
      <c r="L100" s="80"/>
      <c r="M100" s="80"/>
      <c r="N100" s="80"/>
      <c r="O100" s="80"/>
      <c r="P100" s="88" t="str">
        <f aca="false">IF(D100="","",SUM(J100:O100))</f>
        <v/>
      </c>
      <c r="Q100" s="87" t="str">
        <f aca="false">IF(D100="","",D100-P100)</f>
        <v/>
      </c>
      <c r="R100" s="36" t="str">
        <f aca="false">IF(OR(D100="",N(D100)=0),"",P100/D100)</f>
        <v/>
      </c>
      <c r="S100" s="10" t="str">
        <f aca="false">IF(D100="","",P100*N(F100))</f>
        <v/>
      </c>
      <c r="T100" s="10" t="str">
        <f aca="false">IF(D100="","",Q100*N(F100))</f>
        <v/>
      </c>
      <c r="U100" s="6"/>
      <c r="V100" s="83"/>
      <c r="W100" s="15"/>
      <c r="X100" s="15"/>
      <c r="Y100" s="15"/>
      <c r="Z100" s="93"/>
      <c r="AA100" s="93"/>
      <c r="AB100" s="93"/>
      <c r="AC100" s="10" t="str">
        <f aca="false">IF(X100="","",IFERROR(INDEX(t_Hora,MATCH(X100,t_Cargo,0)),0))</f>
        <v/>
      </c>
      <c r="AD100" s="94" t="str">
        <f aca="false">IF(X100="","",N(Z100)*IF(AA100="",IFERROR(INDEX(t_Horas,MATCH(X100,t_Cargo,0)),8),AA100)+N(AB100))</f>
        <v/>
      </c>
      <c r="AE100" s="37" t="str">
        <f aca="false">IF(X100="","",AC100*(N(Z100)*IF(AA100="",IFERROR(INDEX(t_Horas,MATCH(X100,t_Cargo,0)),8),AA100)+N(AB100)*(1+p_Extra)))</f>
        <v/>
      </c>
      <c r="AF100" s="15"/>
    </row>
    <row r="101" customFormat="false" ht="16.5" hidden="false" customHeight="true" outlineLevel="0" collapsed="false">
      <c r="A101" s="23" t="str">
        <f aca="false">IF(PRESUPUESTO!$A95="Ítem",PRESUPUESTO!B95,"")</f>
        <v/>
      </c>
      <c r="B101" s="23" t="str">
        <f aca="false">IF(PRESUPUESTO!C95="","",PRESUPUESTO!C95)</f>
        <v/>
      </c>
      <c r="C101" s="86" t="str">
        <f aca="false">IF(PRESUPUESTO!$A95="Ítem",PRESUPUESTO!D95,"")</f>
        <v/>
      </c>
      <c r="D101" s="87" t="str">
        <f aca="false">IF(PRESUPUESTO!$A95="Ítem",PRESUPUESTO!E95,"")</f>
        <v/>
      </c>
      <c r="E101" s="10" t="str">
        <f aca="false">IF(D101="","",N(PRESUPUESTO!J95))</f>
        <v/>
      </c>
      <c r="F101" s="16"/>
      <c r="G101" s="10" t="str">
        <f aca="false">IF(D101="","",D101*E101)</f>
        <v/>
      </c>
      <c r="H101" s="10" t="str">
        <f aca="false">IF(D101="","",D101*N(F101))</f>
        <v/>
      </c>
      <c r="I101" s="10" t="str">
        <f aca="false">IF(D101="","",G101-H101)</f>
        <v/>
      </c>
      <c r="J101" s="80"/>
      <c r="K101" s="80"/>
      <c r="L101" s="80"/>
      <c r="M101" s="80"/>
      <c r="N101" s="80"/>
      <c r="O101" s="80"/>
      <c r="P101" s="88" t="str">
        <f aca="false">IF(D101="","",SUM(J101:O101))</f>
        <v/>
      </c>
      <c r="Q101" s="87" t="str">
        <f aca="false">IF(D101="","",D101-P101)</f>
        <v/>
      </c>
      <c r="R101" s="36" t="str">
        <f aca="false">IF(OR(D101="",N(D101)=0),"",P101/D101)</f>
        <v/>
      </c>
      <c r="S101" s="10" t="str">
        <f aca="false">IF(D101="","",P101*N(F101))</f>
        <v/>
      </c>
      <c r="T101" s="10" t="str">
        <f aca="false">IF(D101="","",Q101*N(F101))</f>
        <v/>
      </c>
      <c r="U101" s="6"/>
      <c r="V101" s="83"/>
      <c r="W101" s="15"/>
      <c r="X101" s="15"/>
      <c r="Y101" s="15"/>
      <c r="Z101" s="93"/>
      <c r="AA101" s="93"/>
      <c r="AB101" s="93"/>
      <c r="AC101" s="10" t="str">
        <f aca="false">IF(X101="","",IFERROR(INDEX(t_Hora,MATCH(X101,t_Cargo,0)),0))</f>
        <v/>
      </c>
      <c r="AD101" s="94" t="str">
        <f aca="false">IF(X101="","",N(Z101)*IF(AA101="",IFERROR(INDEX(t_Horas,MATCH(X101,t_Cargo,0)),8),AA101)+N(AB101))</f>
        <v/>
      </c>
      <c r="AE101" s="37" t="str">
        <f aca="false">IF(X101="","",AC101*(N(Z101)*IF(AA101="",IFERROR(INDEX(t_Horas,MATCH(X101,t_Cargo,0)),8),AA101)+N(AB101)*(1+p_Extra)))</f>
        <v/>
      </c>
      <c r="AF101" s="15"/>
    </row>
    <row r="102" customFormat="false" ht="16.5" hidden="false" customHeight="true" outlineLevel="0" collapsed="false">
      <c r="A102" s="23" t="str">
        <f aca="false">IF(PRESUPUESTO!$A96="Ítem",PRESUPUESTO!B96,"")</f>
        <v/>
      </c>
      <c r="B102" s="23" t="str">
        <f aca="false">IF(PRESUPUESTO!C96="","",PRESUPUESTO!C96)</f>
        <v/>
      </c>
      <c r="C102" s="86" t="str">
        <f aca="false">IF(PRESUPUESTO!$A96="Ítem",PRESUPUESTO!D96,"")</f>
        <v/>
      </c>
      <c r="D102" s="87" t="str">
        <f aca="false">IF(PRESUPUESTO!$A96="Ítem",PRESUPUESTO!E96,"")</f>
        <v/>
      </c>
      <c r="E102" s="10" t="str">
        <f aca="false">IF(D102="","",N(PRESUPUESTO!J96))</f>
        <v/>
      </c>
      <c r="F102" s="16"/>
      <c r="G102" s="10" t="str">
        <f aca="false">IF(D102="","",D102*E102)</f>
        <v/>
      </c>
      <c r="H102" s="10" t="str">
        <f aca="false">IF(D102="","",D102*N(F102))</f>
        <v/>
      </c>
      <c r="I102" s="10" t="str">
        <f aca="false">IF(D102="","",G102-H102)</f>
        <v/>
      </c>
      <c r="J102" s="80"/>
      <c r="K102" s="80"/>
      <c r="L102" s="80"/>
      <c r="M102" s="80"/>
      <c r="N102" s="80"/>
      <c r="O102" s="80"/>
      <c r="P102" s="88" t="str">
        <f aca="false">IF(D102="","",SUM(J102:O102))</f>
        <v/>
      </c>
      <c r="Q102" s="87" t="str">
        <f aca="false">IF(D102="","",D102-P102)</f>
        <v/>
      </c>
      <c r="R102" s="36" t="str">
        <f aca="false">IF(OR(D102="",N(D102)=0),"",P102/D102)</f>
        <v/>
      </c>
      <c r="S102" s="10" t="str">
        <f aca="false">IF(D102="","",P102*N(F102))</f>
        <v/>
      </c>
      <c r="T102" s="10" t="str">
        <f aca="false">IF(D102="","",Q102*N(F102))</f>
        <v/>
      </c>
      <c r="U102" s="6"/>
      <c r="V102" s="83"/>
      <c r="W102" s="15"/>
      <c r="X102" s="15"/>
      <c r="Y102" s="15"/>
      <c r="Z102" s="93"/>
      <c r="AA102" s="93"/>
      <c r="AB102" s="93"/>
      <c r="AC102" s="10" t="str">
        <f aca="false">IF(X102="","",IFERROR(INDEX(t_Hora,MATCH(X102,t_Cargo,0)),0))</f>
        <v/>
      </c>
      <c r="AD102" s="94" t="str">
        <f aca="false">IF(X102="","",N(Z102)*IF(AA102="",IFERROR(INDEX(t_Horas,MATCH(X102,t_Cargo,0)),8),AA102)+N(AB102))</f>
        <v/>
      </c>
      <c r="AE102" s="37" t="str">
        <f aca="false">IF(X102="","",AC102*(N(Z102)*IF(AA102="",IFERROR(INDEX(t_Horas,MATCH(X102,t_Cargo,0)),8),AA102)+N(AB102)*(1+p_Extra)))</f>
        <v/>
      </c>
      <c r="AF102" s="15"/>
    </row>
    <row r="103" customFormat="false" ht="16.5" hidden="false" customHeight="true" outlineLevel="0" collapsed="false">
      <c r="A103" s="23" t="str">
        <f aca="false">IF(PRESUPUESTO!$A97="Ítem",PRESUPUESTO!B97,"")</f>
        <v/>
      </c>
      <c r="B103" s="23" t="str">
        <f aca="false">IF(PRESUPUESTO!C97="","",PRESUPUESTO!C97)</f>
        <v/>
      </c>
      <c r="C103" s="86" t="str">
        <f aca="false">IF(PRESUPUESTO!$A97="Ítem",PRESUPUESTO!D97,"")</f>
        <v/>
      </c>
      <c r="D103" s="87" t="str">
        <f aca="false">IF(PRESUPUESTO!$A97="Ítem",PRESUPUESTO!E97,"")</f>
        <v/>
      </c>
      <c r="E103" s="10" t="str">
        <f aca="false">IF(D103="","",N(PRESUPUESTO!J97))</f>
        <v/>
      </c>
      <c r="F103" s="16"/>
      <c r="G103" s="10" t="str">
        <f aca="false">IF(D103="","",D103*E103)</f>
        <v/>
      </c>
      <c r="H103" s="10" t="str">
        <f aca="false">IF(D103="","",D103*N(F103))</f>
        <v/>
      </c>
      <c r="I103" s="10" t="str">
        <f aca="false">IF(D103="","",G103-H103)</f>
        <v/>
      </c>
      <c r="J103" s="80"/>
      <c r="K103" s="80"/>
      <c r="L103" s="80"/>
      <c r="M103" s="80"/>
      <c r="N103" s="80"/>
      <c r="O103" s="80"/>
      <c r="P103" s="88" t="str">
        <f aca="false">IF(D103="","",SUM(J103:O103))</f>
        <v/>
      </c>
      <c r="Q103" s="87" t="str">
        <f aca="false">IF(D103="","",D103-P103)</f>
        <v/>
      </c>
      <c r="R103" s="36" t="str">
        <f aca="false">IF(OR(D103="",N(D103)=0),"",P103/D103)</f>
        <v/>
      </c>
      <c r="S103" s="10" t="str">
        <f aca="false">IF(D103="","",P103*N(F103))</f>
        <v/>
      </c>
      <c r="T103" s="10" t="str">
        <f aca="false">IF(D103="","",Q103*N(F103))</f>
        <v/>
      </c>
      <c r="U103" s="6"/>
      <c r="V103" s="83"/>
      <c r="W103" s="15"/>
      <c r="X103" s="15"/>
      <c r="Y103" s="15"/>
      <c r="Z103" s="93"/>
      <c r="AA103" s="93"/>
      <c r="AB103" s="93"/>
      <c r="AC103" s="10" t="str">
        <f aca="false">IF(X103="","",IFERROR(INDEX(t_Hora,MATCH(X103,t_Cargo,0)),0))</f>
        <v/>
      </c>
      <c r="AD103" s="94" t="str">
        <f aca="false">IF(X103="","",N(Z103)*IF(AA103="",IFERROR(INDEX(t_Horas,MATCH(X103,t_Cargo,0)),8),AA103)+N(AB103))</f>
        <v/>
      </c>
      <c r="AE103" s="37" t="str">
        <f aca="false">IF(X103="","",AC103*(N(Z103)*IF(AA103="",IFERROR(INDEX(t_Horas,MATCH(X103,t_Cargo,0)),8),AA103)+N(AB103)*(1+p_Extra)))</f>
        <v/>
      </c>
      <c r="AF103" s="15"/>
    </row>
    <row r="104" customFormat="false" ht="16.5" hidden="false" customHeight="true" outlineLevel="0" collapsed="false">
      <c r="A104" s="23" t="str">
        <f aca="false">IF(PRESUPUESTO!$A98="Ítem",PRESUPUESTO!B98,"")</f>
        <v/>
      </c>
      <c r="B104" s="23" t="str">
        <f aca="false">IF(PRESUPUESTO!C98="","",PRESUPUESTO!C98)</f>
        <v/>
      </c>
      <c r="C104" s="86" t="str">
        <f aca="false">IF(PRESUPUESTO!$A98="Ítem",PRESUPUESTO!D98,"")</f>
        <v/>
      </c>
      <c r="D104" s="87" t="str">
        <f aca="false">IF(PRESUPUESTO!$A98="Ítem",PRESUPUESTO!E98,"")</f>
        <v/>
      </c>
      <c r="E104" s="10" t="str">
        <f aca="false">IF(D104="","",N(PRESUPUESTO!J98))</f>
        <v/>
      </c>
      <c r="F104" s="16"/>
      <c r="G104" s="10" t="str">
        <f aca="false">IF(D104="","",D104*E104)</f>
        <v/>
      </c>
      <c r="H104" s="10" t="str">
        <f aca="false">IF(D104="","",D104*N(F104))</f>
        <v/>
      </c>
      <c r="I104" s="10" t="str">
        <f aca="false">IF(D104="","",G104-H104)</f>
        <v/>
      </c>
      <c r="J104" s="80"/>
      <c r="K104" s="80"/>
      <c r="L104" s="80"/>
      <c r="M104" s="80"/>
      <c r="N104" s="80"/>
      <c r="O104" s="80"/>
      <c r="P104" s="88" t="str">
        <f aca="false">IF(D104="","",SUM(J104:O104))</f>
        <v/>
      </c>
      <c r="Q104" s="87" t="str">
        <f aca="false">IF(D104="","",D104-P104)</f>
        <v/>
      </c>
      <c r="R104" s="36" t="str">
        <f aca="false">IF(OR(D104="",N(D104)=0),"",P104/D104)</f>
        <v/>
      </c>
      <c r="S104" s="10" t="str">
        <f aca="false">IF(D104="","",P104*N(F104))</f>
        <v/>
      </c>
      <c r="T104" s="10" t="str">
        <f aca="false">IF(D104="","",Q104*N(F104))</f>
        <v/>
      </c>
      <c r="U104" s="6"/>
      <c r="V104" s="83"/>
      <c r="W104" s="15"/>
      <c r="X104" s="15"/>
      <c r="Y104" s="15"/>
      <c r="Z104" s="93"/>
      <c r="AA104" s="93"/>
      <c r="AB104" s="93"/>
      <c r="AC104" s="10" t="str">
        <f aca="false">IF(X104="","",IFERROR(INDEX(t_Hora,MATCH(X104,t_Cargo,0)),0))</f>
        <v/>
      </c>
      <c r="AD104" s="94" t="str">
        <f aca="false">IF(X104="","",N(Z104)*IF(AA104="",IFERROR(INDEX(t_Horas,MATCH(X104,t_Cargo,0)),8),AA104)+N(AB104))</f>
        <v/>
      </c>
      <c r="AE104" s="37" t="str">
        <f aca="false">IF(X104="","",AC104*(N(Z104)*IF(AA104="",IFERROR(INDEX(t_Horas,MATCH(X104,t_Cargo,0)),8),AA104)+N(AB104)*(1+p_Extra)))</f>
        <v/>
      </c>
      <c r="AF104" s="15"/>
    </row>
    <row r="105" customFormat="false" ht="16.5" hidden="false" customHeight="true" outlineLevel="0" collapsed="false">
      <c r="A105" s="23" t="str">
        <f aca="false">IF(PRESUPUESTO!$A99="Ítem",PRESUPUESTO!B99,"")</f>
        <v/>
      </c>
      <c r="B105" s="23" t="str">
        <f aca="false">IF(PRESUPUESTO!C99="","",PRESUPUESTO!C99)</f>
        <v/>
      </c>
      <c r="C105" s="86" t="str">
        <f aca="false">IF(PRESUPUESTO!$A99="Ítem",PRESUPUESTO!D99,"")</f>
        <v/>
      </c>
      <c r="D105" s="87" t="str">
        <f aca="false">IF(PRESUPUESTO!$A99="Ítem",PRESUPUESTO!E99,"")</f>
        <v/>
      </c>
      <c r="E105" s="10" t="str">
        <f aca="false">IF(D105="","",N(PRESUPUESTO!J99))</f>
        <v/>
      </c>
      <c r="F105" s="16"/>
      <c r="G105" s="10" t="str">
        <f aca="false">IF(D105="","",D105*E105)</f>
        <v/>
      </c>
      <c r="H105" s="10" t="str">
        <f aca="false">IF(D105="","",D105*N(F105))</f>
        <v/>
      </c>
      <c r="I105" s="10" t="str">
        <f aca="false">IF(D105="","",G105-H105)</f>
        <v/>
      </c>
      <c r="J105" s="80"/>
      <c r="K105" s="80"/>
      <c r="L105" s="80"/>
      <c r="M105" s="80"/>
      <c r="N105" s="80"/>
      <c r="O105" s="80"/>
      <c r="P105" s="88" t="str">
        <f aca="false">IF(D105="","",SUM(J105:O105))</f>
        <v/>
      </c>
      <c r="Q105" s="87" t="str">
        <f aca="false">IF(D105="","",D105-P105)</f>
        <v/>
      </c>
      <c r="R105" s="36" t="str">
        <f aca="false">IF(OR(D105="",N(D105)=0),"",P105/D105)</f>
        <v/>
      </c>
      <c r="S105" s="10" t="str">
        <f aca="false">IF(D105="","",P105*N(F105))</f>
        <v/>
      </c>
      <c r="T105" s="10" t="str">
        <f aca="false">IF(D105="","",Q105*N(F105))</f>
        <v/>
      </c>
      <c r="U105" s="6"/>
      <c r="V105" s="83"/>
      <c r="W105" s="15"/>
      <c r="X105" s="15"/>
      <c r="Y105" s="15"/>
      <c r="Z105" s="93"/>
      <c r="AA105" s="93"/>
      <c r="AB105" s="93"/>
      <c r="AC105" s="10" t="str">
        <f aca="false">IF(X105="","",IFERROR(INDEX(t_Hora,MATCH(X105,t_Cargo,0)),0))</f>
        <v/>
      </c>
      <c r="AD105" s="94" t="str">
        <f aca="false">IF(X105="","",N(Z105)*IF(AA105="",IFERROR(INDEX(t_Horas,MATCH(X105,t_Cargo,0)),8),AA105)+N(AB105))</f>
        <v/>
      </c>
      <c r="AE105" s="37" t="str">
        <f aca="false">IF(X105="","",AC105*(N(Z105)*IF(AA105="",IFERROR(INDEX(t_Horas,MATCH(X105,t_Cargo,0)),8),AA105)+N(AB105)*(1+p_Extra)))</f>
        <v/>
      </c>
      <c r="AF105" s="15"/>
    </row>
    <row r="106" customFormat="false" ht="16.5" hidden="false" customHeight="true" outlineLevel="0" collapsed="false">
      <c r="A106" s="23" t="str">
        <f aca="false">IF(PRESUPUESTO!$A100="Ítem",PRESUPUESTO!B100,"")</f>
        <v/>
      </c>
      <c r="B106" s="23" t="str">
        <f aca="false">IF(PRESUPUESTO!C100="","",PRESUPUESTO!C100)</f>
        <v/>
      </c>
      <c r="C106" s="86" t="str">
        <f aca="false">IF(PRESUPUESTO!$A100="Ítem",PRESUPUESTO!D100,"")</f>
        <v/>
      </c>
      <c r="D106" s="87" t="str">
        <f aca="false">IF(PRESUPUESTO!$A100="Ítem",PRESUPUESTO!E100,"")</f>
        <v/>
      </c>
      <c r="E106" s="10" t="str">
        <f aca="false">IF(D106="","",N(PRESUPUESTO!J100))</f>
        <v/>
      </c>
      <c r="F106" s="16"/>
      <c r="G106" s="10" t="str">
        <f aca="false">IF(D106="","",D106*E106)</f>
        <v/>
      </c>
      <c r="H106" s="10" t="str">
        <f aca="false">IF(D106="","",D106*N(F106))</f>
        <v/>
      </c>
      <c r="I106" s="10" t="str">
        <f aca="false">IF(D106="","",G106-H106)</f>
        <v/>
      </c>
      <c r="J106" s="80"/>
      <c r="K106" s="80"/>
      <c r="L106" s="80"/>
      <c r="M106" s="80"/>
      <c r="N106" s="80"/>
      <c r="O106" s="80"/>
      <c r="P106" s="88" t="str">
        <f aca="false">IF(D106="","",SUM(J106:O106))</f>
        <v/>
      </c>
      <c r="Q106" s="87" t="str">
        <f aca="false">IF(D106="","",D106-P106)</f>
        <v/>
      </c>
      <c r="R106" s="36" t="str">
        <f aca="false">IF(OR(D106="",N(D106)=0),"",P106/D106)</f>
        <v/>
      </c>
      <c r="S106" s="10" t="str">
        <f aca="false">IF(D106="","",P106*N(F106))</f>
        <v/>
      </c>
      <c r="T106" s="10" t="str">
        <f aca="false">IF(D106="","",Q106*N(F106))</f>
        <v/>
      </c>
      <c r="U106" s="6"/>
      <c r="V106" s="83"/>
      <c r="W106" s="15"/>
      <c r="X106" s="15"/>
      <c r="Y106" s="15"/>
      <c r="Z106" s="93"/>
      <c r="AA106" s="93"/>
      <c r="AB106" s="93"/>
      <c r="AC106" s="10" t="str">
        <f aca="false">IF(X106="","",IFERROR(INDEX(t_Hora,MATCH(X106,t_Cargo,0)),0))</f>
        <v/>
      </c>
      <c r="AD106" s="94" t="str">
        <f aca="false">IF(X106="","",N(Z106)*IF(AA106="",IFERROR(INDEX(t_Horas,MATCH(X106,t_Cargo,0)),8),AA106)+N(AB106))</f>
        <v/>
      </c>
      <c r="AE106" s="37" t="str">
        <f aca="false">IF(X106="","",AC106*(N(Z106)*IF(AA106="",IFERROR(INDEX(t_Horas,MATCH(X106,t_Cargo,0)),8),AA106)+N(AB106)*(1+p_Extra)))</f>
        <v/>
      </c>
      <c r="AF106" s="15"/>
    </row>
    <row r="107" customFormat="false" ht="16.5" hidden="false" customHeight="true" outlineLevel="0" collapsed="false">
      <c r="A107" s="23" t="str">
        <f aca="false">IF(PRESUPUESTO!$A101="Ítem",PRESUPUESTO!B101,"")</f>
        <v/>
      </c>
      <c r="B107" s="23" t="str">
        <f aca="false">IF(PRESUPUESTO!C101="","",PRESUPUESTO!C101)</f>
        <v/>
      </c>
      <c r="C107" s="86" t="str">
        <f aca="false">IF(PRESUPUESTO!$A101="Ítem",PRESUPUESTO!D101,"")</f>
        <v/>
      </c>
      <c r="D107" s="87" t="str">
        <f aca="false">IF(PRESUPUESTO!$A101="Ítem",PRESUPUESTO!E101,"")</f>
        <v/>
      </c>
      <c r="E107" s="10" t="str">
        <f aca="false">IF(D107="","",N(PRESUPUESTO!J101))</f>
        <v/>
      </c>
      <c r="F107" s="16"/>
      <c r="G107" s="10" t="str">
        <f aca="false">IF(D107="","",D107*E107)</f>
        <v/>
      </c>
      <c r="H107" s="10" t="str">
        <f aca="false">IF(D107="","",D107*N(F107))</f>
        <v/>
      </c>
      <c r="I107" s="10" t="str">
        <f aca="false">IF(D107="","",G107-H107)</f>
        <v/>
      </c>
      <c r="J107" s="80"/>
      <c r="K107" s="80"/>
      <c r="L107" s="80"/>
      <c r="M107" s="80"/>
      <c r="N107" s="80"/>
      <c r="O107" s="80"/>
      <c r="P107" s="88" t="str">
        <f aca="false">IF(D107="","",SUM(J107:O107))</f>
        <v/>
      </c>
      <c r="Q107" s="87" t="str">
        <f aca="false">IF(D107="","",D107-P107)</f>
        <v/>
      </c>
      <c r="R107" s="36" t="str">
        <f aca="false">IF(OR(D107="",N(D107)=0),"",P107/D107)</f>
        <v/>
      </c>
      <c r="S107" s="10" t="str">
        <f aca="false">IF(D107="","",P107*N(F107))</f>
        <v/>
      </c>
      <c r="T107" s="10" t="str">
        <f aca="false">IF(D107="","",Q107*N(F107))</f>
        <v/>
      </c>
      <c r="U107" s="6"/>
      <c r="V107" s="83"/>
      <c r="W107" s="15"/>
      <c r="X107" s="15"/>
      <c r="Y107" s="15"/>
      <c r="Z107" s="93"/>
      <c r="AA107" s="93"/>
      <c r="AB107" s="93"/>
      <c r="AC107" s="10" t="str">
        <f aca="false">IF(X107="","",IFERROR(INDEX(t_Hora,MATCH(X107,t_Cargo,0)),0))</f>
        <v/>
      </c>
      <c r="AD107" s="94" t="str">
        <f aca="false">IF(X107="","",N(Z107)*IF(AA107="",IFERROR(INDEX(t_Horas,MATCH(X107,t_Cargo,0)),8),AA107)+N(AB107))</f>
        <v/>
      </c>
      <c r="AE107" s="37" t="str">
        <f aca="false">IF(X107="","",AC107*(N(Z107)*IF(AA107="",IFERROR(INDEX(t_Horas,MATCH(X107,t_Cargo,0)),8),AA107)+N(AB107)*(1+p_Extra)))</f>
        <v/>
      </c>
      <c r="AF107" s="15"/>
    </row>
    <row r="108" customFormat="false" ht="16.5" hidden="false" customHeight="true" outlineLevel="0" collapsed="false">
      <c r="A108" s="23" t="str">
        <f aca="false">IF(PRESUPUESTO!$A102="Ítem",PRESUPUESTO!B102,"")</f>
        <v/>
      </c>
      <c r="B108" s="23" t="str">
        <f aca="false">IF(PRESUPUESTO!C102="","",PRESUPUESTO!C102)</f>
        <v/>
      </c>
      <c r="C108" s="86" t="str">
        <f aca="false">IF(PRESUPUESTO!$A102="Ítem",PRESUPUESTO!D102,"")</f>
        <v/>
      </c>
      <c r="D108" s="87" t="str">
        <f aca="false">IF(PRESUPUESTO!$A102="Ítem",PRESUPUESTO!E102,"")</f>
        <v/>
      </c>
      <c r="E108" s="10" t="str">
        <f aca="false">IF(D108="","",N(PRESUPUESTO!J102))</f>
        <v/>
      </c>
      <c r="F108" s="16"/>
      <c r="G108" s="10" t="str">
        <f aca="false">IF(D108="","",D108*E108)</f>
        <v/>
      </c>
      <c r="H108" s="10" t="str">
        <f aca="false">IF(D108="","",D108*N(F108))</f>
        <v/>
      </c>
      <c r="I108" s="10" t="str">
        <f aca="false">IF(D108="","",G108-H108)</f>
        <v/>
      </c>
      <c r="J108" s="80"/>
      <c r="K108" s="80"/>
      <c r="L108" s="80"/>
      <c r="M108" s="80"/>
      <c r="N108" s="80"/>
      <c r="O108" s="80"/>
      <c r="P108" s="88" t="str">
        <f aca="false">IF(D108="","",SUM(J108:O108))</f>
        <v/>
      </c>
      <c r="Q108" s="87" t="str">
        <f aca="false">IF(D108="","",D108-P108)</f>
        <v/>
      </c>
      <c r="R108" s="36" t="str">
        <f aca="false">IF(OR(D108="",N(D108)=0),"",P108/D108)</f>
        <v/>
      </c>
      <c r="S108" s="10" t="str">
        <f aca="false">IF(D108="","",P108*N(F108))</f>
        <v/>
      </c>
      <c r="T108" s="10" t="str">
        <f aca="false">IF(D108="","",Q108*N(F108))</f>
        <v/>
      </c>
      <c r="U108" s="6"/>
      <c r="V108" s="83"/>
      <c r="W108" s="15"/>
      <c r="X108" s="15"/>
      <c r="Y108" s="15"/>
      <c r="Z108" s="93"/>
      <c r="AA108" s="93"/>
      <c r="AB108" s="93"/>
      <c r="AC108" s="10" t="str">
        <f aca="false">IF(X108="","",IFERROR(INDEX(t_Hora,MATCH(X108,t_Cargo,0)),0))</f>
        <v/>
      </c>
      <c r="AD108" s="94" t="str">
        <f aca="false">IF(X108="","",N(Z108)*IF(AA108="",IFERROR(INDEX(t_Horas,MATCH(X108,t_Cargo,0)),8),AA108)+N(AB108))</f>
        <v/>
      </c>
      <c r="AE108" s="37" t="str">
        <f aca="false">IF(X108="","",AC108*(N(Z108)*IF(AA108="",IFERROR(INDEX(t_Horas,MATCH(X108,t_Cargo,0)),8),AA108)+N(AB108)*(1+p_Extra)))</f>
        <v/>
      </c>
      <c r="AF108" s="15"/>
    </row>
    <row r="109" customFormat="false" ht="16.5" hidden="false" customHeight="true" outlineLevel="0" collapsed="false">
      <c r="A109" s="23" t="str">
        <f aca="false">IF(PRESUPUESTO!$A103="Ítem",PRESUPUESTO!B103,"")</f>
        <v/>
      </c>
      <c r="B109" s="23" t="str">
        <f aca="false">IF(PRESUPUESTO!C103="","",PRESUPUESTO!C103)</f>
        <v/>
      </c>
      <c r="C109" s="86" t="str">
        <f aca="false">IF(PRESUPUESTO!$A103="Ítem",PRESUPUESTO!D103,"")</f>
        <v/>
      </c>
      <c r="D109" s="87" t="str">
        <f aca="false">IF(PRESUPUESTO!$A103="Ítem",PRESUPUESTO!E103,"")</f>
        <v/>
      </c>
      <c r="E109" s="10" t="str">
        <f aca="false">IF(D109="","",N(PRESUPUESTO!J103))</f>
        <v/>
      </c>
      <c r="F109" s="16"/>
      <c r="G109" s="10" t="str">
        <f aca="false">IF(D109="","",D109*E109)</f>
        <v/>
      </c>
      <c r="H109" s="10" t="str">
        <f aca="false">IF(D109="","",D109*N(F109))</f>
        <v/>
      </c>
      <c r="I109" s="10" t="str">
        <f aca="false">IF(D109="","",G109-H109)</f>
        <v/>
      </c>
      <c r="J109" s="80"/>
      <c r="K109" s="80"/>
      <c r="L109" s="80"/>
      <c r="M109" s="80"/>
      <c r="N109" s="80"/>
      <c r="O109" s="80"/>
      <c r="P109" s="88" t="str">
        <f aca="false">IF(D109="","",SUM(J109:O109))</f>
        <v/>
      </c>
      <c r="Q109" s="87" t="str">
        <f aca="false">IF(D109="","",D109-P109)</f>
        <v/>
      </c>
      <c r="R109" s="36" t="str">
        <f aca="false">IF(OR(D109="",N(D109)=0),"",P109/D109)</f>
        <v/>
      </c>
      <c r="S109" s="10" t="str">
        <f aca="false">IF(D109="","",P109*N(F109))</f>
        <v/>
      </c>
      <c r="T109" s="10" t="str">
        <f aca="false">IF(D109="","",Q109*N(F109))</f>
        <v/>
      </c>
      <c r="U109" s="6"/>
      <c r="V109" s="83"/>
      <c r="W109" s="15"/>
      <c r="X109" s="15"/>
      <c r="Y109" s="15"/>
      <c r="Z109" s="93"/>
      <c r="AA109" s="93"/>
      <c r="AB109" s="93"/>
      <c r="AC109" s="10" t="str">
        <f aca="false">IF(X109="","",IFERROR(INDEX(t_Hora,MATCH(X109,t_Cargo,0)),0))</f>
        <v/>
      </c>
      <c r="AD109" s="94" t="str">
        <f aca="false">IF(X109="","",N(Z109)*IF(AA109="",IFERROR(INDEX(t_Horas,MATCH(X109,t_Cargo,0)),8),AA109)+N(AB109))</f>
        <v/>
      </c>
      <c r="AE109" s="37" t="str">
        <f aca="false">IF(X109="","",AC109*(N(Z109)*IF(AA109="",IFERROR(INDEX(t_Horas,MATCH(X109,t_Cargo,0)),8),AA109)+N(AB109)*(1+p_Extra)))</f>
        <v/>
      </c>
      <c r="AF109" s="15"/>
    </row>
    <row r="110" customFormat="false" ht="16.5" hidden="false" customHeight="true" outlineLevel="0" collapsed="false">
      <c r="A110" s="23" t="str">
        <f aca="false">IF(PRESUPUESTO!$A104="Ítem",PRESUPUESTO!B104,"")</f>
        <v/>
      </c>
      <c r="B110" s="23" t="str">
        <f aca="false">IF(PRESUPUESTO!C104="","",PRESUPUESTO!C104)</f>
        <v/>
      </c>
      <c r="C110" s="86" t="str">
        <f aca="false">IF(PRESUPUESTO!$A104="Ítem",PRESUPUESTO!D104,"")</f>
        <v/>
      </c>
      <c r="D110" s="87" t="str">
        <f aca="false">IF(PRESUPUESTO!$A104="Ítem",PRESUPUESTO!E104,"")</f>
        <v/>
      </c>
      <c r="E110" s="10" t="str">
        <f aca="false">IF(D110="","",N(PRESUPUESTO!J104))</f>
        <v/>
      </c>
      <c r="F110" s="16"/>
      <c r="G110" s="10" t="str">
        <f aca="false">IF(D110="","",D110*E110)</f>
        <v/>
      </c>
      <c r="H110" s="10" t="str">
        <f aca="false">IF(D110="","",D110*N(F110))</f>
        <v/>
      </c>
      <c r="I110" s="10" t="str">
        <f aca="false">IF(D110="","",G110-H110)</f>
        <v/>
      </c>
      <c r="J110" s="80"/>
      <c r="K110" s="80"/>
      <c r="L110" s="80"/>
      <c r="M110" s="80"/>
      <c r="N110" s="80"/>
      <c r="O110" s="80"/>
      <c r="P110" s="88" t="str">
        <f aca="false">IF(D110="","",SUM(J110:O110))</f>
        <v/>
      </c>
      <c r="Q110" s="87" t="str">
        <f aca="false">IF(D110="","",D110-P110)</f>
        <v/>
      </c>
      <c r="R110" s="36" t="str">
        <f aca="false">IF(OR(D110="",N(D110)=0),"",P110/D110)</f>
        <v/>
      </c>
      <c r="S110" s="10" t="str">
        <f aca="false">IF(D110="","",P110*N(F110))</f>
        <v/>
      </c>
      <c r="T110" s="10" t="str">
        <f aca="false">IF(D110="","",Q110*N(F110))</f>
        <v/>
      </c>
      <c r="U110" s="6"/>
      <c r="V110" s="83"/>
      <c r="W110" s="15"/>
      <c r="X110" s="15"/>
      <c r="Y110" s="15"/>
      <c r="Z110" s="93"/>
      <c r="AA110" s="93"/>
      <c r="AB110" s="93"/>
      <c r="AC110" s="10" t="str">
        <f aca="false">IF(X110="","",IFERROR(INDEX(t_Hora,MATCH(X110,t_Cargo,0)),0))</f>
        <v/>
      </c>
      <c r="AD110" s="94" t="str">
        <f aca="false">IF(X110="","",N(Z110)*IF(AA110="",IFERROR(INDEX(t_Horas,MATCH(X110,t_Cargo,0)),8),AA110)+N(AB110))</f>
        <v/>
      </c>
      <c r="AE110" s="37" t="str">
        <f aca="false">IF(X110="","",AC110*(N(Z110)*IF(AA110="",IFERROR(INDEX(t_Horas,MATCH(X110,t_Cargo,0)),8),AA110)+N(AB110)*(1+p_Extra)))</f>
        <v/>
      </c>
      <c r="AF110" s="15"/>
    </row>
    <row r="111" customFormat="false" ht="16.5" hidden="false" customHeight="true" outlineLevel="0" collapsed="false">
      <c r="A111" s="23" t="str">
        <f aca="false">IF(PRESUPUESTO!$A105="Ítem",PRESUPUESTO!B105,"")</f>
        <v/>
      </c>
      <c r="B111" s="23" t="str">
        <f aca="false">IF(PRESUPUESTO!C105="","",PRESUPUESTO!C105)</f>
        <v/>
      </c>
      <c r="C111" s="86" t="str">
        <f aca="false">IF(PRESUPUESTO!$A105="Ítem",PRESUPUESTO!D105,"")</f>
        <v/>
      </c>
      <c r="D111" s="87" t="str">
        <f aca="false">IF(PRESUPUESTO!$A105="Ítem",PRESUPUESTO!E105,"")</f>
        <v/>
      </c>
      <c r="E111" s="10" t="str">
        <f aca="false">IF(D111="","",N(PRESUPUESTO!J105))</f>
        <v/>
      </c>
      <c r="F111" s="16"/>
      <c r="G111" s="10" t="str">
        <f aca="false">IF(D111="","",D111*E111)</f>
        <v/>
      </c>
      <c r="H111" s="10" t="str">
        <f aca="false">IF(D111="","",D111*N(F111))</f>
        <v/>
      </c>
      <c r="I111" s="10" t="str">
        <f aca="false">IF(D111="","",G111-H111)</f>
        <v/>
      </c>
      <c r="J111" s="80"/>
      <c r="K111" s="80"/>
      <c r="L111" s="80"/>
      <c r="M111" s="80"/>
      <c r="N111" s="80"/>
      <c r="O111" s="80"/>
      <c r="P111" s="88" t="str">
        <f aca="false">IF(D111="","",SUM(J111:O111))</f>
        <v/>
      </c>
      <c r="Q111" s="87" t="str">
        <f aca="false">IF(D111="","",D111-P111)</f>
        <v/>
      </c>
      <c r="R111" s="36" t="str">
        <f aca="false">IF(OR(D111="",N(D111)=0),"",P111/D111)</f>
        <v/>
      </c>
      <c r="S111" s="10" t="str">
        <f aca="false">IF(D111="","",P111*N(F111))</f>
        <v/>
      </c>
      <c r="T111" s="10" t="str">
        <f aca="false">IF(D111="","",Q111*N(F111))</f>
        <v/>
      </c>
      <c r="U111" s="6"/>
      <c r="V111" s="83"/>
      <c r="W111" s="15"/>
      <c r="X111" s="15"/>
      <c r="Y111" s="15"/>
      <c r="Z111" s="93"/>
      <c r="AA111" s="93"/>
      <c r="AB111" s="93"/>
      <c r="AC111" s="10" t="str">
        <f aca="false">IF(X111="","",IFERROR(INDEX(t_Hora,MATCH(X111,t_Cargo,0)),0))</f>
        <v/>
      </c>
      <c r="AD111" s="94" t="str">
        <f aca="false">IF(X111="","",N(Z111)*IF(AA111="",IFERROR(INDEX(t_Horas,MATCH(X111,t_Cargo,0)),8),AA111)+N(AB111))</f>
        <v/>
      </c>
      <c r="AE111" s="37" t="str">
        <f aca="false">IF(X111="","",AC111*(N(Z111)*IF(AA111="",IFERROR(INDEX(t_Horas,MATCH(X111,t_Cargo,0)),8),AA111)+N(AB111)*(1+p_Extra)))</f>
        <v/>
      </c>
      <c r="AF111" s="15"/>
    </row>
    <row r="112" customFormat="false" ht="16.5" hidden="false" customHeight="true" outlineLevel="0" collapsed="false">
      <c r="A112" s="23" t="str">
        <f aca="false">IF(PRESUPUESTO!$A106="Ítem",PRESUPUESTO!B106,"")</f>
        <v/>
      </c>
      <c r="B112" s="23" t="str">
        <f aca="false">IF(PRESUPUESTO!C106="","",PRESUPUESTO!C106)</f>
        <v/>
      </c>
      <c r="C112" s="86" t="str">
        <f aca="false">IF(PRESUPUESTO!$A106="Ítem",PRESUPUESTO!D106,"")</f>
        <v/>
      </c>
      <c r="D112" s="87" t="str">
        <f aca="false">IF(PRESUPUESTO!$A106="Ítem",PRESUPUESTO!E106,"")</f>
        <v/>
      </c>
      <c r="E112" s="10" t="str">
        <f aca="false">IF(D112="","",N(PRESUPUESTO!J106))</f>
        <v/>
      </c>
      <c r="F112" s="16"/>
      <c r="G112" s="10" t="str">
        <f aca="false">IF(D112="","",D112*E112)</f>
        <v/>
      </c>
      <c r="H112" s="10" t="str">
        <f aca="false">IF(D112="","",D112*N(F112))</f>
        <v/>
      </c>
      <c r="I112" s="10" t="str">
        <f aca="false">IF(D112="","",G112-H112)</f>
        <v/>
      </c>
      <c r="J112" s="80"/>
      <c r="K112" s="80"/>
      <c r="L112" s="80"/>
      <c r="M112" s="80"/>
      <c r="N112" s="80"/>
      <c r="O112" s="80"/>
      <c r="P112" s="88" t="str">
        <f aca="false">IF(D112="","",SUM(J112:O112))</f>
        <v/>
      </c>
      <c r="Q112" s="87" t="str">
        <f aca="false">IF(D112="","",D112-P112)</f>
        <v/>
      </c>
      <c r="R112" s="36" t="str">
        <f aca="false">IF(OR(D112="",N(D112)=0),"",P112/D112)</f>
        <v/>
      </c>
      <c r="S112" s="10" t="str">
        <f aca="false">IF(D112="","",P112*N(F112))</f>
        <v/>
      </c>
      <c r="T112" s="10" t="str">
        <f aca="false">IF(D112="","",Q112*N(F112))</f>
        <v/>
      </c>
      <c r="U112" s="6"/>
      <c r="V112" s="83"/>
      <c r="W112" s="15"/>
      <c r="X112" s="15"/>
      <c r="Y112" s="15"/>
      <c r="Z112" s="93"/>
      <c r="AA112" s="93"/>
      <c r="AB112" s="93"/>
      <c r="AC112" s="10" t="str">
        <f aca="false">IF(X112="","",IFERROR(INDEX(t_Hora,MATCH(X112,t_Cargo,0)),0))</f>
        <v/>
      </c>
      <c r="AD112" s="94" t="str">
        <f aca="false">IF(X112="","",N(Z112)*IF(AA112="",IFERROR(INDEX(t_Horas,MATCH(X112,t_Cargo,0)),8),AA112)+N(AB112))</f>
        <v/>
      </c>
      <c r="AE112" s="37" t="str">
        <f aca="false">IF(X112="","",AC112*(N(Z112)*IF(AA112="",IFERROR(INDEX(t_Horas,MATCH(X112,t_Cargo,0)),8),AA112)+N(AB112)*(1+p_Extra)))</f>
        <v/>
      </c>
      <c r="AF112" s="15"/>
    </row>
    <row r="113" customFormat="false" ht="16.5" hidden="false" customHeight="true" outlineLevel="0" collapsed="false">
      <c r="A113" s="23" t="str">
        <f aca="false">IF(PRESUPUESTO!$A107="Ítem",PRESUPUESTO!B107,"")</f>
        <v/>
      </c>
      <c r="B113" s="23" t="str">
        <f aca="false">IF(PRESUPUESTO!C107="","",PRESUPUESTO!C107)</f>
        <v/>
      </c>
      <c r="C113" s="86" t="str">
        <f aca="false">IF(PRESUPUESTO!$A107="Ítem",PRESUPUESTO!D107,"")</f>
        <v/>
      </c>
      <c r="D113" s="87" t="str">
        <f aca="false">IF(PRESUPUESTO!$A107="Ítem",PRESUPUESTO!E107,"")</f>
        <v/>
      </c>
      <c r="E113" s="10" t="str">
        <f aca="false">IF(D113="","",N(PRESUPUESTO!J107))</f>
        <v/>
      </c>
      <c r="F113" s="16"/>
      <c r="G113" s="10" t="str">
        <f aca="false">IF(D113="","",D113*E113)</f>
        <v/>
      </c>
      <c r="H113" s="10" t="str">
        <f aca="false">IF(D113="","",D113*N(F113))</f>
        <v/>
      </c>
      <c r="I113" s="10" t="str">
        <f aca="false">IF(D113="","",G113-H113)</f>
        <v/>
      </c>
      <c r="J113" s="80"/>
      <c r="K113" s="80"/>
      <c r="L113" s="80"/>
      <c r="M113" s="80"/>
      <c r="N113" s="80"/>
      <c r="O113" s="80"/>
      <c r="P113" s="88" t="str">
        <f aca="false">IF(D113="","",SUM(J113:O113))</f>
        <v/>
      </c>
      <c r="Q113" s="87" t="str">
        <f aca="false">IF(D113="","",D113-P113)</f>
        <v/>
      </c>
      <c r="R113" s="36" t="str">
        <f aca="false">IF(OR(D113="",N(D113)=0),"",P113/D113)</f>
        <v/>
      </c>
      <c r="S113" s="10" t="str">
        <f aca="false">IF(D113="","",P113*N(F113))</f>
        <v/>
      </c>
      <c r="T113" s="10" t="str">
        <f aca="false">IF(D113="","",Q113*N(F113))</f>
        <v/>
      </c>
      <c r="U113" s="6"/>
      <c r="V113" s="83"/>
      <c r="W113" s="15"/>
      <c r="X113" s="15"/>
      <c r="Y113" s="15"/>
      <c r="Z113" s="93"/>
      <c r="AA113" s="93"/>
      <c r="AB113" s="93"/>
      <c r="AC113" s="10" t="str">
        <f aca="false">IF(X113="","",IFERROR(INDEX(t_Hora,MATCH(X113,t_Cargo,0)),0))</f>
        <v/>
      </c>
      <c r="AD113" s="94" t="str">
        <f aca="false">IF(X113="","",N(Z113)*IF(AA113="",IFERROR(INDEX(t_Horas,MATCH(X113,t_Cargo,0)),8),AA113)+N(AB113))</f>
        <v/>
      </c>
      <c r="AE113" s="37" t="str">
        <f aca="false">IF(X113="","",AC113*(N(Z113)*IF(AA113="",IFERROR(INDEX(t_Horas,MATCH(X113,t_Cargo,0)),8),AA113)+N(AB113)*(1+p_Extra)))</f>
        <v/>
      </c>
      <c r="AF113" s="15"/>
    </row>
    <row r="114" customFormat="false" ht="16.5" hidden="false" customHeight="true" outlineLevel="0" collapsed="false">
      <c r="A114" s="23" t="str">
        <f aca="false">IF(PRESUPUESTO!$A108="Ítem",PRESUPUESTO!B108,"")</f>
        <v/>
      </c>
      <c r="B114" s="23" t="str">
        <f aca="false">IF(PRESUPUESTO!C108="","",PRESUPUESTO!C108)</f>
        <v/>
      </c>
      <c r="C114" s="86" t="str">
        <f aca="false">IF(PRESUPUESTO!$A108="Ítem",PRESUPUESTO!D108,"")</f>
        <v/>
      </c>
      <c r="D114" s="87" t="str">
        <f aca="false">IF(PRESUPUESTO!$A108="Ítem",PRESUPUESTO!E108,"")</f>
        <v/>
      </c>
      <c r="E114" s="10" t="str">
        <f aca="false">IF(D114="","",N(PRESUPUESTO!J108))</f>
        <v/>
      </c>
      <c r="F114" s="16"/>
      <c r="G114" s="10" t="str">
        <f aca="false">IF(D114="","",D114*E114)</f>
        <v/>
      </c>
      <c r="H114" s="10" t="str">
        <f aca="false">IF(D114="","",D114*N(F114))</f>
        <v/>
      </c>
      <c r="I114" s="10" t="str">
        <f aca="false">IF(D114="","",G114-H114)</f>
        <v/>
      </c>
      <c r="J114" s="80"/>
      <c r="K114" s="80"/>
      <c r="L114" s="80"/>
      <c r="M114" s="80"/>
      <c r="N114" s="80"/>
      <c r="O114" s="80"/>
      <c r="P114" s="88" t="str">
        <f aca="false">IF(D114="","",SUM(J114:O114))</f>
        <v/>
      </c>
      <c r="Q114" s="87" t="str">
        <f aca="false">IF(D114="","",D114-P114)</f>
        <v/>
      </c>
      <c r="R114" s="36" t="str">
        <f aca="false">IF(OR(D114="",N(D114)=0),"",P114/D114)</f>
        <v/>
      </c>
      <c r="S114" s="10" t="str">
        <f aca="false">IF(D114="","",P114*N(F114))</f>
        <v/>
      </c>
      <c r="T114" s="10" t="str">
        <f aca="false">IF(D114="","",Q114*N(F114))</f>
        <v/>
      </c>
      <c r="U114" s="6"/>
      <c r="V114" s="83"/>
      <c r="W114" s="15"/>
      <c r="X114" s="15"/>
      <c r="Y114" s="15"/>
      <c r="Z114" s="93"/>
      <c r="AA114" s="93"/>
      <c r="AB114" s="93"/>
      <c r="AC114" s="10" t="str">
        <f aca="false">IF(X114="","",IFERROR(INDEX(t_Hora,MATCH(X114,t_Cargo,0)),0))</f>
        <v/>
      </c>
      <c r="AD114" s="94" t="str">
        <f aca="false">IF(X114="","",N(Z114)*IF(AA114="",IFERROR(INDEX(t_Horas,MATCH(X114,t_Cargo,0)),8),AA114)+N(AB114))</f>
        <v/>
      </c>
      <c r="AE114" s="37" t="str">
        <f aca="false">IF(X114="","",AC114*(N(Z114)*IF(AA114="",IFERROR(INDEX(t_Horas,MATCH(X114,t_Cargo,0)),8),AA114)+N(AB114)*(1+p_Extra)))</f>
        <v/>
      </c>
      <c r="AF114" s="15"/>
    </row>
    <row r="115" customFormat="false" ht="16.5" hidden="false" customHeight="true" outlineLevel="0" collapsed="false">
      <c r="A115" s="23" t="str">
        <f aca="false">IF(PRESUPUESTO!$A109="Ítem",PRESUPUESTO!B109,"")</f>
        <v/>
      </c>
      <c r="B115" s="23" t="str">
        <f aca="false">IF(PRESUPUESTO!C109="","",PRESUPUESTO!C109)</f>
        <v/>
      </c>
      <c r="C115" s="86" t="str">
        <f aca="false">IF(PRESUPUESTO!$A109="Ítem",PRESUPUESTO!D109,"")</f>
        <v/>
      </c>
      <c r="D115" s="87" t="str">
        <f aca="false">IF(PRESUPUESTO!$A109="Ítem",PRESUPUESTO!E109,"")</f>
        <v/>
      </c>
      <c r="E115" s="10" t="str">
        <f aca="false">IF(D115="","",N(PRESUPUESTO!J109))</f>
        <v/>
      </c>
      <c r="F115" s="16"/>
      <c r="G115" s="10" t="str">
        <f aca="false">IF(D115="","",D115*E115)</f>
        <v/>
      </c>
      <c r="H115" s="10" t="str">
        <f aca="false">IF(D115="","",D115*N(F115))</f>
        <v/>
      </c>
      <c r="I115" s="10" t="str">
        <f aca="false">IF(D115="","",G115-H115)</f>
        <v/>
      </c>
      <c r="J115" s="80"/>
      <c r="K115" s="80"/>
      <c r="L115" s="80"/>
      <c r="M115" s="80"/>
      <c r="N115" s="80"/>
      <c r="O115" s="80"/>
      <c r="P115" s="88" t="str">
        <f aca="false">IF(D115="","",SUM(J115:O115))</f>
        <v/>
      </c>
      <c r="Q115" s="87" t="str">
        <f aca="false">IF(D115="","",D115-P115)</f>
        <v/>
      </c>
      <c r="R115" s="36" t="str">
        <f aca="false">IF(OR(D115="",N(D115)=0),"",P115/D115)</f>
        <v/>
      </c>
      <c r="S115" s="10" t="str">
        <f aca="false">IF(D115="","",P115*N(F115))</f>
        <v/>
      </c>
      <c r="T115" s="10" t="str">
        <f aca="false">IF(D115="","",Q115*N(F115))</f>
        <v/>
      </c>
      <c r="U115" s="6"/>
      <c r="V115" s="83"/>
      <c r="W115" s="15"/>
      <c r="X115" s="15"/>
      <c r="Y115" s="15"/>
      <c r="Z115" s="93"/>
      <c r="AA115" s="93"/>
      <c r="AB115" s="93"/>
      <c r="AC115" s="10" t="str">
        <f aca="false">IF(X115="","",IFERROR(INDEX(t_Hora,MATCH(X115,t_Cargo,0)),0))</f>
        <v/>
      </c>
      <c r="AD115" s="94" t="str">
        <f aca="false">IF(X115="","",N(Z115)*IF(AA115="",IFERROR(INDEX(t_Horas,MATCH(X115,t_Cargo,0)),8),AA115)+N(AB115))</f>
        <v/>
      </c>
      <c r="AE115" s="37" t="str">
        <f aca="false">IF(X115="","",AC115*(N(Z115)*IF(AA115="",IFERROR(INDEX(t_Horas,MATCH(X115,t_Cargo,0)),8),AA115)+N(AB115)*(1+p_Extra)))</f>
        <v/>
      </c>
      <c r="AF115" s="15"/>
    </row>
    <row r="116" customFormat="false" ht="16.5" hidden="false" customHeight="true" outlineLevel="0" collapsed="false">
      <c r="A116" s="23" t="str">
        <f aca="false">IF(PRESUPUESTO!$A110="Ítem",PRESUPUESTO!B110,"")</f>
        <v/>
      </c>
      <c r="B116" s="23" t="str">
        <f aca="false">IF(PRESUPUESTO!C110="","",PRESUPUESTO!C110)</f>
        <v/>
      </c>
      <c r="C116" s="86" t="str">
        <f aca="false">IF(PRESUPUESTO!$A110="Ítem",PRESUPUESTO!D110,"")</f>
        <v/>
      </c>
      <c r="D116" s="87" t="str">
        <f aca="false">IF(PRESUPUESTO!$A110="Ítem",PRESUPUESTO!E110,"")</f>
        <v/>
      </c>
      <c r="E116" s="10" t="str">
        <f aca="false">IF(D116="","",N(PRESUPUESTO!J110))</f>
        <v/>
      </c>
      <c r="F116" s="16"/>
      <c r="G116" s="10" t="str">
        <f aca="false">IF(D116="","",D116*E116)</f>
        <v/>
      </c>
      <c r="H116" s="10" t="str">
        <f aca="false">IF(D116="","",D116*N(F116))</f>
        <v/>
      </c>
      <c r="I116" s="10" t="str">
        <f aca="false">IF(D116="","",G116-H116)</f>
        <v/>
      </c>
      <c r="J116" s="80"/>
      <c r="K116" s="80"/>
      <c r="L116" s="80"/>
      <c r="M116" s="80"/>
      <c r="N116" s="80"/>
      <c r="O116" s="80"/>
      <c r="P116" s="88" t="str">
        <f aca="false">IF(D116="","",SUM(J116:O116))</f>
        <v/>
      </c>
      <c r="Q116" s="87" t="str">
        <f aca="false">IF(D116="","",D116-P116)</f>
        <v/>
      </c>
      <c r="R116" s="36" t="str">
        <f aca="false">IF(OR(D116="",N(D116)=0),"",P116/D116)</f>
        <v/>
      </c>
      <c r="S116" s="10" t="str">
        <f aca="false">IF(D116="","",P116*N(F116))</f>
        <v/>
      </c>
      <c r="T116" s="10" t="str">
        <f aca="false">IF(D116="","",Q116*N(F116))</f>
        <v/>
      </c>
      <c r="U116" s="6"/>
      <c r="V116" s="83"/>
      <c r="W116" s="15"/>
      <c r="X116" s="15"/>
      <c r="Y116" s="15"/>
      <c r="Z116" s="93"/>
      <c r="AA116" s="93"/>
      <c r="AB116" s="93"/>
      <c r="AC116" s="10" t="str">
        <f aca="false">IF(X116="","",IFERROR(INDEX(t_Hora,MATCH(X116,t_Cargo,0)),0))</f>
        <v/>
      </c>
      <c r="AD116" s="94" t="str">
        <f aca="false">IF(X116="","",N(Z116)*IF(AA116="",IFERROR(INDEX(t_Horas,MATCH(X116,t_Cargo,0)),8),AA116)+N(AB116))</f>
        <v/>
      </c>
      <c r="AE116" s="37" t="str">
        <f aca="false">IF(X116="","",AC116*(N(Z116)*IF(AA116="",IFERROR(INDEX(t_Horas,MATCH(X116,t_Cargo,0)),8),AA116)+N(AB116)*(1+p_Extra)))</f>
        <v/>
      </c>
      <c r="AF116" s="15"/>
    </row>
    <row r="117" customFormat="false" ht="16.5" hidden="false" customHeight="true" outlineLevel="0" collapsed="false">
      <c r="A117" s="23" t="str">
        <f aca="false">IF(PRESUPUESTO!$A111="Ítem",PRESUPUESTO!B111,"")</f>
        <v/>
      </c>
      <c r="B117" s="23" t="str">
        <f aca="false">IF(PRESUPUESTO!C111="","",PRESUPUESTO!C111)</f>
        <v/>
      </c>
      <c r="C117" s="86" t="str">
        <f aca="false">IF(PRESUPUESTO!$A111="Ítem",PRESUPUESTO!D111,"")</f>
        <v/>
      </c>
      <c r="D117" s="87" t="str">
        <f aca="false">IF(PRESUPUESTO!$A111="Ítem",PRESUPUESTO!E111,"")</f>
        <v/>
      </c>
      <c r="E117" s="10" t="str">
        <f aca="false">IF(D117="","",N(PRESUPUESTO!J111))</f>
        <v/>
      </c>
      <c r="F117" s="16"/>
      <c r="G117" s="10" t="str">
        <f aca="false">IF(D117="","",D117*E117)</f>
        <v/>
      </c>
      <c r="H117" s="10" t="str">
        <f aca="false">IF(D117="","",D117*N(F117))</f>
        <v/>
      </c>
      <c r="I117" s="10" t="str">
        <f aca="false">IF(D117="","",G117-H117)</f>
        <v/>
      </c>
      <c r="J117" s="80"/>
      <c r="K117" s="80"/>
      <c r="L117" s="80"/>
      <c r="M117" s="80"/>
      <c r="N117" s="80"/>
      <c r="O117" s="80"/>
      <c r="P117" s="88" t="str">
        <f aca="false">IF(D117="","",SUM(J117:O117))</f>
        <v/>
      </c>
      <c r="Q117" s="87" t="str">
        <f aca="false">IF(D117="","",D117-P117)</f>
        <v/>
      </c>
      <c r="R117" s="36" t="str">
        <f aca="false">IF(OR(D117="",N(D117)=0),"",P117/D117)</f>
        <v/>
      </c>
      <c r="S117" s="10" t="str">
        <f aca="false">IF(D117="","",P117*N(F117))</f>
        <v/>
      </c>
      <c r="T117" s="10" t="str">
        <f aca="false">IF(D117="","",Q117*N(F117))</f>
        <v/>
      </c>
      <c r="U117" s="6"/>
      <c r="V117" s="83"/>
      <c r="W117" s="15"/>
      <c r="X117" s="15"/>
      <c r="Y117" s="15"/>
      <c r="Z117" s="93"/>
      <c r="AA117" s="93"/>
      <c r="AB117" s="93"/>
      <c r="AC117" s="10" t="str">
        <f aca="false">IF(X117="","",IFERROR(INDEX(t_Hora,MATCH(X117,t_Cargo,0)),0))</f>
        <v/>
      </c>
      <c r="AD117" s="94" t="str">
        <f aca="false">IF(X117="","",N(Z117)*IF(AA117="",IFERROR(INDEX(t_Horas,MATCH(X117,t_Cargo,0)),8),AA117)+N(AB117))</f>
        <v/>
      </c>
      <c r="AE117" s="37" t="str">
        <f aca="false">IF(X117="","",AC117*(N(Z117)*IF(AA117="",IFERROR(INDEX(t_Horas,MATCH(X117,t_Cargo,0)),8),AA117)+N(AB117)*(1+p_Extra)))</f>
        <v/>
      </c>
      <c r="AF117" s="15"/>
    </row>
    <row r="118" customFormat="false" ht="16.5" hidden="false" customHeight="true" outlineLevel="0" collapsed="false">
      <c r="A118" s="23" t="str">
        <f aca="false">IF(PRESUPUESTO!$A112="Ítem",PRESUPUESTO!B112,"")</f>
        <v/>
      </c>
      <c r="B118" s="23" t="str">
        <f aca="false">IF(PRESUPUESTO!C112="","",PRESUPUESTO!C112)</f>
        <v/>
      </c>
      <c r="C118" s="86" t="str">
        <f aca="false">IF(PRESUPUESTO!$A112="Ítem",PRESUPUESTO!D112,"")</f>
        <v/>
      </c>
      <c r="D118" s="87" t="str">
        <f aca="false">IF(PRESUPUESTO!$A112="Ítem",PRESUPUESTO!E112,"")</f>
        <v/>
      </c>
      <c r="E118" s="10" t="str">
        <f aca="false">IF(D118="","",N(PRESUPUESTO!J112))</f>
        <v/>
      </c>
      <c r="F118" s="16"/>
      <c r="G118" s="10" t="str">
        <f aca="false">IF(D118="","",D118*E118)</f>
        <v/>
      </c>
      <c r="H118" s="10" t="str">
        <f aca="false">IF(D118="","",D118*N(F118))</f>
        <v/>
      </c>
      <c r="I118" s="10" t="str">
        <f aca="false">IF(D118="","",G118-H118)</f>
        <v/>
      </c>
      <c r="J118" s="80"/>
      <c r="K118" s="80"/>
      <c r="L118" s="80"/>
      <c r="M118" s="80"/>
      <c r="N118" s="80"/>
      <c r="O118" s="80"/>
      <c r="P118" s="88" t="str">
        <f aca="false">IF(D118="","",SUM(J118:O118))</f>
        <v/>
      </c>
      <c r="Q118" s="87" t="str">
        <f aca="false">IF(D118="","",D118-P118)</f>
        <v/>
      </c>
      <c r="R118" s="36" t="str">
        <f aca="false">IF(OR(D118="",N(D118)=0),"",P118/D118)</f>
        <v/>
      </c>
      <c r="S118" s="10" t="str">
        <f aca="false">IF(D118="","",P118*N(F118))</f>
        <v/>
      </c>
      <c r="T118" s="10" t="str">
        <f aca="false">IF(D118="","",Q118*N(F118))</f>
        <v/>
      </c>
      <c r="U118" s="6"/>
      <c r="V118" s="83"/>
      <c r="W118" s="15"/>
      <c r="X118" s="15"/>
      <c r="Y118" s="15"/>
      <c r="Z118" s="93"/>
      <c r="AA118" s="93"/>
      <c r="AB118" s="93"/>
      <c r="AC118" s="10" t="str">
        <f aca="false">IF(X118="","",IFERROR(INDEX(t_Hora,MATCH(X118,t_Cargo,0)),0))</f>
        <v/>
      </c>
      <c r="AD118" s="94" t="str">
        <f aca="false">IF(X118="","",N(Z118)*IF(AA118="",IFERROR(INDEX(t_Horas,MATCH(X118,t_Cargo,0)),8),AA118)+N(AB118))</f>
        <v/>
      </c>
      <c r="AE118" s="37" t="str">
        <f aca="false">IF(X118="","",AC118*(N(Z118)*IF(AA118="",IFERROR(INDEX(t_Horas,MATCH(X118,t_Cargo,0)),8),AA118)+N(AB118)*(1+p_Extra)))</f>
        <v/>
      </c>
      <c r="AF118" s="15"/>
    </row>
    <row r="119" customFormat="false" ht="16.5" hidden="false" customHeight="true" outlineLevel="0" collapsed="false">
      <c r="A119" s="23" t="str">
        <f aca="false">IF(PRESUPUESTO!$A113="Ítem",PRESUPUESTO!B113,"")</f>
        <v/>
      </c>
      <c r="B119" s="23" t="str">
        <f aca="false">IF(PRESUPUESTO!C113="","",PRESUPUESTO!C113)</f>
        <v/>
      </c>
      <c r="C119" s="86" t="str">
        <f aca="false">IF(PRESUPUESTO!$A113="Ítem",PRESUPUESTO!D113,"")</f>
        <v/>
      </c>
      <c r="D119" s="87" t="str">
        <f aca="false">IF(PRESUPUESTO!$A113="Ítem",PRESUPUESTO!E113,"")</f>
        <v/>
      </c>
      <c r="E119" s="10" t="str">
        <f aca="false">IF(D119="","",N(PRESUPUESTO!J113))</f>
        <v/>
      </c>
      <c r="F119" s="16"/>
      <c r="G119" s="10" t="str">
        <f aca="false">IF(D119="","",D119*E119)</f>
        <v/>
      </c>
      <c r="H119" s="10" t="str">
        <f aca="false">IF(D119="","",D119*N(F119))</f>
        <v/>
      </c>
      <c r="I119" s="10" t="str">
        <f aca="false">IF(D119="","",G119-H119)</f>
        <v/>
      </c>
      <c r="J119" s="80"/>
      <c r="K119" s="80"/>
      <c r="L119" s="80"/>
      <c r="M119" s="80"/>
      <c r="N119" s="80"/>
      <c r="O119" s="80"/>
      <c r="P119" s="88" t="str">
        <f aca="false">IF(D119="","",SUM(J119:O119))</f>
        <v/>
      </c>
      <c r="Q119" s="87" t="str">
        <f aca="false">IF(D119="","",D119-P119)</f>
        <v/>
      </c>
      <c r="R119" s="36" t="str">
        <f aca="false">IF(OR(D119="",N(D119)=0),"",P119/D119)</f>
        <v/>
      </c>
      <c r="S119" s="10" t="str">
        <f aca="false">IF(D119="","",P119*N(F119))</f>
        <v/>
      </c>
      <c r="T119" s="10" t="str">
        <f aca="false">IF(D119="","",Q119*N(F119))</f>
        <v/>
      </c>
      <c r="U119" s="6"/>
      <c r="V119" s="83"/>
      <c r="W119" s="15"/>
      <c r="X119" s="15"/>
      <c r="Y119" s="15"/>
      <c r="Z119" s="93"/>
      <c r="AA119" s="93"/>
      <c r="AB119" s="93"/>
      <c r="AC119" s="10" t="str">
        <f aca="false">IF(X119="","",IFERROR(INDEX(t_Hora,MATCH(X119,t_Cargo,0)),0))</f>
        <v/>
      </c>
      <c r="AD119" s="94" t="str">
        <f aca="false">IF(X119="","",N(Z119)*IF(AA119="",IFERROR(INDEX(t_Horas,MATCH(X119,t_Cargo,0)),8),AA119)+N(AB119))</f>
        <v/>
      </c>
      <c r="AE119" s="37" t="str">
        <f aca="false">IF(X119="","",AC119*(N(Z119)*IF(AA119="",IFERROR(INDEX(t_Horas,MATCH(X119,t_Cargo,0)),8),AA119)+N(AB119)*(1+p_Extra)))</f>
        <v/>
      </c>
      <c r="AF119" s="15"/>
    </row>
    <row r="120" customFormat="false" ht="16.5" hidden="false" customHeight="true" outlineLevel="0" collapsed="false">
      <c r="A120" s="23" t="str">
        <f aca="false">IF(PRESUPUESTO!$A114="Ítem",PRESUPUESTO!B114,"")</f>
        <v/>
      </c>
      <c r="B120" s="23" t="str">
        <f aca="false">IF(PRESUPUESTO!C114="","",PRESUPUESTO!C114)</f>
        <v/>
      </c>
      <c r="C120" s="86" t="str">
        <f aca="false">IF(PRESUPUESTO!$A114="Ítem",PRESUPUESTO!D114,"")</f>
        <v/>
      </c>
      <c r="D120" s="87" t="str">
        <f aca="false">IF(PRESUPUESTO!$A114="Ítem",PRESUPUESTO!E114,"")</f>
        <v/>
      </c>
      <c r="E120" s="10" t="str">
        <f aca="false">IF(D120="","",N(PRESUPUESTO!J114))</f>
        <v/>
      </c>
      <c r="F120" s="16"/>
      <c r="G120" s="10" t="str">
        <f aca="false">IF(D120="","",D120*E120)</f>
        <v/>
      </c>
      <c r="H120" s="10" t="str">
        <f aca="false">IF(D120="","",D120*N(F120))</f>
        <v/>
      </c>
      <c r="I120" s="10" t="str">
        <f aca="false">IF(D120="","",G120-H120)</f>
        <v/>
      </c>
      <c r="J120" s="80"/>
      <c r="K120" s="80"/>
      <c r="L120" s="80"/>
      <c r="M120" s="80"/>
      <c r="N120" s="80"/>
      <c r="O120" s="80"/>
      <c r="P120" s="88" t="str">
        <f aca="false">IF(D120="","",SUM(J120:O120))</f>
        <v/>
      </c>
      <c r="Q120" s="87" t="str">
        <f aca="false">IF(D120="","",D120-P120)</f>
        <v/>
      </c>
      <c r="R120" s="36" t="str">
        <f aca="false">IF(OR(D120="",N(D120)=0),"",P120/D120)</f>
        <v/>
      </c>
      <c r="S120" s="10" t="str">
        <f aca="false">IF(D120="","",P120*N(F120))</f>
        <v/>
      </c>
      <c r="T120" s="10" t="str">
        <f aca="false">IF(D120="","",Q120*N(F120))</f>
        <v/>
      </c>
      <c r="U120" s="6"/>
      <c r="V120" s="83"/>
      <c r="W120" s="15"/>
      <c r="X120" s="15"/>
      <c r="Y120" s="15"/>
      <c r="Z120" s="93"/>
      <c r="AA120" s="93"/>
      <c r="AB120" s="93"/>
      <c r="AC120" s="10" t="str">
        <f aca="false">IF(X120="","",IFERROR(INDEX(t_Hora,MATCH(X120,t_Cargo,0)),0))</f>
        <v/>
      </c>
      <c r="AD120" s="94" t="str">
        <f aca="false">IF(X120="","",N(Z120)*IF(AA120="",IFERROR(INDEX(t_Horas,MATCH(X120,t_Cargo,0)),8),AA120)+N(AB120))</f>
        <v/>
      </c>
      <c r="AE120" s="37" t="str">
        <f aca="false">IF(X120="","",AC120*(N(Z120)*IF(AA120="",IFERROR(INDEX(t_Horas,MATCH(X120,t_Cargo,0)),8),AA120)+N(AB120)*(1+p_Extra)))</f>
        <v/>
      </c>
      <c r="AF120" s="15"/>
    </row>
    <row r="121" customFormat="false" ht="16.5" hidden="false" customHeight="true" outlineLevel="0" collapsed="false">
      <c r="A121" s="23" t="str">
        <f aca="false">IF(PRESUPUESTO!$A115="Ítem",PRESUPUESTO!B115,"")</f>
        <v/>
      </c>
      <c r="B121" s="23" t="str">
        <f aca="false">IF(PRESUPUESTO!C115="","",PRESUPUESTO!C115)</f>
        <v/>
      </c>
      <c r="C121" s="86" t="str">
        <f aca="false">IF(PRESUPUESTO!$A115="Ítem",PRESUPUESTO!D115,"")</f>
        <v/>
      </c>
      <c r="D121" s="87" t="str">
        <f aca="false">IF(PRESUPUESTO!$A115="Ítem",PRESUPUESTO!E115,"")</f>
        <v/>
      </c>
      <c r="E121" s="10" t="str">
        <f aca="false">IF(D121="","",N(PRESUPUESTO!J115))</f>
        <v/>
      </c>
      <c r="F121" s="16"/>
      <c r="G121" s="10" t="str">
        <f aca="false">IF(D121="","",D121*E121)</f>
        <v/>
      </c>
      <c r="H121" s="10" t="str">
        <f aca="false">IF(D121="","",D121*N(F121))</f>
        <v/>
      </c>
      <c r="I121" s="10" t="str">
        <f aca="false">IF(D121="","",G121-H121)</f>
        <v/>
      </c>
      <c r="J121" s="80"/>
      <c r="K121" s="80"/>
      <c r="L121" s="80"/>
      <c r="M121" s="80"/>
      <c r="N121" s="80"/>
      <c r="O121" s="80"/>
      <c r="P121" s="88" t="str">
        <f aca="false">IF(D121="","",SUM(J121:O121))</f>
        <v/>
      </c>
      <c r="Q121" s="87" t="str">
        <f aca="false">IF(D121="","",D121-P121)</f>
        <v/>
      </c>
      <c r="R121" s="36" t="str">
        <f aca="false">IF(OR(D121="",N(D121)=0),"",P121/D121)</f>
        <v/>
      </c>
      <c r="S121" s="10" t="str">
        <f aca="false">IF(D121="","",P121*N(F121))</f>
        <v/>
      </c>
      <c r="T121" s="10" t="str">
        <f aca="false">IF(D121="","",Q121*N(F121))</f>
        <v/>
      </c>
      <c r="U121" s="6"/>
      <c r="V121" s="83"/>
      <c r="W121" s="15"/>
      <c r="X121" s="15"/>
      <c r="Y121" s="15"/>
      <c r="Z121" s="93"/>
      <c r="AA121" s="93"/>
      <c r="AB121" s="93"/>
      <c r="AC121" s="10" t="str">
        <f aca="false">IF(X121="","",IFERROR(INDEX(t_Hora,MATCH(X121,t_Cargo,0)),0))</f>
        <v/>
      </c>
      <c r="AD121" s="94" t="str">
        <f aca="false">IF(X121="","",N(Z121)*IF(AA121="",IFERROR(INDEX(t_Horas,MATCH(X121,t_Cargo,0)),8),AA121)+N(AB121))</f>
        <v/>
      </c>
      <c r="AE121" s="37" t="str">
        <f aca="false">IF(X121="","",AC121*(N(Z121)*IF(AA121="",IFERROR(INDEX(t_Horas,MATCH(X121,t_Cargo,0)),8),AA121)+N(AB121)*(1+p_Extra)))</f>
        <v/>
      </c>
      <c r="AF121" s="15"/>
    </row>
    <row r="122" customFormat="false" ht="16.5" hidden="false" customHeight="true" outlineLevel="0" collapsed="false">
      <c r="A122" s="23" t="str">
        <f aca="false">IF(PRESUPUESTO!$A116="Ítem",PRESUPUESTO!B116,"")</f>
        <v/>
      </c>
      <c r="B122" s="23" t="str">
        <f aca="false">IF(PRESUPUESTO!C116="","",PRESUPUESTO!C116)</f>
        <v/>
      </c>
      <c r="C122" s="86" t="str">
        <f aca="false">IF(PRESUPUESTO!$A116="Ítem",PRESUPUESTO!D116,"")</f>
        <v/>
      </c>
      <c r="D122" s="87" t="str">
        <f aca="false">IF(PRESUPUESTO!$A116="Ítem",PRESUPUESTO!E116,"")</f>
        <v/>
      </c>
      <c r="E122" s="10" t="str">
        <f aca="false">IF(D122="","",N(PRESUPUESTO!J116))</f>
        <v/>
      </c>
      <c r="F122" s="16"/>
      <c r="G122" s="10" t="str">
        <f aca="false">IF(D122="","",D122*E122)</f>
        <v/>
      </c>
      <c r="H122" s="10" t="str">
        <f aca="false">IF(D122="","",D122*N(F122))</f>
        <v/>
      </c>
      <c r="I122" s="10" t="str">
        <f aca="false">IF(D122="","",G122-H122)</f>
        <v/>
      </c>
      <c r="J122" s="80"/>
      <c r="K122" s="80"/>
      <c r="L122" s="80"/>
      <c r="M122" s="80"/>
      <c r="N122" s="80"/>
      <c r="O122" s="80"/>
      <c r="P122" s="88" t="str">
        <f aca="false">IF(D122="","",SUM(J122:O122))</f>
        <v/>
      </c>
      <c r="Q122" s="87" t="str">
        <f aca="false">IF(D122="","",D122-P122)</f>
        <v/>
      </c>
      <c r="R122" s="36" t="str">
        <f aca="false">IF(OR(D122="",N(D122)=0),"",P122/D122)</f>
        <v/>
      </c>
      <c r="S122" s="10" t="str">
        <f aca="false">IF(D122="","",P122*N(F122))</f>
        <v/>
      </c>
      <c r="T122" s="10" t="str">
        <f aca="false">IF(D122="","",Q122*N(F122))</f>
        <v/>
      </c>
      <c r="U122" s="6"/>
      <c r="V122" s="83"/>
      <c r="W122" s="15"/>
      <c r="X122" s="15"/>
      <c r="Y122" s="15"/>
      <c r="Z122" s="93"/>
      <c r="AA122" s="93"/>
      <c r="AB122" s="93"/>
      <c r="AC122" s="10" t="str">
        <f aca="false">IF(X122="","",IFERROR(INDEX(t_Hora,MATCH(X122,t_Cargo,0)),0))</f>
        <v/>
      </c>
      <c r="AD122" s="94" t="str">
        <f aca="false">IF(X122="","",N(Z122)*IF(AA122="",IFERROR(INDEX(t_Horas,MATCH(X122,t_Cargo,0)),8),AA122)+N(AB122))</f>
        <v/>
      </c>
      <c r="AE122" s="37" t="str">
        <f aca="false">IF(X122="","",AC122*(N(Z122)*IF(AA122="",IFERROR(INDEX(t_Horas,MATCH(X122,t_Cargo,0)),8),AA122)+N(AB122)*(1+p_Extra)))</f>
        <v/>
      </c>
      <c r="AF122" s="15"/>
    </row>
    <row r="123" customFormat="false" ht="16.5" hidden="false" customHeight="true" outlineLevel="0" collapsed="false">
      <c r="A123" s="23" t="str">
        <f aca="false">IF(PRESUPUESTO!$A117="Ítem",PRESUPUESTO!B117,"")</f>
        <v/>
      </c>
      <c r="B123" s="23" t="str">
        <f aca="false">IF(PRESUPUESTO!C117="","",PRESUPUESTO!C117)</f>
        <v/>
      </c>
      <c r="C123" s="86" t="str">
        <f aca="false">IF(PRESUPUESTO!$A117="Ítem",PRESUPUESTO!D117,"")</f>
        <v/>
      </c>
      <c r="D123" s="87" t="str">
        <f aca="false">IF(PRESUPUESTO!$A117="Ítem",PRESUPUESTO!E117,"")</f>
        <v/>
      </c>
      <c r="E123" s="10" t="str">
        <f aca="false">IF(D123="","",N(PRESUPUESTO!J117))</f>
        <v/>
      </c>
      <c r="F123" s="16"/>
      <c r="G123" s="10" t="str">
        <f aca="false">IF(D123="","",D123*E123)</f>
        <v/>
      </c>
      <c r="H123" s="10" t="str">
        <f aca="false">IF(D123="","",D123*N(F123))</f>
        <v/>
      </c>
      <c r="I123" s="10" t="str">
        <f aca="false">IF(D123="","",G123-H123)</f>
        <v/>
      </c>
      <c r="J123" s="80"/>
      <c r="K123" s="80"/>
      <c r="L123" s="80"/>
      <c r="M123" s="80"/>
      <c r="N123" s="80"/>
      <c r="O123" s="80"/>
      <c r="P123" s="88" t="str">
        <f aca="false">IF(D123="","",SUM(J123:O123))</f>
        <v/>
      </c>
      <c r="Q123" s="87" t="str">
        <f aca="false">IF(D123="","",D123-P123)</f>
        <v/>
      </c>
      <c r="R123" s="36" t="str">
        <f aca="false">IF(OR(D123="",N(D123)=0),"",P123/D123)</f>
        <v/>
      </c>
      <c r="S123" s="10" t="str">
        <f aca="false">IF(D123="","",P123*N(F123))</f>
        <v/>
      </c>
      <c r="T123" s="10" t="str">
        <f aca="false">IF(D123="","",Q123*N(F123))</f>
        <v/>
      </c>
      <c r="U123" s="6"/>
      <c r="V123" s="83"/>
      <c r="W123" s="15"/>
      <c r="X123" s="15"/>
      <c r="Y123" s="15"/>
      <c r="Z123" s="93"/>
      <c r="AA123" s="93"/>
      <c r="AB123" s="93"/>
      <c r="AC123" s="10" t="str">
        <f aca="false">IF(X123="","",IFERROR(INDEX(t_Hora,MATCH(X123,t_Cargo,0)),0))</f>
        <v/>
      </c>
      <c r="AD123" s="94" t="str">
        <f aca="false">IF(X123="","",N(Z123)*IF(AA123="",IFERROR(INDEX(t_Horas,MATCH(X123,t_Cargo,0)),8),AA123)+N(AB123))</f>
        <v/>
      </c>
      <c r="AE123" s="37" t="str">
        <f aca="false">IF(X123="","",AC123*(N(Z123)*IF(AA123="",IFERROR(INDEX(t_Horas,MATCH(X123,t_Cargo,0)),8),AA123)+N(AB123)*(1+p_Extra)))</f>
        <v/>
      </c>
      <c r="AF123" s="15"/>
    </row>
    <row r="124" customFormat="false" ht="16.5" hidden="false" customHeight="true" outlineLevel="0" collapsed="false">
      <c r="A124" s="23" t="str">
        <f aca="false">IF(PRESUPUESTO!$A118="Ítem",PRESUPUESTO!B118,"")</f>
        <v/>
      </c>
      <c r="B124" s="23" t="str">
        <f aca="false">IF(PRESUPUESTO!C118="","",PRESUPUESTO!C118)</f>
        <v/>
      </c>
      <c r="C124" s="86" t="str">
        <f aca="false">IF(PRESUPUESTO!$A118="Ítem",PRESUPUESTO!D118,"")</f>
        <v/>
      </c>
      <c r="D124" s="87" t="str">
        <f aca="false">IF(PRESUPUESTO!$A118="Ítem",PRESUPUESTO!E118,"")</f>
        <v/>
      </c>
      <c r="E124" s="10" t="str">
        <f aca="false">IF(D124="","",N(PRESUPUESTO!J118))</f>
        <v/>
      </c>
      <c r="F124" s="16"/>
      <c r="G124" s="10" t="str">
        <f aca="false">IF(D124="","",D124*E124)</f>
        <v/>
      </c>
      <c r="H124" s="10" t="str">
        <f aca="false">IF(D124="","",D124*N(F124))</f>
        <v/>
      </c>
      <c r="I124" s="10" t="str">
        <f aca="false">IF(D124="","",G124-H124)</f>
        <v/>
      </c>
      <c r="J124" s="80"/>
      <c r="K124" s="80"/>
      <c r="L124" s="80"/>
      <c r="M124" s="80"/>
      <c r="N124" s="80"/>
      <c r="O124" s="80"/>
      <c r="P124" s="88" t="str">
        <f aca="false">IF(D124="","",SUM(J124:O124))</f>
        <v/>
      </c>
      <c r="Q124" s="87" t="str">
        <f aca="false">IF(D124="","",D124-P124)</f>
        <v/>
      </c>
      <c r="R124" s="36" t="str">
        <f aca="false">IF(OR(D124="",N(D124)=0),"",P124/D124)</f>
        <v/>
      </c>
      <c r="S124" s="10" t="str">
        <f aca="false">IF(D124="","",P124*N(F124))</f>
        <v/>
      </c>
      <c r="T124" s="10" t="str">
        <f aca="false">IF(D124="","",Q124*N(F124))</f>
        <v/>
      </c>
      <c r="U124" s="6"/>
      <c r="V124" s="83"/>
      <c r="W124" s="15"/>
      <c r="X124" s="15"/>
      <c r="Y124" s="15"/>
      <c r="Z124" s="93"/>
      <c r="AA124" s="93"/>
      <c r="AB124" s="93"/>
      <c r="AC124" s="10" t="str">
        <f aca="false">IF(X124="","",IFERROR(INDEX(t_Hora,MATCH(X124,t_Cargo,0)),0))</f>
        <v/>
      </c>
      <c r="AD124" s="94" t="str">
        <f aca="false">IF(X124="","",N(Z124)*IF(AA124="",IFERROR(INDEX(t_Horas,MATCH(X124,t_Cargo,0)),8),AA124)+N(AB124))</f>
        <v/>
      </c>
      <c r="AE124" s="37" t="str">
        <f aca="false">IF(X124="","",AC124*(N(Z124)*IF(AA124="",IFERROR(INDEX(t_Horas,MATCH(X124,t_Cargo,0)),8),AA124)+N(AB124)*(1+p_Extra)))</f>
        <v/>
      </c>
      <c r="AF124" s="15"/>
    </row>
    <row r="125" customFormat="false" ht="16.5" hidden="false" customHeight="true" outlineLevel="0" collapsed="false">
      <c r="A125" s="23" t="str">
        <f aca="false">IF(PRESUPUESTO!$A119="Ítem",PRESUPUESTO!B119,"")</f>
        <v/>
      </c>
      <c r="B125" s="23" t="str">
        <f aca="false">IF(PRESUPUESTO!C119="","",PRESUPUESTO!C119)</f>
        <v/>
      </c>
      <c r="C125" s="86" t="str">
        <f aca="false">IF(PRESUPUESTO!$A119="Ítem",PRESUPUESTO!D119,"")</f>
        <v/>
      </c>
      <c r="D125" s="87" t="str">
        <f aca="false">IF(PRESUPUESTO!$A119="Ítem",PRESUPUESTO!E119,"")</f>
        <v/>
      </c>
      <c r="E125" s="10" t="str">
        <f aca="false">IF(D125="","",N(PRESUPUESTO!J119))</f>
        <v/>
      </c>
      <c r="F125" s="16"/>
      <c r="G125" s="10" t="str">
        <f aca="false">IF(D125="","",D125*E125)</f>
        <v/>
      </c>
      <c r="H125" s="10" t="str">
        <f aca="false">IF(D125="","",D125*N(F125))</f>
        <v/>
      </c>
      <c r="I125" s="10" t="str">
        <f aca="false">IF(D125="","",G125-H125)</f>
        <v/>
      </c>
      <c r="J125" s="80"/>
      <c r="K125" s="80"/>
      <c r="L125" s="80"/>
      <c r="M125" s="80"/>
      <c r="N125" s="80"/>
      <c r="O125" s="80"/>
      <c r="P125" s="88" t="str">
        <f aca="false">IF(D125="","",SUM(J125:O125))</f>
        <v/>
      </c>
      <c r="Q125" s="87" t="str">
        <f aca="false">IF(D125="","",D125-P125)</f>
        <v/>
      </c>
      <c r="R125" s="36" t="str">
        <f aca="false">IF(OR(D125="",N(D125)=0),"",P125/D125)</f>
        <v/>
      </c>
      <c r="S125" s="10" t="str">
        <f aca="false">IF(D125="","",P125*N(F125))</f>
        <v/>
      </c>
      <c r="T125" s="10" t="str">
        <f aca="false">IF(D125="","",Q125*N(F125))</f>
        <v/>
      </c>
      <c r="U125" s="6"/>
      <c r="V125" s="83"/>
      <c r="W125" s="15"/>
      <c r="X125" s="15"/>
      <c r="Y125" s="15"/>
      <c r="Z125" s="93"/>
      <c r="AA125" s="93"/>
      <c r="AB125" s="93"/>
      <c r="AC125" s="10" t="str">
        <f aca="false">IF(X125="","",IFERROR(INDEX(t_Hora,MATCH(X125,t_Cargo,0)),0))</f>
        <v/>
      </c>
      <c r="AD125" s="94" t="str">
        <f aca="false">IF(X125="","",N(Z125)*IF(AA125="",IFERROR(INDEX(t_Horas,MATCH(X125,t_Cargo,0)),8),AA125)+N(AB125))</f>
        <v/>
      </c>
      <c r="AE125" s="37" t="str">
        <f aca="false">IF(X125="","",AC125*(N(Z125)*IF(AA125="",IFERROR(INDEX(t_Horas,MATCH(X125,t_Cargo,0)),8),AA125)+N(AB125)*(1+p_Extra)))</f>
        <v/>
      </c>
      <c r="AF125" s="15"/>
    </row>
    <row r="126" customFormat="false" ht="16.5" hidden="false" customHeight="true" outlineLevel="0" collapsed="false">
      <c r="A126" s="23" t="str">
        <f aca="false">IF(PRESUPUESTO!$A120="Ítem",PRESUPUESTO!B120,"")</f>
        <v/>
      </c>
      <c r="B126" s="23" t="str">
        <f aca="false">IF(PRESUPUESTO!C120="","",PRESUPUESTO!C120)</f>
        <v/>
      </c>
      <c r="C126" s="86" t="str">
        <f aca="false">IF(PRESUPUESTO!$A120="Ítem",PRESUPUESTO!D120,"")</f>
        <v/>
      </c>
      <c r="D126" s="87" t="str">
        <f aca="false">IF(PRESUPUESTO!$A120="Ítem",PRESUPUESTO!E120,"")</f>
        <v/>
      </c>
      <c r="E126" s="10" t="str">
        <f aca="false">IF(D126="","",N(PRESUPUESTO!J120))</f>
        <v/>
      </c>
      <c r="F126" s="16"/>
      <c r="G126" s="10" t="str">
        <f aca="false">IF(D126="","",D126*E126)</f>
        <v/>
      </c>
      <c r="H126" s="10" t="str">
        <f aca="false">IF(D126="","",D126*N(F126))</f>
        <v/>
      </c>
      <c r="I126" s="10" t="str">
        <f aca="false">IF(D126="","",G126-H126)</f>
        <v/>
      </c>
      <c r="J126" s="80"/>
      <c r="K126" s="80"/>
      <c r="L126" s="80"/>
      <c r="M126" s="80"/>
      <c r="N126" s="80"/>
      <c r="O126" s="80"/>
      <c r="P126" s="88" t="str">
        <f aca="false">IF(D126="","",SUM(J126:O126))</f>
        <v/>
      </c>
      <c r="Q126" s="87" t="str">
        <f aca="false">IF(D126="","",D126-P126)</f>
        <v/>
      </c>
      <c r="R126" s="36" t="str">
        <f aca="false">IF(OR(D126="",N(D126)=0),"",P126/D126)</f>
        <v/>
      </c>
      <c r="S126" s="10" t="str">
        <f aca="false">IF(D126="","",P126*N(F126))</f>
        <v/>
      </c>
      <c r="T126" s="10" t="str">
        <f aca="false">IF(D126="","",Q126*N(F126))</f>
        <v/>
      </c>
      <c r="U126" s="6"/>
      <c r="V126" s="83"/>
      <c r="W126" s="15"/>
      <c r="X126" s="15"/>
      <c r="Y126" s="15"/>
      <c r="Z126" s="93"/>
      <c r="AA126" s="93"/>
      <c r="AB126" s="93"/>
      <c r="AC126" s="10" t="str">
        <f aca="false">IF(X126="","",IFERROR(INDEX(t_Hora,MATCH(X126,t_Cargo,0)),0))</f>
        <v/>
      </c>
      <c r="AD126" s="94" t="str">
        <f aca="false">IF(X126="","",N(Z126)*IF(AA126="",IFERROR(INDEX(t_Horas,MATCH(X126,t_Cargo,0)),8),AA126)+N(AB126))</f>
        <v/>
      </c>
      <c r="AE126" s="37" t="str">
        <f aca="false">IF(X126="","",AC126*(N(Z126)*IF(AA126="",IFERROR(INDEX(t_Horas,MATCH(X126,t_Cargo,0)),8),AA126)+N(AB126)*(1+p_Extra)))</f>
        <v/>
      </c>
      <c r="AF126" s="15"/>
    </row>
    <row r="127" customFormat="false" ht="16.5" hidden="false" customHeight="true" outlineLevel="0" collapsed="false">
      <c r="A127" s="23" t="str">
        <f aca="false">IF(PRESUPUESTO!$A121="Ítem",PRESUPUESTO!B121,"")</f>
        <v/>
      </c>
      <c r="B127" s="23" t="str">
        <f aca="false">IF(PRESUPUESTO!C121="","",PRESUPUESTO!C121)</f>
        <v/>
      </c>
      <c r="C127" s="86" t="str">
        <f aca="false">IF(PRESUPUESTO!$A121="Ítem",PRESUPUESTO!D121,"")</f>
        <v/>
      </c>
      <c r="D127" s="87" t="str">
        <f aca="false">IF(PRESUPUESTO!$A121="Ítem",PRESUPUESTO!E121,"")</f>
        <v/>
      </c>
      <c r="E127" s="10" t="str">
        <f aca="false">IF(D127="","",N(PRESUPUESTO!J121))</f>
        <v/>
      </c>
      <c r="F127" s="16"/>
      <c r="G127" s="10" t="str">
        <f aca="false">IF(D127="","",D127*E127)</f>
        <v/>
      </c>
      <c r="H127" s="10" t="str">
        <f aca="false">IF(D127="","",D127*N(F127))</f>
        <v/>
      </c>
      <c r="I127" s="10" t="str">
        <f aca="false">IF(D127="","",G127-H127)</f>
        <v/>
      </c>
      <c r="J127" s="80"/>
      <c r="K127" s="80"/>
      <c r="L127" s="80"/>
      <c r="M127" s="80"/>
      <c r="N127" s="80"/>
      <c r="O127" s="80"/>
      <c r="P127" s="88" t="str">
        <f aca="false">IF(D127="","",SUM(J127:O127))</f>
        <v/>
      </c>
      <c r="Q127" s="87" t="str">
        <f aca="false">IF(D127="","",D127-P127)</f>
        <v/>
      </c>
      <c r="R127" s="36" t="str">
        <f aca="false">IF(OR(D127="",N(D127)=0),"",P127/D127)</f>
        <v/>
      </c>
      <c r="S127" s="10" t="str">
        <f aca="false">IF(D127="","",P127*N(F127))</f>
        <v/>
      </c>
      <c r="T127" s="10" t="str">
        <f aca="false">IF(D127="","",Q127*N(F127))</f>
        <v/>
      </c>
      <c r="U127" s="6"/>
      <c r="V127" s="83"/>
      <c r="W127" s="15"/>
      <c r="X127" s="15"/>
      <c r="Y127" s="15"/>
      <c r="Z127" s="93"/>
      <c r="AA127" s="93"/>
      <c r="AB127" s="93"/>
      <c r="AC127" s="10" t="str">
        <f aca="false">IF(X127="","",IFERROR(INDEX(t_Hora,MATCH(X127,t_Cargo,0)),0))</f>
        <v/>
      </c>
      <c r="AD127" s="94" t="str">
        <f aca="false">IF(X127="","",N(Z127)*IF(AA127="",IFERROR(INDEX(t_Horas,MATCH(X127,t_Cargo,0)),8),AA127)+N(AB127))</f>
        <v/>
      </c>
      <c r="AE127" s="37" t="str">
        <f aca="false">IF(X127="","",AC127*(N(Z127)*IF(AA127="",IFERROR(INDEX(t_Horas,MATCH(X127,t_Cargo,0)),8),AA127)+N(AB127)*(1+p_Extra)))</f>
        <v/>
      </c>
      <c r="AF127" s="15"/>
    </row>
    <row r="128" customFormat="false" ht="16.5" hidden="false" customHeight="true" outlineLevel="0" collapsed="false">
      <c r="A128" s="23" t="str">
        <f aca="false">IF(PRESUPUESTO!$A122="Ítem",PRESUPUESTO!B122,"")</f>
        <v/>
      </c>
      <c r="B128" s="23" t="str">
        <f aca="false">IF(PRESUPUESTO!C122="","",PRESUPUESTO!C122)</f>
        <v/>
      </c>
      <c r="C128" s="86" t="str">
        <f aca="false">IF(PRESUPUESTO!$A122="Ítem",PRESUPUESTO!D122,"")</f>
        <v/>
      </c>
      <c r="D128" s="87" t="str">
        <f aca="false">IF(PRESUPUESTO!$A122="Ítem",PRESUPUESTO!E122,"")</f>
        <v/>
      </c>
      <c r="E128" s="10" t="str">
        <f aca="false">IF(D128="","",N(PRESUPUESTO!J122))</f>
        <v/>
      </c>
      <c r="F128" s="16"/>
      <c r="G128" s="10" t="str">
        <f aca="false">IF(D128="","",D128*E128)</f>
        <v/>
      </c>
      <c r="H128" s="10" t="str">
        <f aca="false">IF(D128="","",D128*N(F128))</f>
        <v/>
      </c>
      <c r="I128" s="10" t="str">
        <f aca="false">IF(D128="","",G128-H128)</f>
        <v/>
      </c>
      <c r="J128" s="80"/>
      <c r="K128" s="80"/>
      <c r="L128" s="80"/>
      <c r="M128" s="80"/>
      <c r="N128" s="80"/>
      <c r="O128" s="80"/>
      <c r="P128" s="88" t="str">
        <f aca="false">IF(D128="","",SUM(J128:O128))</f>
        <v/>
      </c>
      <c r="Q128" s="87" t="str">
        <f aca="false">IF(D128="","",D128-P128)</f>
        <v/>
      </c>
      <c r="R128" s="36" t="str">
        <f aca="false">IF(OR(D128="",N(D128)=0),"",P128/D128)</f>
        <v/>
      </c>
      <c r="S128" s="10" t="str">
        <f aca="false">IF(D128="","",P128*N(F128))</f>
        <v/>
      </c>
      <c r="T128" s="10" t="str">
        <f aca="false">IF(D128="","",Q128*N(F128))</f>
        <v/>
      </c>
      <c r="U128" s="6"/>
      <c r="V128" s="83"/>
      <c r="W128" s="15"/>
      <c r="X128" s="15"/>
      <c r="Y128" s="15"/>
      <c r="Z128" s="93"/>
      <c r="AA128" s="93"/>
      <c r="AB128" s="93"/>
      <c r="AC128" s="10" t="str">
        <f aca="false">IF(X128="","",IFERROR(INDEX(t_Hora,MATCH(X128,t_Cargo,0)),0))</f>
        <v/>
      </c>
      <c r="AD128" s="94" t="str">
        <f aca="false">IF(X128="","",N(Z128)*IF(AA128="",IFERROR(INDEX(t_Horas,MATCH(X128,t_Cargo,0)),8),AA128)+N(AB128))</f>
        <v/>
      </c>
      <c r="AE128" s="37" t="str">
        <f aca="false">IF(X128="","",AC128*(N(Z128)*IF(AA128="",IFERROR(INDEX(t_Horas,MATCH(X128,t_Cargo,0)),8),AA128)+N(AB128)*(1+p_Extra)))</f>
        <v/>
      </c>
      <c r="AF128" s="15"/>
    </row>
    <row r="129" customFormat="false" ht="16.5" hidden="false" customHeight="true" outlineLevel="0" collapsed="false">
      <c r="A129" s="23" t="str">
        <f aca="false">IF(PRESUPUESTO!$A123="Ítem",PRESUPUESTO!B123,"")</f>
        <v/>
      </c>
      <c r="B129" s="23" t="str">
        <f aca="false">IF(PRESUPUESTO!C123="","",PRESUPUESTO!C123)</f>
        <v/>
      </c>
      <c r="C129" s="86" t="str">
        <f aca="false">IF(PRESUPUESTO!$A123="Ítem",PRESUPUESTO!D123,"")</f>
        <v/>
      </c>
      <c r="D129" s="87" t="str">
        <f aca="false">IF(PRESUPUESTO!$A123="Ítem",PRESUPUESTO!E123,"")</f>
        <v/>
      </c>
      <c r="E129" s="10" t="str">
        <f aca="false">IF(D129="","",N(PRESUPUESTO!J123))</f>
        <v/>
      </c>
      <c r="F129" s="16"/>
      <c r="G129" s="10" t="str">
        <f aca="false">IF(D129="","",D129*E129)</f>
        <v/>
      </c>
      <c r="H129" s="10" t="str">
        <f aca="false">IF(D129="","",D129*N(F129))</f>
        <v/>
      </c>
      <c r="I129" s="10" t="str">
        <f aca="false">IF(D129="","",G129-H129)</f>
        <v/>
      </c>
      <c r="J129" s="80"/>
      <c r="K129" s="80"/>
      <c r="L129" s="80"/>
      <c r="M129" s="80"/>
      <c r="N129" s="80"/>
      <c r="O129" s="80"/>
      <c r="P129" s="88" t="str">
        <f aca="false">IF(D129="","",SUM(J129:O129))</f>
        <v/>
      </c>
      <c r="Q129" s="87" t="str">
        <f aca="false">IF(D129="","",D129-P129)</f>
        <v/>
      </c>
      <c r="R129" s="36" t="str">
        <f aca="false">IF(OR(D129="",N(D129)=0),"",P129/D129)</f>
        <v/>
      </c>
      <c r="S129" s="10" t="str">
        <f aca="false">IF(D129="","",P129*N(F129))</f>
        <v/>
      </c>
      <c r="T129" s="10" t="str">
        <f aca="false">IF(D129="","",Q129*N(F129))</f>
        <v/>
      </c>
      <c r="U129" s="6"/>
      <c r="V129" s="83"/>
      <c r="W129" s="15"/>
      <c r="X129" s="15"/>
      <c r="Y129" s="15"/>
      <c r="Z129" s="93"/>
      <c r="AA129" s="93"/>
      <c r="AB129" s="93"/>
      <c r="AC129" s="10" t="str">
        <f aca="false">IF(X129="","",IFERROR(INDEX(t_Hora,MATCH(X129,t_Cargo,0)),0))</f>
        <v/>
      </c>
      <c r="AD129" s="94" t="str">
        <f aca="false">IF(X129="","",N(Z129)*IF(AA129="",IFERROR(INDEX(t_Horas,MATCH(X129,t_Cargo,0)),8),AA129)+N(AB129))</f>
        <v/>
      </c>
      <c r="AE129" s="37" t="str">
        <f aca="false">IF(X129="","",AC129*(N(Z129)*IF(AA129="",IFERROR(INDEX(t_Horas,MATCH(X129,t_Cargo,0)),8),AA129)+N(AB129)*(1+p_Extra)))</f>
        <v/>
      </c>
      <c r="AF129" s="15"/>
    </row>
    <row r="130" customFormat="false" ht="16.5" hidden="false" customHeight="true" outlineLevel="0" collapsed="false">
      <c r="A130" s="23" t="str">
        <f aca="false">IF(PRESUPUESTO!$A124="Ítem",PRESUPUESTO!B124,"")</f>
        <v/>
      </c>
      <c r="B130" s="23" t="str">
        <f aca="false">IF(PRESUPUESTO!C124="","",PRESUPUESTO!C124)</f>
        <v/>
      </c>
      <c r="C130" s="86" t="str">
        <f aca="false">IF(PRESUPUESTO!$A124="Ítem",PRESUPUESTO!D124,"")</f>
        <v/>
      </c>
      <c r="D130" s="87" t="str">
        <f aca="false">IF(PRESUPUESTO!$A124="Ítem",PRESUPUESTO!E124,"")</f>
        <v/>
      </c>
      <c r="E130" s="10" t="str">
        <f aca="false">IF(D130="","",N(PRESUPUESTO!J124))</f>
        <v/>
      </c>
      <c r="F130" s="16"/>
      <c r="G130" s="10" t="str">
        <f aca="false">IF(D130="","",D130*E130)</f>
        <v/>
      </c>
      <c r="H130" s="10" t="str">
        <f aca="false">IF(D130="","",D130*N(F130))</f>
        <v/>
      </c>
      <c r="I130" s="10" t="str">
        <f aca="false">IF(D130="","",G130-H130)</f>
        <v/>
      </c>
      <c r="J130" s="80"/>
      <c r="K130" s="80"/>
      <c r="L130" s="80"/>
      <c r="M130" s="80"/>
      <c r="N130" s="80"/>
      <c r="O130" s="80"/>
      <c r="P130" s="88" t="str">
        <f aca="false">IF(D130="","",SUM(J130:O130))</f>
        <v/>
      </c>
      <c r="Q130" s="87" t="str">
        <f aca="false">IF(D130="","",D130-P130)</f>
        <v/>
      </c>
      <c r="R130" s="36" t="str">
        <f aca="false">IF(OR(D130="",N(D130)=0),"",P130/D130)</f>
        <v/>
      </c>
      <c r="S130" s="10" t="str">
        <f aca="false">IF(D130="","",P130*N(F130))</f>
        <v/>
      </c>
      <c r="T130" s="10" t="str">
        <f aca="false">IF(D130="","",Q130*N(F130))</f>
        <v/>
      </c>
      <c r="U130" s="6"/>
      <c r="V130" s="83"/>
      <c r="W130" s="15"/>
      <c r="X130" s="15"/>
      <c r="Y130" s="15"/>
      <c r="Z130" s="93"/>
      <c r="AA130" s="93"/>
      <c r="AB130" s="93"/>
      <c r="AC130" s="10" t="str">
        <f aca="false">IF(X130="","",IFERROR(INDEX(t_Hora,MATCH(X130,t_Cargo,0)),0))</f>
        <v/>
      </c>
      <c r="AD130" s="94" t="str">
        <f aca="false">IF(X130="","",N(Z130)*IF(AA130="",IFERROR(INDEX(t_Horas,MATCH(X130,t_Cargo,0)),8),AA130)+N(AB130))</f>
        <v/>
      </c>
      <c r="AE130" s="37" t="str">
        <f aca="false">IF(X130="","",AC130*(N(Z130)*IF(AA130="",IFERROR(INDEX(t_Horas,MATCH(X130,t_Cargo,0)),8),AA130)+N(AB130)*(1+p_Extra)))</f>
        <v/>
      </c>
      <c r="AF130" s="15"/>
    </row>
    <row r="131" customFormat="false" ht="16.5" hidden="false" customHeight="true" outlineLevel="0" collapsed="false">
      <c r="A131" s="23" t="str">
        <f aca="false">IF(PRESUPUESTO!$A125="Ítem",PRESUPUESTO!B125,"")</f>
        <v/>
      </c>
      <c r="B131" s="23" t="str">
        <f aca="false">IF(PRESUPUESTO!C125="","",PRESUPUESTO!C125)</f>
        <v/>
      </c>
      <c r="C131" s="86" t="str">
        <f aca="false">IF(PRESUPUESTO!$A125="Ítem",PRESUPUESTO!D125,"")</f>
        <v/>
      </c>
      <c r="D131" s="87" t="str">
        <f aca="false">IF(PRESUPUESTO!$A125="Ítem",PRESUPUESTO!E125,"")</f>
        <v/>
      </c>
      <c r="E131" s="10" t="str">
        <f aca="false">IF(D131="","",N(PRESUPUESTO!J125))</f>
        <v/>
      </c>
      <c r="F131" s="16"/>
      <c r="G131" s="10" t="str">
        <f aca="false">IF(D131="","",D131*E131)</f>
        <v/>
      </c>
      <c r="H131" s="10" t="str">
        <f aca="false">IF(D131="","",D131*N(F131))</f>
        <v/>
      </c>
      <c r="I131" s="10" t="str">
        <f aca="false">IF(D131="","",G131-H131)</f>
        <v/>
      </c>
      <c r="J131" s="80"/>
      <c r="K131" s="80"/>
      <c r="L131" s="80"/>
      <c r="M131" s="80"/>
      <c r="N131" s="80"/>
      <c r="O131" s="80"/>
      <c r="P131" s="88" t="str">
        <f aca="false">IF(D131="","",SUM(J131:O131))</f>
        <v/>
      </c>
      <c r="Q131" s="87" t="str">
        <f aca="false">IF(D131="","",D131-P131)</f>
        <v/>
      </c>
      <c r="R131" s="36" t="str">
        <f aca="false">IF(OR(D131="",N(D131)=0),"",P131/D131)</f>
        <v/>
      </c>
      <c r="S131" s="10" t="str">
        <f aca="false">IF(D131="","",P131*N(F131))</f>
        <v/>
      </c>
      <c r="T131" s="10" t="str">
        <f aca="false">IF(D131="","",Q131*N(F131))</f>
        <v/>
      </c>
      <c r="U131" s="6"/>
      <c r="V131" s="83"/>
      <c r="W131" s="15"/>
      <c r="X131" s="15"/>
      <c r="Y131" s="15"/>
      <c r="Z131" s="93"/>
      <c r="AA131" s="93"/>
      <c r="AB131" s="93"/>
      <c r="AC131" s="10" t="str">
        <f aca="false">IF(X131="","",IFERROR(INDEX(t_Hora,MATCH(X131,t_Cargo,0)),0))</f>
        <v/>
      </c>
      <c r="AD131" s="94" t="str">
        <f aca="false">IF(X131="","",N(Z131)*IF(AA131="",IFERROR(INDEX(t_Horas,MATCH(X131,t_Cargo,0)),8),AA131)+N(AB131))</f>
        <v/>
      </c>
      <c r="AE131" s="37" t="str">
        <f aca="false">IF(X131="","",AC131*(N(Z131)*IF(AA131="",IFERROR(INDEX(t_Horas,MATCH(X131,t_Cargo,0)),8),AA131)+N(AB131)*(1+p_Extra)))</f>
        <v/>
      </c>
      <c r="AF131" s="15"/>
    </row>
    <row r="132" customFormat="false" ht="16.5" hidden="false" customHeight="true" outlineLevel="0" collapsed="false">
      <c r="A132" s="23" t="str">
        <f aca="false">IF(PRESUPUESTO!$A126="Ítem",PRESUPUESTO!B126,"")</f>
        <v/>
      </c>
      <c r="B132" s="23" t="str">
        <f aca="false">IF(PRESUPUESTO!C126="","",PRESUPUESTO!C126)</f>
        <v/>
      </c>
      <c r="C132" s="86" t="str">
        <f aca="false">IF(PRESUPUESTO!$A126="Ítem",PRESUPUESTO!D126,"")</f>
        <v/>
      </c>
      <c r="D132" s="87" t="str">
        <f aca="false">IF(PRESUPUESTO!$A126="Ítem",PRESUPUESTO!E126,"")</f>
        <v/>
      </c>
      <c r="E132" s="10" t="str">
        <f aca="false">IF(D132="","",N(PRESUPUESTO!J126))</f>
        <v/>
      </c>
      <c r="F132" s="16"/>
      <c r="G132" s="10" t="str">
        <f aca="false">IF(D132="","",D132*E132)</f>
        <v/>
      </c>
      <c r="H132" s="10" t="str">
        <f aca="false">IF(D132="","",D132*N(F132))</f>
        <v/>
      </c>
      <c r="I132" s="10" t="str">
        <f aca="false">IF(D132="","",G132-H132)</f>
        <v/>
      </c>
      <c r="J132" s="80"/>
      <c r="K132" s="80"/>
      <c r="L132" s="80"/>
      <c r="M132" s="80"/>
      <c r="N132" s="80"/>
      <c r="O132" s="80"/>
      <c r="P132" s="88" t="str">
        <f aca="false">IF(D132="","",SUM(J132:O132))</f>
        <v/>
      </c>
      <c r="Q132" s="87" t="str">
        <f aca="false">IF(D132="","",D132-P132)</f>
        <v/>
      </c>
      <c r="R132" s="36" t="str">
        <f aca="false">IF(OR(D132="",N(D132)=0),"",P132/D132)</f>
        <v/>
      </c>
      <c r="S132" s="10" t="str">
        <f aca="false">IF(D132="","",P132*N(F132))</f>
        <v/>
      </c>
      <c r="T132" s="10" t="str">
        <f aca="false">IF(D132="","",Q132*N(F132))</f>
        <v/>
      </c>
      <c r="U132" s="6"/>
      <c r="V132" s="83"/>
      <c r="W132" s="15"/>
      <c r="X132" s="15"/>
      <c r="Y132" s="15"/>
      <c r="Z132" s="93"/>
      <c r="AA132" s="93"/>
      <c r="AB132" s="93"/>
      <c r="AC132" s="10" t="str">
        <f aca="false">IF(X132="","",IFERROR(INDEX(t_Hora,MATCH(X132,t_Cargo,0)),0))</f>
        <v/>
      </c>
      <c r="AD132" s="94" t="str">
        <f aca="false">IF(X132="","",N(Z132)*IF(AA132="",IFERROR(INDEX(t_Horas,MATCH(X132,t_Cargo,0)),8),AA132)+N(AB132))</f>
        <v/>
      </c>
      <c r="AE132" s="37" t="str">
        <f aca="false">IF(X132="","",AC132*(N(Z132)*IF(AA132="",IFERROR(INDEX(t_Horas,MATCH(X132,t_Cargo,0)),8),AA132)+N(AB132)*(1+p_Extra)))</f>
        <v/>
      </c>
      <c r="AF132" s="15"/>
    </row>
    <row r="133" customFormat="false" ht="16.5" hidden="false" customHeight="true" outlineLevel="0" collapsed="false">
      <c r="A133" s="23" t="str">
        <f aca="false">IF(PRESUPUESTO!$A127="Ítem",PRESUPUESTO!B127,"")</f>
        <v/>
      </c>
      <c r="B133" s="23" t="str">
        <f aca="false">IF(PRESUPUESTO!C127="","",PRESUPUESTO!C127)</f>
        <v/>
      </c>
      <c r="C133" s="86" t="str">
        <f aca="false">IF(PRESUPUESTO!$A127="Ítem",PRESUPUESTO!D127,"")</f>
        <v/>
      </c>
      <c r="D133" s="87" t="str">
        <f aca="false">IF(PRESUPUESTO!$A127="Ítem",PRESUPUESTO!E127,"")</f>
        <v/>
      </c>
      <c r="E133" s="10" t="str">
        <f aca="false">IF(D133="","",N(PRESUPUESTO!J127))</f>
        <v/>
      </c>
      <c r="F133" s="16"/>
      <c r="G133" s="10" t="str">
        <f aca="false">IF(D133="","",D133*E133)</f>
        <v/>
      </c>
      <c r="H133" s="10" t="str">
        <f aca="false">IF(D133="","",D133*N(F133))</f>
        <v/>
      </c>
      <c r="I133" s="10" t="str">
        <f aca="false">IF(D133="","",G133-H133)</f>
        <v/>
      </c>
      <c r="J133" s="80"/>
      <c r="K133" s="80"/>
      <c r="L133" s="80"/>
      <c r="M133" s="80"/>
      <c r="N133" s="80"/>
      <c r="O133" s="80"/>
      <c r="P133" s="88" t="str">
        <f aca="false">IF(D133="","",SUM(J133:O133))</f>
        <v/>
      </c>
      <c r="Q133" s="87" t="str">
        <f aca="false">IF(D133="","",D133-P133)</f>
        <v/>
      </c>
      <c r="R133" s="36" t="str">
        <f aca="false">IF(OR(D133="",N(D133)=0),"",P133/D133)</f>
        <v/>
      </c>
      <c r="S133" s="10" t="str">
        <f aca="false">IF(D133="","",P133*N(F133))</f>
        <v/>
      </c>
      <c r="T133" s="10" t="str">
        <f aca="false">IF(D133="","",Q133*N(F133))</f>
        <v/>
      </c>
      <c r="U133" s="6"/>
      <c r="V133" s="83"/>
      <c r="W133" s="15"/>
      <c r="X133" s="15"/>
      <c r="Y133" s="15"/>
      <c r="Z133" s="93"/>
      <c r="AA133" s="93"/>
      <c r="AB133" s="93"/>
      <c r="AC133" s="10" t="str">
        <f aca="false">IF(X133="","",IFERROR(INDEX(t_Hora,MATCH(X133,t_Cargo,0)),0))</f>
        <v/>
      </c>
      <c r="AD133" s="94" t="str">
        <f aca="false">IF(X133="","",N(Z133)*IF(AA133="",IFERROR(INDEX(t_Horas,MATCH(X133,t_Cargo,0)),8),AA133)+N(AB133))</f>
        <v/>
      </c>
      <c r="AE133" s="37" t="str">
        <f aca="false">IF(X133="","",AC133*(N(Z133)*IF(AA133="",IFERROR(INDEX(t_Horas,MATCH(X133,t_Cargo,0)),8),AA133)+N(AB133)*(1+p_Extra)))</f>
        <v/>
      </c>
      <c r="AF133" s="15"/>
    </row>
    <row r="134" customFormat="false" ht="16.5" hidden="false" customHeight="true" outlineLevel="0" collapsed="false">
      <c r="A134" s="23" t="str">
        <f aca="false">IF(PRESUPUESTO!$A128="Ítem",PRESUPUESTO!B128,"")</f>
        <v/>
      </c>
      <c r="B134" s="23" t="str">
        <f aca="false">IF(PRESUPUESTO!C128="","",PRESUPUESTO!C128)</f>
        <v/>
      </c>
      <c r="C134" s="86" t="str">
        <f aca="false">IF(PRESUPUESTO!$A128="Ítem",PRESUPUESTO!D128,"")</f>
        <v/>
      </c>
      <c r="D134" s="87" t="str">
        <f aca="false">IF(PRESUPUESTO!$A128="Ítem",PRESUPUESTO!E128,"")</f>
        <v/>
      </c>
      <c r="E134" s="10" t="str">
        <f aca="false">IF(D134="","",N(PRESUPUESTO!J128))</f>
        <v/>
      </c>
      <c r="F134" s="16"/>
      <c r="G134" s="10" t="str">
        <f aca="false">IF(D134="","",D134*E134)</f>
        <v/>
      </c>
      <c r="H134" s="10" t="str">
        <f aca="false">IF(D134="","",D134*N(F134))</f>
        <v/>
      </c>
      <c r="I134" s="10" t="str">
        <f aca="false">IF(D134="","",G134-H134)</f>
        <v/>
      </c>
      <c r="J134" s="80"/>
      <c r="K134" s="80"/>
      <c r="L134" s="80"/>
      <c r="M134" s="80"/>
      <c r="N134" s="80"/>
      <c r="O134" s="80"/>
      <c r="P134" s="88" t="str">
        <f aca="false">IF(D134="","",SUM(J134:O134))</f>
        <v/>
      </c>
      <c r="Q134" s="87" t="str">
        <f aca="false">IF(D134="","",D134-P134)</f>
        <v/>
      </c>
      <c r="R134" s="36" t="str">
        <f aca="false">IF(OR(D134="",N(D134)=0),"",P134/D134)</f>
        <v/>
      </c>
      <c r="S134" s="10" t="str">
        <f aca="false">IF(D134="","",P134*N(F134))</f>
        <v/>
      </c>
      <c r="T134" s="10" t="str">
        <f aca="false">IF(D134="","",Q134*N(F134))</f>
        <v/>
      </c>
      <c r="U134" s="6"/>
      <c r="V134" s="83"/>
      <c r="W134" s="15"/>
      <c r="X134" s="15"/>
      <c r="Y134" s="15"/>
      <c r="Z134" s="93"/>
      <c r="AA134" s="93"/>
      <c r="AB134" s="93"/>
      <c r="AC134" s="10" t="str">
        <f aca="false">IF(X134="","",IFERROR(INDEX(t_Hora,MATCH(X134,t_Cargo,0)),0))</f>
        <v/>
      </c>
      <c r="AD134" s="94" t="str">
        <f aca="false">IF(X134="","",N(Z134)*IF(AA134="",IFERROR(INDEX(t_Horas,MATCH(X134,t_Cargo,0)),8),AA134)+N(AB134))</f>
        <v/>
      </c>
      <c r="AE134" s="37" t="str">
        <f aca="false">IF(X134="","",AC134*(N(Z134)*IF(AA134="",IFERROR(INDEX(t_Horas,MATCH(X134,t_Cargo,0)),8),AA134)+N(AB134)*(1+p_Extra)))</f>
        <v/>
      </c>
      <c r="AF134" s="15"/>
    </row>
    <row r="135" customFormat="false" ht="16.5" hidden="false" customHeight="true" outlineLevel="0" collapsed="false">
      <c r="A135" s="23" t="str">
        <f aca="false">IF(PRESUPUESTO!$A129="Ítem",PRESUPUESTO!B129,"")</f>
        <v/>
      </c>
      <c r="B135" s="23" t="str">
        <f aca="false">IF(PRESUPUESTO!C129="","",PRESUPUESTO!C129)</f>
        <v/>
      </c>
      <c r="C135" s="86" t="str">
        <f aca="false">IF(PRESUPUESTO!$A129="Ítem",PRESUPUESTO!D129,"")</f>
        <v/>
      </c>
      <c r="D135" s="87" t="str">
        <f aca="false">IF(PRESUPUESTO!$A129="Ítem",PRESUPUESTO!E129,"")</f>
        <v/>
      </c>
      <c r="E135" s="10" t="str">
        <f aca="false">IF(D135="","",N(PRESUPUESTO!J129))</f>
        <v/>
      </c>
      <c r="F135" s="16"/>
      <c r="G135" s="10" t="str">
        <f aca="false">IF(D135="","",D135*E135)</f>
        <v/>
      </c>
      <c r="H135" s="10" t="str">
        <f aca="false">IF(D135="","",D135*N(F135))</f>
        <v/>
      </c>
      <c r="I135" s="10" t="str">
        <f aca="false">IF(D135="","",G135-H135)</f>
        <v/>
      </c>
      <c r="J135" s="80"/>
      <c r="K135" s="80"/>
      <c r="L135" s="80"/>
      <c r="M135" s="80"/>
      <c r="N135" s="80"/>
      <c r="O135" s="80"/>
      <c r="P135" s="88" t="str">
        <f aca="false">IF(D135="","",SUM(J135:O135))</f>
        <v/>
      </c>
      <c r="Q135" s="87" t="str">
        <f aca="false">IF(D135="","",D135-P135)</f>
        <v/>
      </c>
      <c r="R135" s="36" t="str">
        <f aca="false">IF(OR(D135="",N(D135)=0),"",P135/D135)</f>
        <v/>
      </c>
      <c r="S135" s="10" t="str">
        <f aca="false">IF(D135="","",P135*N(F135))</f>
        <v/>
      </c>
      <c r="T135" s="10" t="str">
        <f aca="false">IF(D135="","",Q135*N(F135))</f>
        <v/>
      </c>
      <c r="U135" s="6"/>
      <c r="V135" s="83"/>
      <c r="W135" s="15"/>
      <c r="X135" s="15"/>
      <c r="Y135" s="15"/>
      <c r="Z135" s="93"/>
      <c r="AA135" s="93"/>
      <c r="AB135" s="93"/>
      <c r="AC135" s="10" t="str">
        <f aca="false">IF(X135="","",IFERROR(INDEX(t_Hora,MATCH(X135,t_Cargo,0)),0))</f>
        <v/>
      </c>
      <c r="AD135" s="94" t="str">
        <f aca="false">IF(X135="","",N(Z135)*IF(AA135="",IFERROR(INDEX(t_Horas,MATCH(X135,t_Cargo,0)),8),AA135)+N(AB135))</f>
        <v/>
      </c>
      <c r="AE135" s="37" t="str">
        <f aca="false">IF(X135="","",AC135*(N(Z135)*IF(AA135="",IFERROR(INDEX(t_Horas,MATCH(X135,t_Cargo,0)),8),AA135)+N(AB135)*(1+p_Extra)))</f>
        <v/>
      </c>
      <c r="AF135" s="15"/>
    </row>
    <row r="136" customFormat="false" ht="16.5" hidden="false" customHeight="true" outlineLevel="0" collapsed="false">
      <c r="A136" s="23" t="str">
        <f aca="false">IF(PRESUPUESTO!$A130="Ítem",PRESUPUESTO!B130,"")</f>
        <v/>
      </c>
      <c r="B136" s="23" t="str">
        <f aca="false">IF(PRESUPUESTO!C130="","",PRESUPUESTO!C130)</f>
        <v/>
      </c>
      <c r="C136" s="86" t="str">
        <f aca="false">IF(PRESUPUESTO!$A130="Ítem",PRESUPUESTO!D130,"")</f>
        <v/>
      </c>
      <c r="D136" s="87" t="str">
        <f aca="false">IF(PRESUPUESTO!$A130="Ítem",PRESUPUESTO!E130,"")</f>
        <v/>
      </c>
      <c r="E136" s="10" t="str">
        <f aca="false">IF(D136="","",N(PRESUPUESTO!J130))</f>
        <v/>
      </c>
      <c r="F136" s="16"/>
      <c r="G136" s="10" t="str">
        <f aca="false">IF(D136="","",D136*E136)</f>
        <v/>
      </c>
      <c r="H136" s="10" t="str">
        <f aca="false">IF(D136="","",D136*N(F136))</f>
        <v/>
      </c>
      <c r="I136" s="10" t="str">
        <f aca="false">IF(D136="","",G136-H136)</f>
        <v/>
      </c>
      <c r="J136" s="80"/>
      <c r="K136" s="80"/>
      <c r="L136" s="80"/>
      <c r="M136" s="80"/>
      <c r="N136" s="80"/>
      <c r="O136" s="80"/>
      <c r="P136" s="88" t="str">
        <f aca="false">IF(D136="","",SUM(J136:O136))</f>
        <v/>
      </c>
      <c r="Q136" s="87" t="str">
        <f aca="false">IF(D136="","",D136-P136)</f>
        <v/>
      </c>
      <c r="R136" s="36" t="str">
        <f aca="false">IF(OR(D136="",N(D136)=0),"",P136/D136)</f>
        <v/>
      </c>
      <c r="S136" s="10" t="str">
        <f aca="false">IF(D136="","",P136*N(F136))</f>
        <v/>
      </c>
      <c r="T136" s="10" t="str">
        <f aca="false">IF(D136="","",Q136*N(F136))</f>
        <v/>
      </c>
      <c r="U136" s="6"/>
      <c r="V136" s="83"/>
      <c r="W136" s="15"/>
      <c r="X136" s="15"/>
      <c r="Y136" s="15"/>
      <c r="Z136" s="93"/>
      <c r="AA136" s="93"/>
      <c r="AB136" s="93"/>
      <c r="AC136" s="10" t="str">
        <f aca="false">IF(X136="","",IFERROR(INDEX(t_Hora,MATCH(X136,t_Cargo,0)),0))</f>
        <v/>
      </c>
      <c r="AD136" s="94" t="str">
        <f aca="false">IF(X136="","",N(Z136)*IF(AA136="",IFERROR(INDEX(t_Horas,MATCH(X136,t_Cargo,0)),8),AA136)+N(AB136))</f>
        <v/>
      </c>
      <c r="AE136" s="37" t="str">
        <f aca="false">IF(X136="","",AC136*(N(Z136)*IF(AA136="",IFERROR(INDEX(t_Horas,MATCH(X136,t_Cargo,0)),8),AA136)+N(AB136)*(1+p_Extra)))</f>
        <v/>
      </c>
      <c r="AF136" s="15"/>
    </row>
    <row r="137" customFormat="false" ht="16.5" hidden="false" customHeight="true" outlineLevel="0" collapsed="false">
      <c r="A137" s="23" t="str">
        <f aca="false">IF(PRESUPUESTO!$A131="Ítem",PRESUPUESTO!B131,"")</f>
        <v/>
      </c>
      <c r="B137" s="23" t="str">
        <f aca="false">IF(PRESUPUESTO!C131="","",PRESUPUESTO!C131)</f>
        <v/>
      </c>
      <c r="C137" s="86" t="str">
        <f aca="false">IF(PRESUPUESTO!$A131="Ítem",PRESUPUESTO!D131,"")</f>
        <v/>
      </c>
      <c r="D137" s="87" t="str">
        <f aca="false">IF(PRESUPUESTO!$A131="Ítem",PRESUPUESTO!E131,"")</f>
        <v/>
      </c>
      <c r="E137" s="10" t="str">
        <f aca="false">IF(D137="","",N(PRESUPUESTO!J131))</f>
        <v/>
      </c>
      <c r="F137" s="16"/>
      <c r="G137" s="10" t="str">
        <f aca="false">IF(D137="","",D137*E137)</f>
        <v/>
      </c>
      <c r="H137" s="10" t="str">
        <f aca="false">IF(D137="","",D137*N(F137))</f>
        <v/>
      </c>
      <c r="I137" s="10" t="str">
        <f aca="false">IF(D137="","",G137-H137)</f>
        <v/>
      </c>
      <c r="J137" s="80"/>
      <c r="K137" s="80"/>
      <c r="L137" s="80"/>
      <c r="M137" s="80"/>
      <c r="N137" s="80"/>
      <c r="O137" s="80"/>
      <c r="P137" s="88" t="str">
        <f aca="false">IF(D137="","",SUM(J137:O137))</f>
        <v/>
      </c>
      <c r="Q137" s="87" t="str">
        <f aca="false">IF(D137="","",D137-P137)</f>
        <v/>
      </c>
      <c r="R137" s="36" t="str">
        <f aca="false">IF(OR(D137="",N(D137)=0),"",P137/D137)</f>
        <v/>
      </c>
      <c r="S137" s="10" t="str">
        <f aca="false">IF(D137="","",P137*N(F137))</f>
        <v/>
      </c>
      <c r="T137" s="10" t="str">
        <f aca="false">IF(D137="","",Q137*N(F137))</f>
        <v/>
      </c>
      <c r="U137" s="6"/>
      <c r="V137" s="83"/>
      <c r="W137" s="15"/>
      <c r="X137" s="15"/>
      <c r="Y137" s="15"/>
      <c r="Z137" s="93"/>
      <c r="AA137" s="93"/>
      <c r="AB137" s="93"/>
      <c r="AC137" s="10" t="str">
        <f aca="false">IF(X137="","",IFERROR(INDEX(t_Hora,MATCH(X137,t_Cargo,0)),0))</f>
        <v/>
      </c>
      <c r="AD137" s="94" t="str">
        <f aca="false">IF(X137="","",N(Z137)*IF(AA137="",IFERROR(INDEX(t_Horas,MATCH(X137,t_Cargo,0)),8),AA137)+N(AB137))</f>
        <v/>
      </c>
      <c r="AE137" s="37" t="str">
        <f aca="false">IF(X137="","",AC137*(N(Z137)*IF(AA137="",IFERROR(INDEX(t_Horas,MATCH(X137,t_Cargo,0)),8),AA137)+N(AB137)*(1+p_Extra)))</f>
        <v/>
      </c>
      <c r="AF137" s="15"/>
    </row>
    <row r="138" customFormat="false" ht="16.5" hidden="false" customHeight="true" outlineLevel="0" collapsed="false">
      <c r="A138" s="23" t="str">
        <f aca="false">IF(PRESUPUESTO!$A132="Ítem",PRESUPUESTO!B132,"")</f>
        <v/>
      </c>
      <c r="B138" s="23" t="str">
        <f aca="false">IF(PRESUPUESTO!C132="","",PRESUPUESTO!C132)</f>
        <v/>
      </c>
      <c r="C138" s="86" t="str">
        <f aca="false">IF(PRESUPUESTO!$A132="Ítem",PRESUPUESTO!D132,"")</f>
        <v/>
      </c>
      <c r="D138" s="87" t="str">
        <f aca="false">IF(PRESUPUESTO!$A132="Ítem",PRESUPUESTO!E132,"")</f>
        <v/>
      </c>
      <c r="E138" s="10" t="str">
        <f aca="false">IF(D138="","",N(PRESUPUESTO!J132))</f>
        <v/>
      </c>
      <c r="F138" s="16"/>
      <c r="G138" s="10" t="str">
        <f aca="false">IF(D138="","",D138*E138)</f>
        <v/>
      </c>
      <c r="H138" s="10" t="str">
        <f aca="false">IF(D138="","",D138*N(F138))</f>
        <v/>
      </c>
      <c r="I138" s="10" t="str">
        <f aca="false">IF(D138="","",G138-H138)</f>
        <v/>
      </c>
      <c r="J138" s="80"/>
      <c r="K138" s="80"/>
      <c r="L138" s="80"/>
      <c r="M138" s="80"/>
      <c r="N138" s="80"/>
      <c r="O138" s="80"/>
      <c r="P138" s="88" t="str">
        <f aca="false">IF(D138="","",SUM(J138:O138))</f>
        <v/>
      </c>
      <c r="Q138" s="87" t="str">
        <f aca="false">IF(D138="","",D138-P138)</f>
        <v/>
      </c>
      <c r="R138" s="36" t="str">
        <f aca="false">IF(OR(D138="",N(D138)=0),"",P138/D138)</f>
        <v/>
      </c>
      <c r="S138" s="10" t="str">
        <f aca="false">IF(D138="","",P138*N(F138))</f>
        <v/>
      </c>
      <c r="T138" s="10" t="str">
        <f aca="false">IF(D138="","",Q138*N(F138))</f>
        <v/>
      </c>
      <c r="U138" s="6"/>
      <c r="V138" s="83"/>
      <c r="W138" s="15"/>
      <c r="X138" s="15"/>
      <c r="Y138" s="15"/>
      <c r="Z138" s="93"/>
      <c r="AA138" s="93"/>
      <c r="AB138" s="93"/>
      <c r="AC138" s="10" t="str">
        <f aca="false">IF(X138="","",IFERROR(INDEX(t_Hora,MATCH(X138,t_Cargo,0)),0))</f>
        <v/>
      </c>
      <c r="AD138" s="94" t="str">
        <f aca="false">IF(X138="","",N(Z138)*IF(AA138="",IFERROR(INDEX(t_Horas,MATCH(X138,t_Cargo,0)),8),AA138)+N(AB138))</f>
        <v/>
      </c>
      <c r="AE138" s="37" t="str">
        <f aca="false">IF(X138="","",AC138*(N(Z138)*IF(AA138="",IFERROR(INDEX(t_Horas,MATCH(X138,t_Cargo,0)),8),AA138)+N(AB138)*(1+p_Extra)))</f>
        <v/>
      </c>
      <c r="AF138" s="15"/>
    </row>
    <row r="139" customFormat="false" ht="16.5" hidden="false" customHeight="true" outlineLevel="0" collapsed="false">
      <c r="A139" s="23" t="str">
        <f aca="false">IF(PRESUPUESTO!$A133="Ítem",PRESUPUESTO!B133,"")</f>
        <v/>
      </c>
      <c r="B139" s="23" t="str">
        <f aca="false">IF(PRESUPUESTO!C133="","",PRESUPUESTO!C133)</f>
        <v/>
      </c>
      <c r="C139" s="86" t="str">
        <f aca="false">IF(PRESUPUESTO!$A133="Ítem",PRESUPUESTO!D133,"")</f>
        <v/>
      </c>
      <c r="D139" s="87" t="str">
        <f aca="false">IF(PRESUPUESTO!$A133="Ítem",PRESUPUESTO!E133,"")</f>
        <v/>
      </c>
      <c r="E139" s="10" t="str">
        <f aca="false">IF(D139="","",N(PRESUPUESTO!J133))</f>
        <v/>
      </c>
      <c r="F139" s="16"/>
      <c r="G139" s="10" t="str">
        <f aca="false">IF(D139="","",D139*E139)</f>
        <v/>
      </c>
      <c r="H139" s="10" t="str">
        <f aca="false">IF(D139="","",D139*N(F139))</f>
        <v/>
      </c>
      <c r="I139" s="10" t="str">
        <f aca="false">IF(D139="","",G139-H139)</f>
        <v/>
      </c>
      <c r="J139" s="80"/>
      <c r="K139" s="80"/>
      <c r="L139" s="80"/>
      <c r="M139" s="80"/>
      <c r="N139" s="80"/>
      <c r="O139" s="80"/>
      <c r="P139" s="88" t="str">
        <f aca="false">IF(D139="","",SUM(J139:O139))</f>
        <v/>
      </c>
      <c r="Q139" s="87" t="str">
        <f aca="false">IF(D139="","",D139-P139)</f>
        <v/>
      </c>
      <c r="R139" s="36" t="str">
        <f aca="false">IF(OR(D139="",N(D139)=0),"",P139/D139)</f>
        <v/>
      </c>
      <c r="S139" s="10" t="str">
        <f aca="false">IF(D139="","",P139*N(F139))</f>
        <v/>
      </c>
      <c r="T139" s="10" t="str">
        <f aca="false">IF(D139="","",Q139*N(F139))</f>
        <v/>
      </c>
      <c r="U139" s="6"/>
      <c r="V139" s="83"/>
      <c r="W139" s="15"/>
      <c r="X139" s="15"/>
      <c r="Y139" s="15"/>
      <c r="Z139" s="93"/>
      <c r="AA139" s="93"/>
      <c r="AB139" s="93"/>
      <c r="AC139" s="10" t="str">
        <f aca="false">IF(X139="","",IFERROR(INDEX(t_Hora,MATCH(X139,t_Cargo,0)),0))</f>
        <v/>
      </c>
      <c r="AD139" s="94" t="str">
        <f aca="false">IF(X139="","",N(Z139)*IF(AA139="",IFERROR(INDEX(t_Horas,MATCH(X139,t_Cargo,0)),8),AA139)+N(AB139))</f>
        <v/>
      </c>
      <c r="AE139" s="37" t="str">
        <f aca="false">IF(X139="","",AC139*(N(Z139)*IF(AA139="",IFERROR(INDEX(t_Horas,MATCH(X139,t_Cargo,0)),8),AA139)+N(AB139)*(1+p_Extra)))</f>
        <v/>
      </c>
      <c r="AF139" s="15"/>
    </row>
    <row r="140" customFormat="false" ht="16.5" hidden="false" customHeight="true" outlineLevel="0" collapsed="false">
      <c r="A140" s="23" t="str">
        <f aca="false">IF(PRESUPUESTO!$A134="Ítem",PRESUPUESTO!B134,"")</f>
        <v/>
      </c>
      <c r="B140" s="23" t="str">
        <f aca="false">IF(PRESUPUESTO!C134="","",PRESUPUESTO!C134)</f>
        <v/>
      </c>
      <c r="C140" s="86" t="str">
        <f aca="false">IF(PRESUPUESTO!$A134="Ítem",PRESUPUESTO!D134,"")</f>
        <v/>
      </c>
      <c r="D140" s="87" t="str">
        <f aca="false">IF(PRESUPUESTO!$A134="Ítem",PRESUPUESTO!E134,"")</f>
        <v/>
      </c>
      <c r="E140" s="10" t="str">
        <f aca="false">IF(D140="","",N(PRESUPUESTO!J134))</f>
        <v/>
      </c>
      <c r="F140" s="16"/>
      <c r="G140" s="10" t="str">
        <f aca="false">IF(D140="","",D140*E140)</f>
        <v/>
      </c>
      <c r="H140" s="10" t="str">
        <f aca="false">IF(D140="","",D140*N(F140))</f>
        <v/>
      </c>
      <c r="I140" s="10" t="str">
        <f aca="false">IF(D140="","",G140-H140)</f>
        <v/>
      </c>
      <c r="J140" s="80"/>
      <c r="K140" s="80"/>
      <c r="L140" s="80"/>
      <c r="M140" s="80"/>
      <c r="N140" s="80"/>
      <c r="O140" s="80"/>
      <c r="P140" s="88" t="str">
        <f aca="false">IF(D140="","",SUM(J140:O140))</f>
        <v/>
      </c>
      <c r="Q140" s="87" t="str">
        <f aca="false">IF(D140="","",D140-P140)</f>
        <v/>
      </c>
      <c r="R140" s="36" t="str">
        <f aca="false">IF(OR(D140="",N(D140)=0),"",P140/D140)</f>
        <v/>
      </c>
      <c r="S140" s="10" t="str">
        <f aca="false">IF(D140="","",P140*N(F140))</f>
        <v/>
      </c>
      <c r="T140" s="10" t="str">
        <f aca="false">IF(D140="","",Q140*N(F140))</f>
        <v/>
      </c>
      <c r="U140" s="6"/>
      <c r="V140" s="83"/>
      <c r="W140" s="15"/>
      <c r="X140" s="15"/>
      <c r="Y140" s="15"/>
      <c r="Z140" s="93"/>
      <c r="AA140" s="93"/>
      <c r="AB140" s="93"/>
      <c r="AC140" s="10" t="str">
        <f aca="false">IF(X140="","",IFERROR(INDEX(t_Hora,MATCH(X140,t_Cargo,0)),0))</f>
        <v/>
      </c>
      <c r="AD140" s="94" t="str">
        <f aca="false">IF(X140="","",N(Z140)*IF(AA140="",IFERROR(INDEX(t_Horas,MATCH(X140,t_Cargo,0)),8),AA140)+N(AB140))</f>
        <v/>
      </c>
      <c r="AE140" s="37" t="str">
        <f aca="false">IF(X140="","",AC140*(N(Z140)*IF(AA140="",IFERROR(INDEX(t_Horas,MATCH(X140,t_Cargo,0)),8),AA140)+N(AB140)*(1+p_Extra)))</f>
        <v/>
      </c>
      <c r="AF140" s="15"/>
    </row>
    <row r="141" customFormat="false" ht="16.5" hidden="false" customHeight="true" outlineLevel="0" collapsed="false">
      <c r="A141" s="23" t="str">
        <f aca="false">IF(PRESUPUESTO!$A135="Ítem",PRESUPUESTO!B135,"")</f>
        <v/>
      </c>
      <c r="B141" s="23" t="str">
        <f aca="false">IF(PRESUPUESTO!C135="","",PRESUPUESTO!C135)</f>
        <v/>
      </c>
      <c r="C141" s="86" t="str">
        <f aca="false">IF(PRESUPUESTO!$A135="Ítem",PRESUPUESTO!D135,"")</f>
        <v/>
      </c>
      <c r="D141" s="87" t="str">
        <f aca="false">IF(PRESUPUESTO!$A135="Ítem",PRESUPUESTO!E135,"")</f>
        <v/>
      </c>
      <c r="E141" s="10" t="str">
        <f aca="false">IF(D141="","",N(PRESUPUESTO!J135))</f>
        <v/>
      </c>
      <c r="F141" s="16"/>
      <c r="G141" s="10" t="str">
        <f aca="false">IF(D141="","",D141*E141)</f>
        <v/>
      </c>
      <c r="H141" s="10" t="str">
        <f aca="false">IF(D141="","",D141*N(F141))</f>
        <v/>
      </c>
      <c r="I141" s="10" t="str">
        <f aca="false">IF(D141="","",G141-H141)</f>
        <v/>
      </c>
      <c r="J141" s="80"/>
      <c r="K141" s="80"/>
      <c r="L141" s="80"/>
      <c r="M141" s="80"/>
      <c r="N141" s="80"/>
      <c r="O141" s="80"/>
      <c r="P141" s="88" t="str">
        <f aca="false">IF(D141="","",SUM(J141:O141))</f>
        <v/>
      </c>
      <c r="Q141" s="87" t="str">
        <f aca="false">IF(D141="","",D141-P141)</f>
        <v/>
      </c>
      <c r="R141" s="36" t="str">
        <f aca="false">IF(OR(D141="",N(D141)=0),"",P141/D141)</f>
        <v/>
      </c>
      <c r="S141" s="10" t="str">
        <f aca="false">IF(D141="","",P141*N(F141))</f>
        <v/>
      </c>
      <c r="T141" s="10" t="str">
        <f aca="false">IF(D141="","",Q141*N(F141))</f>
        <v/>
      </c>
      <c r="U141" s="6"/>
      <c r="V141" s="83"/>
      <c r="W141" s="15"/>
      <c r="X141" s="15"/>
      <c r="Y141" s="15"/>
      <c r="Z141" s="93"/>
      <c r="AA141" s="93"/>
      <c r="AB141" s="93"/>
      <c r="AC141" s="10" t="str">
        <f aca="false">IF(X141="","",IFERROR(INDEX(t_Hora,MATCH(X141,t_Cargo,0)),0))</f>
        <v/>
      </c>
      <c r="AD141" s="94" t="str">
        <f aca="false">IF(X141="","",N(Z141)*IF(AA141="",IFERROR(INDEX(t_Horas,MATCH(X141,t_Cargo,0)),8),AA141)+N(AB141))</f>
        <v/>
      </c>
      <c r="AE141" s="37" t="str">
        <f aca="false">IF(X141="","",AC141*(N(Z141)*IF(AA141="",IFERROR(INDEX(t_Horas,MATCH(X141,t_Cargo,0)),8),AA141)+N(AB141)*(1+p_Extra)))</f>
        <v/>
      </c>
      <c r="AF141" s="15"/>
    </row>
    <row r="142" customFormat="false" ht="16.5" hidden="false" customHeight="true" outlineLevel="0" collapsed="false">
      <c r="A142" s="23" t="str">
        <f aca="false">IF(PRESUPUESTO!$A136="Ítem",PRESUPUESTO!B136,"")</f>
        <v/>
      </c>
      <c r="B142" s="23" t="str">
        <f aca="false">IF(PRESUPUESTO!C136="","",PRESUPUESTO!C136)</f>
        <v/>
      </c>
      <c r="C142" s="86" t="str">
        <f aca="false">IF(PRESUPUESTO!$A136="Ítem",PRESUPUESTO!D136,"")</f>
        <v/>
      </c>
      <c r="D142" s="87" t="str">
        <f aca="false">IF(PRESUPUESTO!$A136="Ítem",PRESUPUESTO!E136,"")</f>
        <v/>
      </c>
      <c r="E142" s="10" t="str">
        <f aca="false">IF(D142="","",N(PRESUPUESTO!J136))</f>
        <v/>
      </c>
      <c r="F142" s="16"/>
      <c r="G142" s="10" t="str">
        <f aca="false">IF(D142="","",D142*E142)</f>
        <v/>
      </c>
      <c r="H142" s="10" t="str">
        <f aca="false">IF(D142="","",D142*N(F142))</f>
        <v/>
      </c>
      <c r="I142" s="10" t="str">
        <f aca="false">IF(D142="","",G142-H142)</f>
        <v/>
      </c>
      <c r="J142" s="80"/>
      <c r="K142" s="80"/>
      <c r="L142" s="80"/>
      <c r="M142" s="80"/>
      <c r="N142" s="80"/>
      <c r="O142" s="80"/>
      <c r="P142" s="88" t="str">
        <f aca="false">IF(D142="","",SUM(J142:O142))</f>
        <v/>
      </c>
      <c r="Q142" s="87" t="str">
        <f aca="false">IF(D142="","",D142-P142)</f>
        <v/>
      </c>
      <c r="R142" s="36" t="str">
        <f aca="false">IF(OR(D142="",N(D142)=0),"",P142/D142)</f>
        <v/>
      </c>
      <c r="S142" s="10" t="str">
        <f aca="false">IF(D142="","",P142*N(F142))</f>
        <v/>
      </c>
      <c r="T142" s="10" t="str">
        <f aca="false">IF(D142="","",Q142*N(F142))</f>
        <v/>
      </c>
      <c r="U142" s="6"/>
      <c r="V142" s="83"/>
      <c r="W142" s="15"/>
      <c r="X142" s="15"/>
      <c r="Y142" s="15"/>
      <c r="Z142" s="93"/>
      <c r="AA142" s="93"/>
      <c r="AB142" s="93"/>
      <c r="AC142" s="10" t="str">
        <f aca="false">IF(X142="","",IFERROR(INDEX(t_Hora,MATCH(X142,t_Cargo,0)),0))</f>
        <v/>
      </c>
      <c r="AD142" s="94" t="str">
        <f aca="false">IF(X142="","",N(Z142)*IF(AA142="",IFERROR(INDEX(t_Horas,MATCH(X142,t_Cargo,0)),8),AA142)+N(AB142))</f>
        <v/>
      </c>
      <c r="AE142" s="37" t="str">
        <f aca="false">IF(X142="","",AC142*(N(Z142)*IF(AA142="",IFERROR(INDEX(t_Horas,MATCH(X142,t_Cargo,0)),8),AA142)+N(AB142)*(1+p_Extra)))</f>
        <v/>
      </c>
      <c r="AF142" s="15"/>
    </row>
    <row r="143" customFormat="false" ht="16.5" hidden="false" customHeight="true" outlineLevel="0" collapsed="false">
      <c r="A143" s="23" t="str">
        <f aca="false">IF(PRESUPUESTO!$A137="Ítem",PRESUPUESTO!B137,"")</f>
        <v/>
      </c>
      <c r="B143" s="23" t="str">
        <f aca="false">IF(PRESUPUESTO!C137="","",PRESUPUESTO!C137)</f>
        <v/>
      </c>
      <c r="C143" s="86" t="str">
        <f aca="false">IF(PRESUPUESTO!$A137="Ítem",PRESUPUESTO!D137,"")</f>
        <v/>
      </c>
      <c r="D143" s="87" t="str">
        <f aca="false">IF(PRESUPUESTO!$A137="Ítem",PRESUPUESTO!E137,"")</f>
        <v/>
      </c>
      <c r="E143" s="10" t="str">
        <f aca="false">IF(D143="","",N(PRESUPUESTO!J137))</f>
        <v/>
      </c>
      <c r="F143" s="16"/>
      <c r="G143" s="10" t="str">
        <f aca="false">IF(D143="","",D143*E143)</f>
        <v/>
      </c>
      <c r="H143" s="10" t="str">
        <f aca="false">IF(D143="","",D143*N(F143))</f>
        <v/>
      </c>
      <c r="I143" s="10" t="str">
        <f aca="false">IF(D143="","",G143-H143)</f>
        <v/>
      </c>
      <c r="J143" s="80"/>
      <c r="K143" s="80"/>
      <c r="L143" s="80"/>
      <c r="M143" s="80"/>
      <c r="N143" s="80"/>
      <c r="O143" s="80"/>
      <c r="P143" s="88" t="str">
        <f aca="false">IF(D143="","",SUM(J143:O143))</f>
        <v/>
      </c>
      <c r="Q143" s="87" t="str">
        <f aca="false">IF(D143="","",D143-P143)</f>
        <v/>
      </c>
      <c r="R143" s="36" t="str">
        <f aca="false">IF(OR(D143="",N(D143)=0),"",P143/D143)</f>
        <v/>
      </c>
      <c r="S143" s="10" t="str">
        <f aca="false">IF(D143="","",P143*N(F143))</f>
        <v/>
      </c>
      <c r="T143" s="10" t="str">
        <f aca="false">IF(D143="","",Q143*N(F143))</f>
        <v/>
      </c>
      <c r="U143" s="6"/>
      <c r="V143" s="83"/>
      <c r="W143" s="15"/>
      <c r="X143" s="15"/>
      <c r="Y143" s="15"/>
      <c r="Z143" s="93"/>
      <c r="AA143" s="93"/>
      <c r="AB143" s="93"/>
      <c r="AC143" s="10" t="str">
        <f aca="false">IF(X143="","",IFERROR(INDEX(t_Hora,MATCH(X143,t_Cargo,0)),0))</f>
        <v/>
      </c>
      <c r="AD143" s="94" t="str">
        <f aca="false">IF(X143="","",N(Z143)*IF(AA143="",IFERROR(INDEX(t_Horas,MATCH(X143,t_Cargo,0)),8),AA143)+N(AB143))</f>
        <v/>
      </c>
      <c r="AE143" s="37" t="str">
        <f aca="false">IF(X143="","",AC143*(N(Z143)*IF(AA143="",IFERROR(INDEX(t_Horas,MATCH(X143,t_Cargo,0)),8),AA143)+N(AB143)*(1+p_Extra)))</f>
        <v/>
      </c>
      <c r="AF143" s="15"/>
    </row>
    <row r="144" customFormat="false" ht="16.5" hidden="false" customHeight="true" outlineLevel="0" collapsed="false">
      <c r="A144" s="23" t="str">
        <f aca="false">IF(PRESUPUESTO!$A138="Ítem",PRESUPUESTO!B138,"")</f>
        <v/>
      </c>
      <c r="B144" s="23" t="str">
        <f aca="false">IF(PRESUPUESTO!C138="","",PRESUPUESTO!C138)</f>
        <v/>
      </c>
      <c r="C144" s="86" t="str">
        <f aca="false">IF(PRESUPUESTO!$A138="Ítem",PRESUPUESTO!D138,"")</f>
        <v/>
      </c>
      <c r="D144" s="87" t="str">
        <f aca="false">IF(PRESUPUESTO!$A138="Ítem",PRESUPUESTO!E138,"")</f>
        <v/>
      </c>
      <c r="E144" s="10" t="str">
        <f aca="false">IF(D144="","",N(PRESUPUESTO!J138))</f>
        <v/>
      </c>
      <c r="F144" s="16"/>
      <c r="G144" s="10" t="str">
        <f aca="false">IF(D144="","",D144*E144)</f>
        <v/>
      </c>
      <c r="H144" s="10" t="str">
        <f aca="false">IF(D144="","",D144*N(F144))</f>
        <v/>
      </c>
      <c r="I144" s="10" t="str">
        <f aca="false">IF(D144="","",G144-H144)</f>
        <v/>
      </c>
      <c r="J144" s="80"/>
      <c r="K144" s="80"/>
      <c r="L144" s="80"/>
      <c r="M144" s="80"/>
      <c r="N144" s="80"/>
      <c r="O144" s="80"/>
      <c r="P144" s="88" t="str">
        <f aca="false">IF(D144="","",SUM(J144:O144))</f>
        <v/>
      </c>
      <c r="Q144" s="87" t="str">
        <f aca="false">IF(D144="","",D144-P144)</f>
        <v/>
      </c>
      <c r="R144" s="36" t="str">
        <f aca="false">IF(OR(D144="",N(D144)=0),"",P144/D144)</f>
        <v/>
      </c>
      <c r="S144" s="10" t="str">
        <f aca="false">IF(D144="","",P144*N(F144))</f>
        <v/>
      </c>
      <c r="T144" s="10" t="str">
        <f aca="false">IF(D144="","",Q144*N(F144))</f>
        <v/>
      </c>
      <c r="U144" s="6"/>
      <c r="V144" s="83"/>
      <c r="W144" s="15"/>
      <c r="X144" s="15"/>
      <c r="Y144" s="15"/>
      <c r="Z144" s="93"/>
      <c r="AA144" s="93"/>
      <c r="AB144" s="93"/>
      <c r="AC144" s="10" t="str">
        <f aca="false">IF(X144="","",IFERROR(INDEX(t_Hora,MATCH(X144,t_Cargo,0)),0))</f>
        <v/>
      </c>
      <c r="AD144" s="94" t="str">
        <f aca="false">IF(X144="","",N(Z144)*IF(AA144="",IFERROR(INDEX(t_Horas,MATCH(X144,t_Cargo,0)),8),AA144)+N(AB144))</f>
        <v/>
      </c>
      <c r="AE144" s="37" t="str">
        <f aca="false">IF(X144="","",AC144*(N(Z144)*IF(AA144="",IFERROR(INDEX(t_Horas,MATCH(X144,t_Cargo,0)),8),AA144)+N(AB144)*(1+p_Extra)))</f>
        <v/>
      </c>
      <c r="AF144" s="15"/>
    </row>
    <row r="145" customFormat="false" ht="16.5" hidden="false" customHeight="true" outlineLevel="0" collapsed="false">
      <c r="A145" s="23" t="str">
        <f aca="false">IF(PRESUPUESTO!$A139="Ítem",PRESUPUESTO!B139,"")</f>
        <v/>
      </c>
      <c r="B145" s="23" t="str">
        <f aca="false">IF(PRESUPUESTO!C139="","",PRESUPUESTO!C139)</f>
        <v/>
      </c>
      <c r="C145" s="86" t="str">
        <f aca="false">IF(PRESUPUESTO!$A139="Ítem",PRESUPUESTO!D139,"")</f>
        <v/>
      </c>
      <c r="D145" s="87" t="str">
        <f aca="false">IF(PRESUPUESTO!$A139="Ítem",PRESUPUESTO!E139,"")</f>
        <v/>
      </c>
      <c r="E145" s="10" t="str">
        <f aca="false">IF(D145="","",N(PRESUPUESTO!J139))</f>
        <v/>
      </c>
      <c r="F145" s="16"/>
      <c r="G145" s="10" t="str">
        <f aca="false">IF(D145="","",D145*E145)</f>
        <v/>
      </c>
      <c r="H145" s="10" t="str">
        <f aca="false">IF(D145="","",D145*N(F145))</f>
        <v/>
      </c>
      <c r="I145" s="10" t="str">
        <f aca="false">IF(D145="","",G145-H145)</f>
        <v/>
      </c>
      <c r="J145" s="80"/>
      <c r="K145" s="80"/>
      <c r="L145" s="80"/>
      <c r="M145" s="80"/>
      <c r="N145" s="80"/>
      <c r="O145" s="80"/>
      <c r="P145" s="88" t="str">
        <f aca="false">IF(D145="","",SUM(J145:O145))</f>
        <v/>
      </c>
      <c r="Q145" s="87" t="str">
        <f aca="false">IF(D145="","",D145-P145)</f>
        <v/>
      </c>
      <c r="R145" s="36" t="str">
        <f aca="false">IF(OR(D145="",N(D145)=0),"",P145/D145)</f>
        <v/>
      </c>
      <c r="S145" s="10" t="str">
        <f aca="false">IF(D145="","",P145*N(F145))</f>
        <v/>
      </c>
      <c r="T145" s="10" t="str">
        <f aca="false">IF(D145="","",Q145*N(F145))</f>
        <v/>
      </c>
      <c r="U145" s="6"/>
      <c r="V145" s="83"/>
      <c r="W145" s="15"/>
      <c r="X145" s="15"/>
      <c r="Y145" s="15"/>
      <c r="Z145" s="93"/>
      <c r="AA145" s="93"/>
      <c r="AB145" s="93"/>
      <c r="AC145" s="10" t="str">
        <f aca="false">IF(X145="","",IFERROR(INDEX(t_Hora,MATCH(X145,t_Cargo,0)),0))</f>
        <v/>
      </c>
      <c r="AD145" s="94" t="str">
        <f aca="false">IF(X145="","",N(Z145)*IF(AA145="",IFERROR(INDEX(t_Horas,MATCH(X145,t_Cargo,0)),8),AA145)+N(AB145))</f>
        <v/>
      </c>
      <c r="AE145" s="37" t="str">
        <f aca="false">IF(X145="","",AC145*(N(Z145)*IF(AA145="",IFERROR(INDEX(t_Horas,MATCH(X145,t_Cargo,0)),8),AA145)+N(AB145)*(1+p_Extra)))</f>
        <v/>
      </c>
      <c r="AF145" s="15"/>
    </row>
    <row r="146" customFormat="false" ht="16.5" hidden="false" customHeight="true" outlineLevel="0" collapsed="false">
      <c r="A146" s="23" t="str">
        <f aca="false">IF(PRESUPUESTO!$A140="Ítem",PRESUPUESTO!B140,"")</f>
        <v/>
      </c>
      <c r="B146" s="23" t="str">
        <f aca="false">IF(PRESUPUESTO!C140="","",PRESUPUESTO!C140)</f>
        <v/>
      </c>
      <c r="C146" s="86" t="str">
        <f aca="false">IF(PRESUPUESTO!$A140="Ítem",PRESUPUESTO!D140,"")</f>
        <v/>
      </c>
      <c r="D146" s="87" t="str">
        <f aca="false">IF(PRESUPUESTO!$A140="Ítem",PRESUPUESTO!E140,"")</f>
        <v/>
      </c>
      <c r="E146" s="10" t="str">
        <f aca="false">IF(D146="","",N(PRESUPUESTO!J140))</f>
        <v/>
      </c>
      <c r="F146" s="16"/>
      <c r="G146" s="10" t="str">
        <f aca="false">IF(D146="","",D146*E146)</f>
        <v/>
      </c>
      <c r="H146" s="10" t="str">
        <f aca="false">IF(D146="","",D146*N(F146))</f>
        <v/>
      </c>
      <c r="I146" s="10" t="str">
        <f aca="false">IF(D146="","",G146-H146)</f>
        <v/>
      </c>
      <c r="J146" s="80"/>
      <c r="K146" s="80"/>
      <c r="L146" s="80"/>
      <c r="M146" s="80"/>
      <c r="N146" s="80"/>
      <c r="O146" s="80"/>
      <c r="P146" s="88" t="str">
        <f aca="false">IF(D146="","",SUM(J146:O146))</f>
        <v/>
      </c>
      <c r="Q146" s="87" t="str">
        <f aca="false">IF(D146="","",D146-P146)</f>
        <v/>
      </c>
      <c r="R146" s="36" t="str">
        <f aca="false">IF(OR(D146="",N(D146)=0),"",P146/D146)</f>
        <v/>
      </c>
      <c r="S146" s="10" t="str">
        <f aca="false">IF(D146="","",P146*N(F146))</f>
        <v/>
      </c>
      <c r="T146" s="10" t="str">
        <f aca="false">IF(D146="","",Q146*N(F146))</f>
        <v/>
      </c>
      <c r="U146" s="6"/>
      <c r="V146" s="83"/>
      <c r="W146" s="15"/>
      <c r="X146" s="15"/>
      <c r="Y146" s="15"/>
      <c r="Z146" s="93"/>
      <c r="AA146" s="93"/>
      <c r="AB146" s="93"/>
      <c r="AC146" s="10" t="str">
        <f aca="false">IF(X146="","",IFERROR(INDEX(t_Hora,MATCH(X146,t_Cargo,0)),0))</f>
        <v/>
      </c>
      <c r="AD146" s="94" t="str">
        <f aca="false">IF(X146="","",N(Z146)*IF(AA146="",IFERROR(INDEX(t_Horas,MATCH(X146,t_Cargo,0)),8),AA146)+N(AB146))</f>
        <v/>
      </c>
      <c r="AE146" s="37" t="str">
        <f aca="false">IF(X146="","",AC146*(N(Z146)*IF(AA146="",IFERROR(INDEX(t_Horas,MATCH(X146,t_Cargo,0)),8),AA146)+N(AB146)*(1+p_Extra)))</f>
        <v/>
      </c>
      <c r="AF146" s="15"/>
    </row>
    <row r="147" customFormat="false" ht="16.5" hidden="false" customHeight="true" outlineLevel="0" collapsed="false">
      <c r="A147" s="23" t="str">
        <f aca="false">IF(PRESUPUESTO!$A141="Ítem",PRESUPUESTO!B141,"")</f>
        <v/>
      </c>
      <c r="B147" s="23" t="str">
        <f aca="false">IF(PRESUPUESTO!C141="","",PRESUPUESTO!C141)</f>
        <v/>
      </c>
      <c r="C147" s="86" t="str">
        <f aca="false">IF(PRESUPUESTO!$A141="Ítem",PRESUPUESTO!D141,"")</f>
        <v/>
      </c>
      <c r="D147" s="87" t="str">
        <f aca="false">IF(PRESUPUESTO!$A141="Ítem",PRESUPUESTO!E141,"")</f>
        <v/>
      </c>
      <c r="E147" s="10" t="str">
        <f aca="false">IF(D147="","",N(PRESUPUESTO!J141))</f>
        <v/>
      </c>
      <c r="F147" s="16"/>
      <c r="G147" s="10" t="str">
        <f aca="false">IF(D147="","",D147*E147)</f>
        <v/>
      </c>
      <c r="H147" s="10" t="str">
        <f aca="false">IF(D147="","",D147*N(F147))</f>
        <v/>
      </c>
      <c r="I147" s="10" t="str">
        <f aca="false">IF(D147="","",G147-H147)</f>
        <v/>
      </c>
      <c r="J147" s="80"/>
      <c r="K147" s="80"/>
      <c r="L147" s="80"/>
      <c r="M147" s="80"/>
      <c r="N147" s="80"/>
      <c r="O147" s="80"/>
      <c r="P147" s="88" t="str">
        <f aca="false">IF(D147="","",SUM(J147:O147))</f>
        <v/>
      </c>
      <c r="Q147" s="87" t="str">
        <f aca="false">IF(D147="","",D147-P147)</f>
        <v/>
      </c>
      <c r="R147" s="36" t="str">
        <f aca="false">IF(OR(D147="",N(D147)=0),"",P147/D147)</f>
        <v/>
      </c>
      <c r="S147" s="10" t="str">
        <f aca="false">IF(D147="","",P147*N(F147))</f>
        <v/>
      </c>
      <c r="T147" s="10" t="str">
        <f aca="false">IF(D147="","",Q147*N(F147))</f>
        <v/>
      </c>
      <c r="U147" s="6"/>
      <c r="V147" s="83"/>
      <c r="W147" s="15"/>
      <c r="X147" s="15"/>
      <c r="Y147" s="15"/>
      <c r="Z147" s="93"/>
      <c r="AA147" s="93"/>
      <c r="AB147" s="93"/>
      <c r="AC147" s="10" t="str">
        <f aca="false">IF(X147="","",IFERROR(INDEX(t_Hora,MATCH(X147,t_Cargo,0)),0))</f>
        <v/>
      </c>
      <c r="AD147" s="94" t="str">
        <f aca="false">IF(X147="","",N(Z147)*IF(AA147="",IFERROR(INDEX(t_Horas,MATCH(X147,t_Cargo,0)),8),AA147)+N(AB147))</f>
        <v/>
      </c>
      <c r="AE147" s="37" t="str">
        <f aca="false">IF(X147="","",AC147*(N(Z147)*IF(AA147="",IFERROR(INDEX(t_Horas,MATCH(X147,t_Cargo,0)),8),AA147)+N(AB147)*(1+p_Extra)))</f>
        <v/>
      </c>
      <c r="AF147" s="15"/>
    </row>
    <row r="148" customFormat="false" ht="16.5" hidden="false" customHeight="true" outlineLevel="0" collapsed="false">
      <c r="A148" s="23" t="str">
        <f aca="false">IF(PRESUPUESTO!$A142="Ítem",PRESUPUESTO!B142,"")</f>
        <v/>
      </c>
      <c r="B148" s="23" t="str">
        <f aca="false">IF(PRESUPUESTO!C142="","",PRESUPUESTO!C142)</f>
        <v/>
      </c>
      <c r="C148" s="86" t="str">
        <f aca="false">IF(PRESUPUESTO!$A142="Ítem",PRESUPUESTO!D142,"")</f>
        <v/>
      </c>
      <c r="D148" s="87" t="str">
        <f aca="false">IF(PRESUPUESTO!$A142="Ítem",PRESUPUESTO!E142,"")</f>
        <v/>
      </c>
      <c r="E148" s="10" t="str">
        <f aca="false">IF(D148="","",N(PRESUPUESTO!J142))</f>
        <v/>
      </c>
      <c r="F148" s="16"/>
      <c r="G148" s="10" t="str">
        <f aca="false">IF(D148="","",D148*E148)</f>
        <v/>
      </c>
      <c r="H148" s="10" t="str">
        <f aca="false">IF(D148="","",D148*N(F148))</f>
        <v/>
      </c>
      <c r="I148" s="10" t="str">
        <f aca="false">IF(D148="","",G148-H148)</f>
        <v/>
      </c>
      <c r="J148" s="80"/>
      <c r="K148" s="80"/>
      <c r="L148" s="80"/>
      <c r="M148" s="80"/>
      <c r="N148" s="80"/>
      <c r="O148" s="80"/>
      <c r="P148" s="88" t="str">
        <f aca="false">IF(D148="","",SUM(J148:O148))</f>
        <v/>
      </c>
      <c r="Q148" s="87" t="str">
        <f aca="false">IF(D148="","",D148-P148)</f>
        <v/>
      </c>
      <c r="R148" s="36" t="str">
        <f aca="false">IF(OR(D148="",N(D148)=0),"",P148/D148)</f>
        <v/>
      </c>
      <c r="S148" s="10" t="str">
        <f aca="false">IF(D148="","",P148*N(F148))</f>
        <v/>
      </c>
      <c r="T148" s="10" t="str">
        <f aca="false">IF(D148="","",Q148*N(F148))</f>
        <v/>
      </c>
      <c r="U148" s="6"/>
      <c r="V148" s="83"/>
      <c r="W148" s="15"/>
      <c r="X148" s="15"/>
      <c r="Y148" s="15"/>
      <c r="Z148" s="93"/>
      <c r="AA148" s="93"/>
      <c r="AB148" s="93"/>
      <c r="AC148" s="10" t="str">
        <f aca="false">IF(X148="","",IFERROR(INDEX(t_Hora,MATCH(X148,t_Cargo,0)),0))</f>
        <v/>
      </c>
      <c r="AD148" s="94" t="str">
        <f aca="false">IF(X148="","",N(Z148)*IF(AA148="",IFERROR(INDEX(t_Horas,MATCH(X148,t_Cargo,0)),8),AA148)+N(AB148))</f>
        <v/>
      </c>
      <c r="AE148" s="37" t="str">
        <f aca="false">IF(X148="","",AC148*(N(Z148)*IF(AA148="",IFERROR(INDEX(t_Horas,MATCH(X148,t_Cargo,0)),8),AA148)+N(AB148)*(1+p_Extra)))</f>
        <v/>
      </c>
      <c r="AF148" s="15"/>
    </row>
    <row r="149" customFormat="false" ht="16.5" hidden="false" customHeight="true" outlineLevel="0" collapsed="false">
      <c r="A149" s="23" t="str">
        <f aca="false">IF(PRESUPUESTO!$A143="Ítem",PRESUPUESTO!B143,"")</f>
        <v/>
      </c>
      <c r="B149" s="23" t="str">
        <f aca="false">IF(PRESUPUESTO!C143="","",PRESUPUESTO!C143)</f>
        <v/>
      </c>
      <c r="C149" s="86" t="str">
        <f aca="false">IF(PRESUPUESTO!$A143="Ítem",PRESUPUESTO!D143,"")</f>
        <v/>
      </c>
      <c r="D149" s="87" t="str">
        <f aca="false">IF(PRESUPUESTO!$A143="Ítem",PRESUPUESTO!E143,"")</f>
        <v/>
      </c>
      <c r="E149" s="10" t="str">
        <f aca="false">IF(D149="","",N(PRESUPUESTO!J143))</f>
        <v/>
      </c>
      <c r="F149" s="16"/>
      <c r="G149" s="10" t="str">
        <f aca="false">IF(D149="","",D149*E149)</f>
        <v/>
      </c>
      <c r="H149" s="10" t="str">
        <f aca="false">IF(D149="","",D149*N(F149))</f>
        <v/>
      </c>
      <c r="I149" s="10" t="str">
        <f aca="false">IF(D149="","",G149-H149)</f>
        <v/>
      </c>
      <c r="J149" s="80"/>
      <c r="K149" s="80"/>
      <c r="L149" s="80"/>
      <c r="M149" s="80"/>
      <c r="N149" s="80"/>
      <c r="O149" s="80"/>
      <c r="P149" s="88" t="str">
        <f aca="false">IF(D149="","",SUM(J149:O149))</f>
        <v/>
      </c>
      <c r="Q149" s="87" t="str">
        <f aca="false">IF(D149="","",D149-P149)</f>
        <v/>
      </c>
      <c r="R149" s="36" t="str">
        <f aca="false">IF(OR(D149="",N(D149)=0),"",P149/D149)</f>
        <v/>
      </c>
      <c r="S149" s="10" t="str">
        <f aca="false">IF(D149="","",P149*N(F149))</f>
        <v/>
      </c>
      <c r="T149" s="10" t="str">
        <f aca="false">IF(D149="","",Q149*N(F149))</f>
        <v/>
      </c>
      <c r="U149" s="6"/>
      <c r="V149" s="83"/>
      <c r="W149" s="15"/>
      <c r="X149" s="15"/>
      <c r="Y149" s="15"/>
      <c r="Z149" s="93"/>
      <c r="AA149" s="93"/>
      <c r="AB149" s="93"/>
      <c r="AC149" s="10" t="str">
        <f aca="false">IF(X149="","",IFERROR(INDEX(t_Hora,MATCH(X149,t_Cargo,0)),0))</f>
        <v/>
      </c>
      <c r="AD149" s="94" t="str">
        <f aca="false">IF(X149="","",N(Z149)*IF(AA149="",IFERROR(INDEX(t_Horas,MATCH(X149,t_Cargo,0)),8),AA149)+N(AB149))</f>
        <v/>
      </c>
      <c r="AE149" s="37" t="str">
        <f aca="false">IF(X149="","",AC149*(N(Z149)*IF(AA149="",IFERROR(INDEX(t_Horas,MATCH(X149,t_Cargo,0)),8),AA149)+N(AB149)*(1+p_Extra)))</f>
        <v/>
      </c>
      <c r="AF149" s="15"/>
    </row>
    <row r="150" customFormat="false" ht="16.5" hidden="false" customHeight="true" outlineLevel="0" collapsed="false">
      <c r="A150" s="23" t="str">
        <f aca="false">IF(PRESUPUESTO!$A144="Ítem",PRESUPUESTO!B144,"")</f>
        <v/>
      </c>
      <c r="B150" s="23" t="str">
        <f aca="false">IF(PRESUPUESTO!C144="","",PRESUPUESTO!C144)</f>
        <v/>
      </c>
      <c r="C150" s="86" t="str">
        <f aca="false">IF(PRESUPUESTO!$A144="Ítem",PRESUPUESTO!D144,"")</f>
        <v/>
      </c>
      <c r="D150" s="87" t="str">
        <f aca="false">IF(PRESUPUESTO!$A144="Ítem",PRESUPUESTO!E144,"")</f>
        <v/>
      </c>
      <c r="E150" s="10" t="str">
        <f aca="false">IF(D150="","",N(PRESUPUESTO!J144))</f>
        <v/>
      </c>
      <c r="F150" s="16"/>
      <c r="G150" s="10" t="str">
        <f aca="false">IF(D150="","",D150*E150)</f>
        <v/>
      </c>
      <c r="H150" s="10" t="str">
        <f aca="false">IF(D150="","",D150*N(F150))</f>
        <v/>
      </c>
      <c r="I150" s="10" t="str">
        <f aca="false">IF(D150="","",G150-H150)</f>
        <v/>
      </c>
      <c r="J150" s="80"/>
      <c r="K150" s="80"/>
      <c r="L150" s="80"/>
      <c r="M150" s="80"/>
      <c r="N150" s="80"/>
      <c r="O150" s="80"/>
      <c r="P150" s="88" t="str">
        <f aca="false">IF(D150="","",SUM(J150:O150))</f>
        <v/>
      </c>
      <c r="Q150" s="87" t="str">
        <f aca="false">IF(D150="","",D150-P150)</f>
        <v/>
      </c>
      <c r="R150" s="36" t="str">
        <f aca="false">IF(OR(D150="",N(D150)=0),"",P150/D150)</f>
        <v/>
      </c>
      <c r="S150" s="10" t="str">
        <f aca="false">IF(D150="","",P150*N(F150))</f>
        <v/>
      </c>
      <c r="T150" s="10" t="str">
        <f aca="false">IF(D150="","",Q150*N(F150))</f>
        <v/>
      </c>
      <c r="U150" s="6"/>
      <c r="V150" s="83"/>
      <c r="W150" s="15"/>
      <c r="X150" s="15"/>
      <c r="Y150" s="15"/>
      <c r="Z150" s="93"/>
      <c r="AA150" s="93"/>
      <c r="AB150" s="93"/>
      <c r="AC150" s="10" t="str">
        <f aca="false">IF(X150="","",IFERROR(INDEX(t_Hora,MATCH(X150,t_Cargo,0)),0))</f>
        <v/>
      </c>
      <c r="AD150" s="94" t="str">
        <f aca="false">IF(X150="","",N(Z150)*IF(AA150="",IFERROR(INDEX(t_Horas,MATCH(X150,t_Cargo,0)),8),AA150)+N(AB150))</f>
        <v/>
      </c>
      <c r="AE150" s="37" t="str">
        <f aca="false">IF(X150="","",AC150*(N(Z150)*IF(AA150="",IFERROR(INDEX(t_Horas,MATCH(X150,t_Cargo,0)),8),AA150)+N(AB150)*(1+p_Extra)))</f>
        <v/>
      </c>
      <c r="AF150" s="15"/>
    </row>
    <row r="151" customFormat="false" ht="16.5" hidden="false" customHeight="true" outlineLevel="0" collapsed="false">
      <c r="A151" s="23" t="str">
        <f aca="false">IF(PRESUPUESTO!$A145="Ítem",PRESUPUESTO!B145,"")</f>
        <v/>
      </c>
      <c r="B151" s="23" t="str">
        <f aca="false">IF(PRESUPUESTO!C145="","",PRESUPUESTO!C145)</f>
        <v/>
      </c>
      <c r="C151" s="86" t="str">
        <f aca="false">IF(PRESUPUESTO!$A145="Ítem",PRESUPUESTO!D145,"")</f>
        <v/>
      </c>
      <c r="D151" s="87" t="str">
        <f aca="false">IF(PRESUPUESTO!$A145="Ítem",PRESUPUESTO!E145,"")</f>
        <v/>
      </c>
      <c r="E151" s="10" t="str">
        <f aca="false">IF(D151="","",N(PRESUPUESTO!J145))</f>
        <v/>
      </c>
      <c r="F151" s="16"/>
      <c r="G151" s="10" t="str">
        <f aca="false">IF(D151="","",D151*E151)</f>
        <v/>
      </c>
      <c r="H151" s="10" t="str">
        <f aca="false">IF(D151="","",D151*N(F151))</f>
        <v/>
      </c>
      <c r="I151" s="10" t="str">
        <f aca="false">IF(D151="","",G151-H151)</f>
        <v/>
      </c>
      <c r="J151" s="80"/>
      <c r="K151" s="80"/>
      <c r="L151" s="80"/>
      <c r="M151" s="80"/>
      <c r="N151" s="80"/>
      <c r="O151" s="80"/>
      <c r="P151" s="88" t="str">
        <f aca="false">IF(D151="","",SUM(J151:O151))</f>
        <v/>
      </c>
      <c r="Q151" s="87" t="str">
        <f aca="false">IF(D151="","",D151-P151)</f>
        <v/>
      </c>
      <c r="R151" s="36" t="str">
        <f aca="false">IF(OR(D151="",N(D151)=0),"",P151/D151)</f>
        <v/>
      </c>
      <c r="S151" s="10" t="str">
        <f aca="false">IF(D151="","",P151*N(F151))</f>
        <v/>
      </c>
      <c r="T151" s="10" t="str">
        <f aca="false">IF(D151="","",Q151*N(F151))</f>
        <v/>
      </c>
      <c r="U151" s="6"/>
      <c r="V151" s="83"/>
      <c r="W151" s="15"/>
      <c r="X151" s="15"/>
      <c r="Y151" s="15"/>
      <c r="Z151" s="93"/>
      <c r="AA151" s="93"/>
      <c r="AB151" s="93"/>
      <c r="AC151" s="10" t="str">
        <f aca="false">IF(X151="","",IFERROR(INDEX(t_Hora,MATCH(X151,t_Cargo,0)),0))</f>
        <v/>
      </c>
      <c r="AD151" s="94" t="str">
        <f aca="false">IF(X151="","",N(Z151)*IF(AA151="",IFERROR(INDEX(t_Horas,MATCH(X151,t_Cargo,0)),8),AA151)+N(AB151))</f>
        <v/>
      </c>
      <c r="AE151" s="37" t="str">
        <f aca="false">IF(X151="","",AC151*(N(Z151)*IF(AA151="",IFERROR(INDEX(t_Horas,MATCH(X151,t_Cargo,0)),8),AA151)+N(AB151)*(1+p_Extra)))</f>
        <v/>
      </c>
      <c r="AF151" s="15"/>
    </row>
    <row r="152" customFormat="false" ht="16.5" hidden="false" customHeight="true" outlineLevel="0" collapsed="false">
      <c r="A152" s="23" t="str">
        <f aca="false">IF(PRESUPUESTO!$A146="Ítem",PRESUPUESTO!B146,"")</f>
        <v/>
      </c>
      <c r="B152" s="23" t="str">
        <f aca="false">IF(PRESUPUESTO!C146="","",PRESUPUESTO!C146)</f>
        <v/>
      </c>
      <c r="C152" s="86" t="str">
        <f aca="false">IF(PRESUPUESTO!$A146="Ítem",PRESUPUESTO!D146,"")</f>
        <v/>
      </c>
      <c r="D152" s="87" t="str">
        <f aca="false">IF(PRESUPUESTO!$A146="Ítem",PRESUPUESTO!E146,"")</f>
        <v/>
      </c>
      <c r="E152" s="10" t="str">
        <f aca="false">IF(D152="","",N(PRESUPUESTO!J146))</f>
        <v/>
      </c>
      <c r="F152" s="16"/>
      <c r="G152" s="10" t="str">
        <f aca="false">IF(D152="","",D152*E152)</f>
        <v/>
      </c>
      <c r="H152" s="10" t="str">
        <f aca="false">IF(D152="","",D152*N(F152))</f>
        <v/>
      </c>
      <c r="I152" s="10" t="str">
        <f aca="false">IF(D152="","",G152-H152)</f>
        <v/>
      </c>
      <c r="J152" s="80"/>
      <c r="K152" s="80"/>
      <c r="L152" s="80"/>
      <c r="M152" s="80"/>
      <c r="N152" s="80"/>
      <c r="O152" s="80"/>
      <c r="P152" s="88" t="str">
        <f aca="false">IF(D152="","",SUM(J152:O152))</f>
        <v/>
      </c>
      <c r="Q152" s="87" t="str">
        <f aca="false">IF(D152="","",D152-P152)</f>
        <v/>
      </c>
      <c r="R152" s="36" t="str">
        <f aca="false">IF(OR(D152="",N(D152)=0),"",P152/D152)</f>
        <v/>
      </c>
      <c r="S152" s="10" t="str">
        <f aca="false">IF(D152="","",P152*N(F152))</f>
        <v/>
      </c>
      <c r="T152" s="10" t="str">
        <f aca="false">IF(D152="","",Q152*N(F152))</f>
        <v/>
      </c>
      <c r="U152" s="6"/>
      <c r="V152" s="83"/>
      <c r="W152" s="15"/>
      <c r="X152" s="15"/>
      <c r="Y152" s="15"/>
      <c r="Z152" s="93"/>
      <c r="AA152" s="93"/>
      <c r="AB152" s="93"/>
      <c r="AC152" s="10" t="str">
        <f aca="false">IF(X152="","",IFERROR(INDEX(t_Hora,MATCH(X152,t_Cargo,0)),0))</f>
        <v/>
      </c>
      <c r="AD152" s="94" t="str">
        <f aca="false">IF(X152="","",N(Z152)*IF(AA152="",IFERROR(INDEX(t_Horas,MATCH(X152,t_Cargo,0)),8),AA152)+N(AB152))</f>
        <v/>
      </c>
      <c r="AE152" s="37" t="str">
        <f aca="false">IF(X152="","",AC152*(N(Z152)*IF(AA152="",IFERROR(INDEX(t_Horas,MATCH(X152,t_Cargo,0)),8),AA152)+N(AB152)*(1+p_Extra)))</f>
        <v/>
      </c>
      <c r="AF152" s="15"/>
    </row>
    <row r="153" customFormat="false" ht="16.5" hidden="false" customHeight="true" outlineLevel="0" collapsed="false">
      <c r="A153" s="23" t="str">
        <f aca="false">IF(PRESUPUESTO!$A147="Ítem",PRESUPUESTO!B147,"")</f>
        <v/>
      </c>
      <c r="B153" s="23" t="str">
        <f aca="false">IF(PRESUPUESTO!C147="","",PRESUPUESTO!C147)</f>
        <v/>
      </c>
      <c r="C153" s="86" t="str">
        <f aca="false">IF(PRESUPUESTO!$A147="Ítem",PRESUPUESTO!D147,"")</f>
        <v/>
      </c>
      <c r="D153" s="87" t="str">
        <f aca="false">IF(PRESUPUESTO!$A147="Ítem",PRESUPUESTO!E147,"")</f>
        <v/>
      </c>
      <c r="E153" s="10" t="str">
        <f aca="false">IF(D153="","",N(PRESUPUESTO!J147))</f>
        <v/>
      </c>
      <c r="F153" s="16"/>
      <c r="G153" s="10" t="str">
        <f aca="false">IF(D153="","",D153*E153)</f>
        <v/>
      </c>
      <c r="H153" s="10" t="str">
        <f aca="false">IF(D153="","",D153*N(F153))</f>
        <v/>
      </c>
      <c r="I153" s="10" t="str">
        <f aca="false">IF(D153="","",G153-H153)</f>
        <v/>
      </c>
      <c r="J153" s="80"/>
      <c r="K153" s="80"/>
      <c r="L153" s="80"/>
      <c r="M153" s="80"/>
      <c r="N153" s="80"/>
      <c r="O153" s="80"/>
      <c r="P153" s="88" t="str">
        <f aca="false">IF(D153="","",SUM(J153:O153))</f>
        <v/>
      </c>
      <c r="Q153" s="87" t="str">
        <f aca="false">IF(D153="","",D153-P153)</f>
        <v/>
      </c>
      <c r="R153" s="36" t="str">
        <f aca="false">IF(OR(D153="",N(D153)=0),"",P153/D153)</f>
        <v/>
      </c>
      <c r="S153" s="10" t="str">
        <f aca="false">IF(D153="","",P153*N(F153))</f>
        <v/>
      </c>
      <c r="T153" s="10" t="str">
        <f aca="false">IF(D153="","",Q153*N(F153))</f>
        <v/>
      </c>
      <c r="U153" s="6"/>
      <c r="V153" s="83"/>
      <c r="W153" s="15"/>
      <c r="X153" s="15"/>
      <c r="Y153" s="15"/>
      <c r="Z153" s="93"/>
      <c r="AA153" s="93"/>
      <c r="AB153" s="93"/>
      <c r="AC153" s="10" t="str">
        <f aca="false">IF(X153="","",IFERROR(INDEX(t_Hora,MATCH(X153,t_Cargo,0)),0))</f>
        <v/>
      </c>
      <c r="AD153" s="94" t="str">
        <f aca="false">IF(X153="","",N(Z153)*IF(AA153="",IFERROR(INDEX(t_Horas,MATCH(X153,t_Cargo,0)),8),AA153)+N(AB153))</f>
        <v/>
      </c>
      <c r="AE153" s="37" t="str">
        <f aca="false">IF(X153="","",AC153*(N(Z153)*IF(AA153="",IFERROR(INDEX(t_Horas,MATCH(X153,t_Cargo,0)),8),AA153)+N(AB153)*(1+p_Extra)))</f>
        <v/>
      </c>
      <c r="AF153" s="15"/>
    </row>
    <row r="154" customFormat="false" ht="16.5" hidden="false" customHeight="true" outlineLevel="0" collapsed="false">
      <c r="A154" s="23" t="str">
        <f aca="false">IF(PRESUPUESTO!$A148="Ítem",PRESUPUESTO!B148,"")</f>
        <v/>
      </c>
      <c r="B154" s="23" t="str">
        <f aca="false">IF(PRESUPUESTO!C148="","",PRESUPUESTO!C148)</f>
        <v/>
      </c>
      <c r="C154" s="86" t="str">
        <f aca="false">IF(PRESUPUESTO!$A148="Ítem",PRESUPUESTO!D148,"")</f>
        <v/>
      </c>
      <c r="D154" s="87" t="str">
        <f aca="false">IF(PRESUPUESTO!$A148="Ítem",PRESUPUESTO!E148,"")</f>
        <v/>
      </c>
      <c r="E154" s="10" t="str">
        <f aca="false">IF(D154="","",N(PRESUPUESTO!J148))</f>
        <v/>
      </c>
      <c r="F154" s="16"/>
      <c r="G154" s="10" t="str">
        <f aca="false">IF(D154="","",D154*E154)</f>
        <v/>
      </c>
      <c r="H154" s="10" t="str">
        <f aca="false">IF(D154="","",D154*N(F154))</f>
        <v/>
      </c>
      <c r="I154" s="10" t="str">
        <f aca="false">IF(D154="","",G154-H154)</f>
        <v/>
      </c>
      <c r="J154" s="80"/>
      <c r="K154" s="80"/>
      <c r="L154" s="80"/>
      <c r="M154" s="80"/>
      <c r="N154" s="80"/>
      <c r="O154" s="80"/>
      <c r="P154" s="88" t="str">
        <f aca="false">IF(D154="","",SUM(J154:O154))</f>
        <v/>
      </c>
      <c r="Q154" s="87" t="str">
        <f aca="false">IF(D154="","",D154-P154)</f>
        <v/>
      </c>
      <c r="R154" s="36" t="str">
        <f aca="false">IF(OR(D154="",N(D154)=0),"",P154/D154)</f>
        <v/>
      </c>
      <c r="S154" s="10" t="str">
        <f aca="false">IF(D154="","",P154*N(F154))</f>
        <v/>
      </c>
      <c r="T154" s="10" t="str">
        <f aca="false">IF(D154="","",Q154*N(F154))</f>
        <v/>
      </c>
      <c r="U154" s="6"/>
      <c r="V154" s="83"/>
      <c r="W154" s="15"/>
      <c r="X154" s="15"/>
      <c r="Y154" s="15"/>
      <c r="Z154" s="93"/>
      <c r="AA154" s="93"/>
      <c r="AB154" s="93"/>
      <c r="AC154" s="10" t="str">
        <f aca="false">IF(X154="","",IFERROR(INDEX(t_Hora,MATCH(X154,t_Cargo,0)),0))</f>
        <v/>
      </c>
      <c r="AD154" s="94" t="str">
        <f aca="false">IF(X154="","",N(Z154)*IF(AA154="",IFERROR(INDEX(t_Horas,MATCH(X154,t_Cargo,0)),8),AA154)+N(AB154))</f>
        <v/>
      </c>
      <c r="AE154" s="37" t="str">
        <f aca="false">IF(X154="","",AC154*(N(Z154)*IF(AA154="",IFERROR(INDEX(t_Horas,MATCH(X154,t_Cargo,0)),8),AA154)+N(AB154)*(1+p_Extra)))</f>
        <v/>
      </c>
      <c r="AF154" s="15"/>
    </row>
    <row r="155" customFormat="false" ht="16.5" hidden="false" customHeight="true" outlineLevel="0" collapsed="false">
      <c r="A155" s="23" t="str">
        <f aca="false">IF(PRESUPUESTO!$A149="Ítem",PRESUPUESTO!B149,"")</f>
        <v/>
      </c>
      <c r="B155" s="23" t="str">
        <f aca="false">IF(PRESUPUESTO!C149="","",PRESUPUESTO!C149)</f>
        <v/>
      </c>
      <c r="C155" s="86" t="str">
        <f aca="false">IF(PRESUPUESTO!$A149="Ítem",PRESUPUESTO!D149,"")</f>
        <v/>
      </c>
      <c r="D155" s="87" t="str">
        <f aca="false">IF(PRESUPUESTO!$A149="Ítem",PRESUPUESTO!E149,"")</f>
        <v/>
      </c>
      <c r="E155" s="10" t="str">
        <f aca="false">IF(D155="","",N(PRESUPUESTO!J149))</f>
        <v/>
      </c>
      <c r="F155" s="16"/>
      <c r="G155" s="10" t="str">
        <f aca="false">IF(D155="","",D155*E155)</f>
        <v/>
      </c>
      <c r="H155" s="10" t="str">
        <f aca="false">IF(D155="","",D155*N(F155))</f>
        <v/>
      </c>
      <c r="I155" s="10" t="str">
        <f aca="false">IF(D155="","",G155-H155)</f>
        <v/>
      </c>
      <c r="J155" s="80"/>
      <c r="K155" s="80"/>
      <c r="L155" s="80"/>
      <c r="M155" s="80"/>
      <c r="N155" s="80"/>
      <c r="O155" s="80"/>
      <c r="P155" s="88" t="str">
        <f aca="false">IF(D155="","",SUM(J155:O155))</f>
        <v/>
      </c>
      <c r="Q155" s="87" t="str">
        <f aca="false">IF(D155="","",D155-P155)</f>
        <v/>
      </c>
      <c r="R155" s="36" t="str">
        <f aca="false">IF(OR(D155="",N(D155)=0),"",P155/D155)</f>
        <v/>
      </c>
      <c r="S155" s="10" t="str">
        <f aca="false">IF(D155="","",P155*N(F155))</f>
        <v/>
      </c>
      <c r="T155" s="10" t="str">
        <f aca="false">IF(D155="","",Q155*N(F155))</f>
        <v/>
      </c>
      <c r="U155" s="6"/>
      <c r="V155" s="83"/>
      <c r="W155" s="15"/>
      <c r="X155" s="15"/>
      <c r="Y155" s="15"/>
      <c r="Z155" s="93"/>
      <c r="AA155" s="93"/>
      <c r="AB155" s="93"/>
      <c r="AC155" s="10" t="str">
        <f aca="false">IF(X155="","",IFERROR(INDEX(t_Hora,MATCH(X155,t_Cargo,0)),0))</f>
        <v/>
      </c>
      <c r="AD155" s="94" t="str">
        <f aca="false">IF(X155="","",N(Z155)*IF(AA155="",IFERROR(INDEX(t_Horas,MATCH(X155,t_Cargo,0)),8),AA155)+N(AB155))</f>
        <v/>
      </c>
      <c r="AE155" s="37" t="str">
        <f aca="false">IF(X155="","",AC155*(N(Z155)*IF(AA155="",IFERROR(INDEX(t_Horas,MATCH(X155,t_Cargo,0)),8),AA155)+N(AB155)*(1+p_Extra)))</f>
        <v/>
      </c>
      <c r="AF155" s="15"/>
    </row>
    <row r="156" customFormat="false" ht="16.5" hidden="false" customHeight="true" outlineLevel="0" collapsed="false">
      <c r="A156" s="23" t="str">
        <f aca="false">IF(PRESUPUESTO!$A150="Ítem",PRESUPUESTO!B150,"")</f>
        <v/>
      </c>
      <c r="B156" s="23" t="str">
        <f aca="false">IF(PRESUPUESTO!C150="","",PRESUPUESTO!C150)</f>
        <v/>
      </c>
      <c r="C156" s="86" t="str">
        <f aca="false">IF(PRESUPUESTO!$A150="Ítem",PRESUPUESTO!D150,"")</f>
        <v/>
      </c>
      <c r="D156" s="87" t="str">
        <f aca="false">IF(PRESUPUESTO!$A150="Ítem",PRESUPUESTO!E150,"")</f>
        <v/>
      </c>
      <c r="E156" s="10" t="str">
        <f aca="false">IF(D156="","",N(PRESUPUESTO!J150))</f>
        <v/>
      </c>
      <c r="F156" s="16"/>
      <c r="G156" s="10" t="str">
        <f aca="false">IF(D156="","",D156*E156)</f>
        <v/>
      </c>
      <c r="H156" s="10" t="str">
        <f aca="false">IF(D156="","",D156*N(F156))</f>
        <v/>
      </c>
      <c r="I156" s="10" t="str">
        <f aca="false">IF(D156="","",G156-H156)</f>
        <v/>
      </c>
      <c r="J156" s="80"/>
      <c r="K156" s="80"/>
      <c r="L156" s="80"/>
      <c r="M156" s="80"/>
      <c r="N156" s="80"/>
      <c r="O156" s="80"/>
      <c r="P156" s="88" t="str">
        <f aca="false">IF(D156="","",SUM(J156:O156))</f>
        <v/>
      </c>
      <c r="Q156" s="87" t="str">
        <f aca="false">IF(D156="","",D156-P156)</f>
        <v/>
      </c>
      <c r="R156" s="36" t="str">
        <f aca="false">IF(OR(D156="",N(D156)=0),"",P156/D156)</f>
        <v/>
      </c>
      <c r="S156" s="10" t="str">
        <f aca="false">IF(D156="","",P156*N(F156))</f>
        <v/>
      </c>
      <c r="T156" s="10" t="str">
        <f aca="false">IF(D156="","",Q156*N(F156))</f>
        <v/>
      </c>
      <c r="U156" s="6"/>
      <c r="V156" s="83"/>
      <c r="W156" s="15"/>
      <c r="X156" s="15"/>
      <c r="Y156" s="15"/>
      <c r="Z156" s="93"/>
      <c r="AA156" s="93"/>
      <c r="AB156" s="93"/>
      <c r="AC156" s="10" t="str">
        <f aca="false">IF(X156="","",IFERROR(INDEX(t_Hora,MATCH(X156,t_Cargo,0)),0))</f>
        <v/>
      </c>
      <c r="AD156" s="94" t="str">
        <f aca="false">IF(X156="","",N(Z156)*IF(AA156="",IFERROR(INDEX(t_Horas,MATCH(X156,t_Cargo,0)),8),AA156)+N(AB156))</f>
        <v/>
      </c>
      <c r="AE156" s="37" t="str">
        <f aca="false">IF(X156="","",AC156*(N(Z156)*IF(AA156="",IFERROR(INDEX(t_Horas,MATCH(X156,t_Cargo,0)),8),AA156)+N(AB156)*(1+p_Extra)))</f>
        <v/>
      </c>
      <c r="AF156" s="15"/>
    </row>
    <row r="157" customFormat="false" ht="16.5" hidden="false" customHeight="true" outlineLevel="0" collapsed="false">
      <c r="A157" s="23" t="str">
        <f aca="false">IF(PRESUPUESTO!$A151="Ítem",PRESUPUESTO!B151,"")</f>
        <v/>
      </c>
      <c r="B157" s="23" t="str">
        <f aca="false">IF(PRESUPUESTO!C151="","",PRESUPUESTO!C151)</f>
        <v/>
      </c>
      <c r="C157" s="86" t="str">
        <f aca="false">IF(PRESUPUESTO!$A151="Ítem",PRESUPUESTO!D151,"")</f>
        <v/>
      </c>
      <c r="D157" s="87" t="str">
        <f aca="false">IF(PRESUPUESTO!$A151="Ítem",PRESUPUESTO!E151,"")</f>
        <v/>
      </c>
      <c r="E157" s="10" t="str">
        <f aca="false">IF(D157="","",N(PRESUPUESTO!J151))</f>
        <v/>
      </c>
      <c r="F157" s="16"/>
      <c r="G157" s="10" t="str">
        <f aca="false">IF(D157="","",D157*E157)</f>
        <v/>
      </c>
      <c r="H157" s="10" t="str">
        <f aca="false">IF(D157="","",D157*N(F157))</f>
        <v/>
      </c>
      <c r="I157" s="10" t="str">
        <f aca="false">IF(D157="","",G157-H157)</f>
        <v/>
      </c>
      <c r="J157" s="80"/>
      <c r="K157" s="80"/>
      <c r="L157" s="80"/>
      <c r="M157" s="80"/>
      <c r="N157" s="80"/>
      <c r="O157" s="80"/>
      <c r="P157" s="88" t="str">
        <f aca="false">IF(D157="","",SUM(J157:O157))</f>
        <v/>
      </c>
      <c r="Q157" s="87" t="str">
        <f aca="false">IF(D157="","",D157-P157)</f>
        <v/>
      </c>
      <c r="R157" s="36" t="str">
        <f aca="false">IF(OR(D157="",N(D157)=0),"",P157/D157)</f>
        <v/>
      </c>
      <c r="S157" s="10" t="str">
        <f aca="false">IF(D157="","",P157*N(F157))</f>
        <v/>
      </c>
      <c r="T157" s="10" t="str">
        <f aca="false">IF(D157="","",Q157*N(F157))</f>
        <v/>
      </c>
      <c r="U157" s="6"/>
      <c r="V157" s="83"/>
      <c r="W157" s="15"/>
      <c r="X157" s="15"/>
      <c r="Y157" s="15"/>
      <c r="Z157" s="93"/>
      <c r="AA157" s="93"/>
      <c r="AB157" s="93"/>
      <c r="AC157" s="10" t="str">
        <f aca="false">IF(X157="","",IFERROR(INDEX(t_Hora,MATCH(X157,t_Cargo,0)),0))</f>
        <v/>
      </c>
      <c r="AD157" s="94" t="str">
        <f aca="false">IF(X157="","",N(Z157)*IF(AA157="",IFERROR(INDEX(t_Horas,MATCH(X157,t_Cargo,0)),8),AA157)+N(AB157))</f>
        <v/>
      </c>
      <c r="AE157" s="37" t="str">
        <f aca="false">IF(X157="","",AC157*(N(Z157)*IF(AA157="",IFERROR(INDEX(t_Horas,MATCH(X157,t_Cargo,0)),8),AA157)+N(AB157)*(1+p_Extra)))</f>
        <v/>
      </c>
      <c r="AF157" s="15"/>
    </row>
    <row r="158" customFormat="false" ht="16.5" hidden="false" customHeight="true" outlineLevel="0" collapsed="false">
      <c r="A158" s="23" t="str">
        <f aca="false">IF(PRESUPUESTO!$A152="Ítem",PRESUPUESTO!B152,"")</f>
        <v/>
      </c>
      <c r="B158" s="23" t="str">
        <f aca="false">IF(PRESUPUESTO!C152="","",PRESUPUESTO!C152)</f>
        <v/>
      </c>
      <c r="C158" s="86" t="str">
        <f aca="false">IF(PRESUPUESTO!$A152="Ítem",PRESUPUESTO!D152,"")</f>
        <v/>
      </c>
      <c r="D158" s="87" t="str">
        <f aca="false">IF(PRESUPUESTO!$A152="Ítem",PRESUPUESTO!E152,"")</f>
        <v/>
      </c>
      <c r="E158" s="10" t="str">
        <f aca="false">IF(D158="","",N(PRESUPUESTO!J152))</f>
        <v/>
      </c>
      <c r="F158" s="16"/>
      <c r="G158" s="10" t="str">
        <f aca="false">IF(D158="","",D158*E158)</f>
        <v/>
      </c>
      <c r="H158" s="10" t="str">
        <f aca="false">IF(D158="","",D158*N(F158))</f>
        <v/>
      </c>
      <c r="I158" s="10" t="str">
        <f aca="false">IF(D158="","",G158-H158)</f>
        <v/>
      </c>
      <c r="J158" s="80"/>
      <c r="K158" s="80"/>
      <c r="L158" s="80"/>
      <c r="M158" s="80"/>
      <c r="N158" s="80"/>
      <c r="O158" s="80"/>
      <c r="P158" s="88" t="str">
        <f aca="false">IF(D158="","",SUM(J158:O158))</f>
        <v/>
      </c>
      <c r="Q158" s="87" t="str">
        <f aca="false">IF(D158="","",D158-P158)</f>
        <v/>
      </c>
      <c r="R158" s="36" t="str">
        <f aca="false">IF(OR(D158="",N(D158)=0),"",P158/D158)</f>
        <v/>
      </c>
      <c r="S158" s="10" t="str">
        <f aca="false">IF(D158="","",P158*N(F158))</f>
        <v/>
      </c>
      <c r="T158" s="10" t="str">
        <f aca="false">IF(D158="","",Q158*N(F158))</f>
        <v/>
      </c>
      <c r="U158" s="6"/>
      <c r="V158" s="83"/>
      <c r="W158" s="15"/>
      <c r="X158" s="15"/>
      <c r="Y158" s="15"/>
      <c r="Z158" s="93"/>
      <c r="AA158" s="93"/>
      <c r="AB158" s="93"/>
      <c r="AC158" s="10" t="str">
        <f aca="false">IF(X158="","",IFERROR(INDEX(t_Hora,MATCH(X158,t_Cargo,0)),0))</f>
        <v/>
      </c>
      <c r="AD158" s="94" t="str">
        <f aca="false">IF(X158="","",N(Z158)*IF(AA158="",IFERROR(INDEX(t_Horas,MATCH(X158,t_Cargo,0)),8),AA158)+N(AB158))</f>
        <v/>
      </c>
      <c r="AE158" s="37" t="str">
        <f aca="false">IF(X158="","",AC158*(N(Z158)*IF(AA158="",IFERROR(INDEX(t_Horas,MATCH(X158,t_Cargo,0)),8),AA158)+N(AB158)*(1+p_Extra)))</f>
        <v/>
      </c>
      <c r="AF158" s="15"/>
    </row>
    <row r="159" customFormat="false" ht="16.5" hidden="false" customHeight="true" outlineLevel="0" collapsed="false">
      <c r="A159" s="23" t="str">
        <f aca="false">IF(PRESUPUESTO!$A153="Ítem",PRESUPUESTO!B153,"")</f>
        <v/>
      </c>
      <c r="B159" s="23" t="str">
        <f aca="false">IF(PRESUPUESTO!C153="","",PRESUPUESTO!C153)</f>
        <v/>
      </c>
      <c r="C159" s="86" t="str">
        <f aca="false">IF(PRESUPUESTO!$A153="Ítem",PRESUPUESTO!D153,"")</f>
        <v/>
      </c>
      <c r="D159" s="87" t="str">
        <f aca="false">IF(PRESUPUESTO!$A153="Ítem",PRESUPUESTO!E153,"")</f>
        <v/>
      </c>
      <c r="E159" s="10" t="str">
        <f aca="false">IF(D159="","",N(PRESUPUESTO!J153))</f>
        <v/>
      </c>
      <c r="F159" s="16"/>
      <c r="G159" s="10" t="str">
        <f aca="false">IF(D159="","",D159*E159)</f>
        <v/>
      </c>
      <c r="H159" s="10" t="str">
        <f aca="false">IF(D159="","",D159*N(F159))</f>
        <v/>
      </c>
      <c r="I159" s="10" t="str">
        <f aca="false">IF(D159="","",G159-H159)</f>
        <v/>
      </c>
      <c r="J159" s="80"/>
      <c r="K159" s="80"/>
      <c r="L159" s="80"/>
      <c r="M159" s="80"/>
      <c r="N159" s="80"/>
      <c r="O159" s="80"/>
      <c r="P159" s="88" t="str">
        <f aca="false">IF(D159="","",SUM(J159:O159))</f>
        <v/>
      </c>
      <c r="Q159" s="87" t="str">
        <f aca="false">IF(D159="","",D159-P159)</f>
        <v/>
      </c>
      <c r="R159" s="36" t="str">
        <f aca="false">IF(OR(D159="",N(D159)=0),"",P159/D159)</f>
        <v/>
      </c>
      <c r="S159" s="10" t="str">
        <f aca="false">IF(D159="","",P159*N(F159))</f>
        <v/>
      </c>
      <c r="T159" s="10" t="str">
        <f aca="false">IF(D159="","",Q159*N(F159))</f>
        <v/>
      </c>
      <c r="U159" s="6"/>
      <c r="V159" s="83"/>
      <c r="W159" s="15"/>
      <c r="X159" s="15"/>
      <c r="Y159" s="15"/>
      <c r="Z159" s="93"/>
      <c r="AA159" s="93"/>
      <c r="AB159" s="93"/>
      <c r="AC159" s="10" t="str">
        <f aca="false">IF(X159="","",IFERROR(INDEX(t_Hora,MATCH(X159,t_Cargo,0)),0))</f>
        <v/>
      </c>
      <c r="AD159" s="94" t="str">
        <f aca="false">IF(X159="","",N(Z159)*IF(AA159="",IFERROR(INDEX(t_Horas,MATCH(X159,t_Cargo,0)),8),AA159)+N(AB159))</f>
        <v/>
      </c>
      <c r="AE159" s="37" t="str">
        <f aca="false">IF(X159="","",AC159*(N(Z159)*IF(AA159="",IFERROR(INDEX(t_Horas,MATCH(X159,t_Cargo,0)),8),AA159)+N(AB159)*(1+p_Extra)))</f>
        <v/>
      </c>
      <c r="AF159" s="15"/>
    </row>
    <row r="160" customFormat="false" ht="16.5" hidden="false" customHeight="true" outlineLevel="0" collapsed="false">
      <c r="A160" s="23" t="str">
        <f aca="false">IF(PRESUPUESTO!$A154="Ítem",PRESUPUESTO!B154,"")</f>
        <v/>
      </c>
      <c r="B160" s="23" t="str">
        <f aca="false">IF(PRESUPUESTO!C154="","",PRESUPUESTO!C154)</f>
        <v/>
      </c>
      <c r="C160" s="86" t="str">
        <f aca="false">IF(PRESUPUESTO!$A154="Ítem",PRESUPUESTO!D154,"")</f>
        <v/>
      </c>
      <c r="D160" s="87" t="str">
        <f aca="false">IF(PRESUPUESTO!$A154="Ítem",PRESUPUESTO!E154,"")</f>
        <v/>
      </c>
      <c r="E160" s="10" t="str">
        <f aca="false">IF(D160="","",N(PRESUPUESTO!J154))</f>
        <v/>
      </c>
      <c r="F160" s="16"/>
      <c r="G160" s="10" t="str">
        <f aca="false">IF(D160="","",D160*E160)</f>
        <v/>
      </c>
      <c r="H160" s="10" t="str">
        <f aca="false">IF(D160="","",D160*N(F160))</f>
        <v/>
      </c>
      <c r="I160" s="10" t="str">
        <f aca="false">IF(D160="","",G160-H160)</f>
        <v/>
      </c>
      <c r="J160" s="80"/>
      <c r="K160" s="80"/>
      <c r="L160" s="80"/>
      <c r="M160" s="80"/>
      <c r="N160" s="80"/>
      <c r="O160" s="80"/>
      <c r="P160" s="88" t="str">
        <f aca="false">IF(D160="","",SUM(J160:O160))</f>
        <v/>
      </c>
      <c r="Q160" s="87" t="str">
        <f aca="false">IF(D160="","",D160-P160)</f>
        <v/>
      </c>
      <c r="R160" s="36" t="str">
        <f aca="false">IF(OR(D160="",N(D160)=0),"",P160/D160)</f>
        <v/>
      </c>
      <c r="S160" s="10" t="str">
        <f aca="false">IF(D160="","",P160*N(F160))</f>
        <v/>
      </c>
      <c r="T160" s="10" t="str">
        <f aca="false">IF(D160="","",Q160*N(F160))</f>
        <v/>
      </c>
      <c r="U160" s="6"/>
      <c r="V160" s="83"/>
      <c r="W160" s="15"/>
      <c r="X160" s="15"/>
      <c r="Y160" s="15"/>
      <c r="Z160" s="93"/>
      <c r="AA160" s="93"/>
      <c r="AB160" s="93"/>
      <c r="AC160" s="10" t="str">
        <f aca="false">IF(X160="","",IFERROR(INDEX(t_Hora,MATCH(X160,t_Cargo,0)),0))</f>
        <v/>
      </c>
      <c r="AD160" s="94" t="str">
        <f aca="false">IF(X160="","",N(Z160)*IF(AA160="",IFERROR(INDEX(t_Horas,MATCH(X160,t_Cargo,0)),8),AA160)+N(AB160))</f>
        <v/>
      </c>
      <c r="AE160" s="37" t="str">
        <f aca="false">IF(X160="","",AC160*(N(Z160)*IF(AA160="",IFERROR(INDEX(t_Horas,MATCH(X160,t_Cargo,0)),8),AA160)+N(AB160)*(1+p_Extra)))</f>
        <v/>
      </c>
      <c r="AF160" s="15"/>
    </row>
    <row r="161" customFormat="false" ht="16.5" hidden="false" customHeight="true" outlineLevel="0" collapsed="false">
      <c r="A161" s="23" t="str">
        <f aca="false">IF(PRESUPUESTO!$A155="Ítem",PRESUPUESTO!B155,"")</f>
        <v/>
      </c>
      <c r="B161" s="23" t="str">
        <f aca="false">IF(PRESUPUESTO!C155="","",PRESUPUESTO!C155)</f>
        <v/>
      </c>
      <c r="C161" s="86" t="str">
        <f aca="false">IF(PRESUPUESTO!$A155="Ítem",PRESUPUESTO!D155,"")</f>
        <v/>
      </c>
      <c r="D161" s="87" t="str">
        <f aca="false">IF(PRESUPUESTO!$A155="Ítem",PRESUPUESTO!E155,"")</f>
        <v/>
      </c>
      <c r="E161" s="10" t="str">
        <f aca="false">IF(D161="","",N(PRESUPUESTO!J155))</f>
        <v/>
      </c>
      <c r="F161" s="16"/>
      <c r="G161" s="10" t="str">
        <f aca="false">IF(D161="","",D161*E161)</f>
        <v/>
      </c>
      <c r="H161" s="10" t="str">
        <f aca="false">IF(D161="","",D161*N(F161))</f>
        <v/>
      </c>
      <c r="I161" s="10" t="str">
        <f aca="false">IF(D161="","",G161-H161)</f>
        <v/>
      </c>
      <c r="J161" s="80"/>
      <c r="K161" s="80"/>
      <c r="L161" s="80"/>
      <c r="M161" s="80"/>
      <c r="N161" s="80"/>
      <c r="O161" s="80"/>
      <c r="P161" s="88" t="str">
        <f aca="false">IF(D161="","",SUM(J161:O161))</f>
        <v/>
      </c>
      <c r="Q161" s="87" t="str">
        <f aca="false">IF(D161="","",D161-P161)</f>
        <v/>
      </c>
      <c r="R161" s="36" t="str">
        <f aca="false">IF(OR(D161="",N(D161)=0),"",P161/D161)</f>
        <v/>
      </c>
      <c r="S161" s="10" t="str">
        <f aca="false">IF(D161="","",P161*N(F161))</f>
        <v/>
      </c>
      <c r="T161" s="10" t="str">
        <f aca="false">IF(D161="","",Q161*N(F161))</f>
        <v/>
      </c>
      <c r="U161" s="6"/>
      <c r="V161" s="83"/>
      <c r="W161" s="15"/>
      <c r="X161" s="15"/>
      <c r="Y161" s="15"/>
      <c r="Z161" s="93"/>
      <c r="AA161" s="93"/>
      <c r="AB161" s="93"/>
      <c r="AC161" s="10" t="str">
        <f aca="false">IF(X161="","",IFERROR(INDEX(t_Hora,MATCH(X161,t_Cargo,0)),0))</f>
        <v/>
      </c>
      <c r="AD161" s="94" t="str">
        <f aca="false">IF(X161="","",N(Z161)*IF(AA161="",IFERROR(INDEX(t_Horas,MATCH(X161,t_Cargo,0)),8),AA161)+N(AB161))</f>
        <v/>
      </c>
      <c r="AE161" s="37" t="str">
        <f aca="false">IF(X161="","",AC161*(N(Z161)*IF(AA161="",IFERROR(INDEX(t_Horas,MATCH(X161,t_Cargo,0)),8),AA161)+N(AB161)*(1+p_Extra)))</f>
        <v/>
      </c>
      <c r="AF161" s="15"/>
    </row>
    <row r="162" customFormat="false" ht="16.5" hidden="false" customHeight="true" outlineLevel="0" collapsed="false">
      <c r="A162" s="23" t="str">
        <f aca="false">IF(PRESUPUESTO!$A156="Ítem",PRESUPUESTO!B156,"")</f>
        <v/>
      </c>
      <c r="B162" s="23" t="str">
        <f aca="false">IF(PRESUPUESTO!C156="","",PRESUPUESTO!C156)</f>
        <v/>
      </c>
      <c r="C162" s="86" t="str">
        <f aca="false">IF(PRESUPUESTO!$A156="Ítem",PRESUPUESTO!D156,"")</f>
        <v/>
      </c>
      <c r="D162" s="87" t="str">
        <f aca="false">IF(PRESUPUESTO!$A156="Ítem",PRESUPUESTO!E156,"")</f>
        <v/>
      </c>
      <c r="E162" s="10" t="str">
        <f aca="false">IF(D162="","",N(PRESUPUESTO!J156))</f>
        <v/>
      </c>
      <c r="F162" s="16"/>
      <c r="G162" s="10" t="str">
        <f aca="false">IF(D162="","",D162*E162)</f>
        <v/>
      </c>
      <c r="H162" s="10" t="str">
        <f aca="false">IF(D162="","",D162*N(F162))</f>
        <v/>
      </c>
      <c r="I162" s="10" t="str">
        <f aca="false">IF(D162="","",G162-H162)</f>
        <v/>
      </c>
      <c r="J162" s="80"/>
      <c r="K162" s="80"/>
      <c r="L162" s="80"/>
      <c r="M162" s="80"/>
      <c r="N162" s="80"/>
      <c r="O162" s="80"/>
      <c r="P162" s="88" t="str">
        <f aca="false">IF(D162="","",SUM(J162:O162))</f>
        <v/>
      </c>
      <c r="Q162" s="87" t="str">
        <f aca="false">IF(D162="","",D162-P162)</f>
        <v/>
      </c>
      <c r="R162" s="36" t="str">
        <f aca="false">IF(OR(D162="",N(D162)=0),"",P162/D162)</f>
        <v/>
      </c>
      <c r="S162" s="10" t="str">
        <f aca="false">IF(D162="","",P162*N(F162))</f>
        <v/>
      </c>
      <c r="T162" s="10" t="str">
        <f aca="false">IF(D162="","",Q162*N(F162))</f>
        <v/>
      </c>
      <c r="U162" s="6"/>
      <c r="V162" s="83"/>
      <c r="W162" s="15"/>
      <c r="X162" s="15"/>
      <c r="Y162" s="15"/>
      <c r="Z162" s="93"/>
      <c r="AA162" s="93"/>
      <c r="AB162" s="93"/>
      <c r="AC162" s="10" t="str">
        <f aca="false">IF(X162="","",IFERROR(INDEX(t_Hora,MATCH(X162,t_Cargo,0)),0))</f>
        <v/>
      </c>
      <c r="AD162" s="94" t="str">
        <f aca="false">IF(X162="","",N(Z162)*IF(AA162="",IFERROR(INDEX(t_Horas,MATCH(X162,t_Cargo,0)),8),AA162)+N(AB162))</f>
        <v/>
      </c>
      <c r="AE162" s="37" t="str">
        <f aca="false">IF(X162="","",AC162*(N(Z162)*IF(AA162="",IFERROR(INDEX(t_Horas,MATCH(X162,t_Cargo,0)),8),AA162)+N(AB162)*(1+p_Extra)))</f>
        <v/>
      </c>
      <c r="AF162" s="15"/>
    </row>
    <row r="163" customFormat="false" ht="16.5" hidden="false" customHeight="true" outlineLevel="0" collapsed="false">
      <c r="A163" s="23" t="str">
        <f aca="false">IF(PRESUPUESTO!$A157="Ítem",PRESUPUESTO!B157,"")</f>
        <v/>
      </c>
      <c r="B163" s="23" t="str">
        <f aca="false">IF(PRESUPUESTO!C157="","",PRESUPUESTO!C157)</f>
        <v/>
      </c>
      <c r="C163" s="86" t="str">
        <f aca="false">IF(PRESUPUESTO!$A157="Ítem",PRESUPUESTO!D157,"")</f>
        <v/>
      </c>
      <c r="D163" s="87" t="str">
        <f aca="false">IF(PRESUPUESTO!$A157="Ítem",PRESUPUESTO!E157,"")</f>
        <v/>
      </c>
      <c r="E163" s="10" t="str">
        <f aca="false">IF(D163="","",N(PRESUPUESTO!J157))</f>
        <v/>
      </c>
      <c r="F163" s="16"/>
      <c r="G163" s="10" t="str">
        <f aca="false">IF(D163="","",D163*E163)</f>
        <v/>
      </c>
      <c r="H163" s="10" t="str">
        <f aca="false">IF(D163="","",D163*N(F163))</f>
        <v/>
      </c>
      <c r="I163" s="10" t="str">
        <f aca="false">IF(D163="","",G163-H163)</f>
        <v/>
      </c>
      <c r="J163" s="80"/>
      <c r="K163" s="80"/>
      <c r="L163" s="80"/>
      <c r="M163" s="80"/>
      <c r="N163" s="80"/>
      <c r="O163" s="80"/>
      <c r="P163" s="88" t="str">
        <f aca="false">IF(D163="","",SUM(J163:O163))</f>
        <v/>
      </c>
      <c r="Q163" s="87" t="str">
        <f aca="false">IF(D163="","",D163-P163)</f>
        <v/>
      </c>
      <c r="R163" s="36" t="str">
        <f aca="false">IF(OR(D163="",N(D163)=0),"",P163/D163)</f>
        <v/>
      </c>
      <c r="S163" s="10" t="str">
        <f aca="false">IF(D163="","",P163*N(F163))</f>
        <v/>
      </c>
      <c r="T163" s="10" t="str">
        <f aca="false">IF(D163="","",Q163*N(F163))</f>
        <v/>
      </c>
      <c r="U163" s="6"/>
      <c r="V163" s="83"/>
      <c r="W163" s="15"/>
      <c r="X163" s="15"/>
      <c r="Y163" s="15"/>
      <c r="Z163" s="93"/>
      <c r="AA163" s="93"/>
      <c r="AB163" s="93"/>
      <c r="AC163" s="10" t="str">
        <f aca="false">IF(X163="","",IFERROR(INDEX(t_Hora,MATCH(X163,t_Cargo,0)),0))</f>
        <v/>
      </c>
      <c r="AD163" s="94" t="str">
        <f aca="false">IF(X163="","",N(Z163)*IF(AA163="",IFERROR(INDEX(t_Horas,MATCH(X163,t_Cargo,0)),8),AA163)+N(AB163))</f>
        <v/>
      </c>
      <c r="AE163" s="37" t="str">
        <f aca="false">IF(X163="","",AC163*(N(Z163)*IF(AA163="",IFERROR(INDEX(t_Horas,MATCH(X163,t_Cargo,0)),8),AA163)+N(AB163)*(1+p_Extra)))</f>
        <v/>
      </c>
      <c r="AF163" s="15"/>
    </row>
    <row r="164" customFormat="false" ht="16.5" hidden="false" customHeight="true" outlineLevel="0" collapsed="false">
      <c r="A164" s="23" t="str">
        <f aca="false">IF(PRESUPUESTO!$A158="Ítem",PRESUPUESTO!B158,"")</f>
        <v/>
      </c>
      <c r="B164" s="23" t="str">
        <f aca="false">IF(PRESUPUESTO!C158="","",PRESUPUESTO!C158)</f>
        <v/>
      </c>
      <c r="C164" s="86" t="str">
        <f aca="false">IF(PRESUPUESTO!$A158="Ítem",PRESUPUESTO!D158,"")</f>
        <v/>
      </c>
      <c r="D164" s="87" t="str">
        <f aca="false">IF(PRESUPUESTO!$A158="Ítem",PRESUPUESTO!E158,"")</f>
        <v/>
      </c>
      <c r="E164" s="10" t="str">
        <f aca="false">IF(D164="","",N(PRESUPUESTO!J158))</f>
        <v/>
      </c>
      <c r="F164" s="16"/>
      <c r="G164" s="10" t="str">
        <f aca="false">IF(D164="","",D164*E164)</f>
        <v/>
      </c>
      <c r="H164" s="10" t="str">
        <f aca="false">IF(D164="","",D164*N(F164))</f>
        <v/>
      </c>
      <c r="I164" s="10" t="str">
        <f aca="false">IF(D164="","",G164-H164)</f>
        <v/>
      </c>
      <c r="J164" s="80"/>
      <c r="K164" s="80"/>
      <c r="L164" s="80"/>
      <c r="M164" s="80"/>
      <c r="N164" s="80"/>
      <c r="O164" s="80"/>
      <c r="P164" s="88" t="str">
        <f aca="false">IF(D164="","",SUM(J164:O164))</f>
        <v/>
      </c>
      <c r="Q164" s="87" t="str">
        <f aca="false">IF(D164="","",D164-P164)</f>
        <v/>
      </c>
      <c r="R164" s="36" t="str">
        <f aca="false">IF(OR(D164="",N(D164)=0),"",P164/D164)</f>
        <v/>
      </c>
      <c r="S164" s="10" t="str">
        <f aca="false">IF(D164="","",P164*N(F164))</f>
        <v/>
      </c>
      <c r="T164" s="10" t="str">
        <f aca="false">IF(D164="","",Q164*N(F164))</f>
        <v/>
      </c>
      <c r="U164" s="6"/>
      <c r="V164" s="83"/>
      <c r="W164" s="15"/>
      <c r="X164" s="15"/>
      <c r="Y164" s="15"/>
      <c r="Z164" s="93"/>
      <c r="AA164" s="93"/>
      <c r="AB164" s="93"/>
      <c r="AC164" s="10" t="str">
        <f aca="false">IF(X164="","",IFERROR(INDEX(t_Hora,MATCH(X164,t_Cargo,0)),0))</f>
        <v/>
      </c>
      <c r="AD164" s="94" t="str">
        <f aca="false">IF(X164="","",N(Z164)*IF(AA164="",IFERROR(INDEX(t_Horas,MATCH(X164,t_Cargo,0)),8),AA164)+N(AB164))</f>
        <v/>
      </c>
      <c r="AE164" s="37" t="str">
        <f aca="false">IF(X164="","",AC164*(N(Z164)*IF(AA164="",IFERROR(INDEX(t_Horas,MATCH(X164,t_Cargo,0)),8),AA164)+N(AB164)*(1+p_Extra)))</f>
        <v/>
      </c>
      <c r="AF164" s="15"/>
    </row>
    <row r="165" customFormat="false" ht="16.5" hidden="false" customHeight="true" outlineLevel="0" collapsed="false">
      <c r="A165" s="23" t="str">
        <f aca="false">IF(PRESUPUESTO!$A159="Ítem",PRESUPUESTO!B159,"")</f>
        <v/>
      </c>
      <c r="B165" s="23" t="str">
        <f aca="false">IF(PRESUPUESTO!C159="","",PRESUPUESTO!C159)</f>
        <v/>
      </c>
      <c r="C165" s="86" t="str">
        <f aca="false">IF(PRESUPUESTO!$A159="Ítem",PRESUPUESTO!D159,"")</f>
        <v/>
      </c>
      <c r="D165" s="87" t="str">
        <f aca="false">IF(PRESUPUESTO!$A159="Ítem",PRESUPUESTO!E159,"")</f>
        <v/>
      </c>
      <c r="E165" s="10" t="str">
        <f aca="false">IF(D165="","",N(PRESUPUESTO!J159))</f>
        <v/>
      </c>
      <c r="F165" s="16"/>
      <c r="G165" s="10" t="str">
        <f aca="false">IF(D165="","",D165*E165)</f>
        <v/>
      </c>
      <c r="H165" s="10" t="str">
        <f aca="false">IF(D165="","",D165*N(F165))</f>
        <v/>
      </c>
      <c r="I165" s="10" t="str">
        <f aca="false">IF(D165="","",G165-H165)</f>
        <v/>
      </c>
      <c r="J165" s="80"/>
      <c r="K165" s="80"/>
      <c r="L165" s="80"/>
      <c r="M165" s="80"/>
      <c r="N165" s="80"/>
      <c r="O165" s="80"/>
      <c r="P165" s="88" t="str">
        <f aca="false">IF(D165="","",SUM(J165:O165))</f>
        <v/>
      </c>
      <c r="Q165" s="87" t="str">
        <f aca="false">IF(D165="","",D165-P165)</f>
        <v/>
      </c>
      <c r="R165" s="36" t="str">
        <f aca="false">IF(OR(D165="",N(D165)=0),"",P165/D165)</f>
        <v/>
      </c>
      <c r="S165" s="10" t="str">
        <f aca="false">IF(D165="","",P165*N(F165))</f>
        <v/>
      </c>
      <c r="T165" s="10" t="str">
        <f aca="false">IF(D165="","",Q165*N(F165))</f>
        <v/>
      </c>
      <c r="U165" s="6"/>
      <c r="V165" s="83"/>
      <c r="W165" s="15"/>
      <c r="X165" s="15"/>
      <c r="Y165" s="15"/>
      <c r="Z165" s="93"/>
      <c r="AA165" s="93"/>
      <c r="AB165" s="93"/>
      <c r="AC165" s="10" t="str">
        <f aca="false">IF(X165="","",IFERROR(INDEX(t_Hora,MATCH(X165,t_Cargo,0)),0))</f>
        <v/>
      </c>
      <c r="AD165" s="94" t="str">
        <f aca="false">IF(X165="","",N(Z165)*IF(AA165="",IFERROR(INDEX(t_Horas,MATCH(X165,t_Cargo,0)),8),AA165)+N(AB165))</f>
        <v/>
      </c>
      <c r="AE165" s="37" t="str">
        <f aca="false">IF(X165="","",AC165*(N(Z165)*IF(AA165="",IFERROR(INDEX(t_Horas,MATCH(X165,t_Cargo,0)),8),AA165)+N(AB165)*(1+p_Extra)))</f>
        <v/>
      </c>
      <c r="AF165" s="15"/>
    </row>
    <row r="166" customFormat="false" ht="16.5" hidden="false" customHeight="true" outlineLevel="0" collapsed="false">
      <c r="A166" s="23" t="str">
        <f aca="false">IF(PRESUPUESTO!$A160="Ítem",PRESUPUESTO!B160,"")</f>
        <v/>
      </c>
      <c r="B166" s="23" t="str">
        <f aca="false">IF(PRESUPUESTO!C160="","",PRESUPUESTO!C160)</f>
        <v/>
      </c>
      <c r="C166" s="86" t="str">
        <f aca="false">IF(PRESUPUESTO!$A160="Ítem",PRESUPUESTO!D160,"")</f>
        <v/>
      </c>
      <c r="D166" s="87" t="str">
        <f aca="false">IF(PRESUPUESTO!$A160="Ítem",PRESUPUESTO!E160,"")</f>
        <v/>
      </c>
      <c r="E166" s="10" t="str">
        <f aca="false">IF(D166="","",N(PRESUPUESTO!J160))</f>
        <v/>
      </c>
      <c r="F166" s="16"/>
      <c r="G166" s="10" t="str">
        <f aca="false">IF(D166="","",D166*E166)</f>
        <v/>
      </c>
      <c r="H166" s="10" t="str">
        <f aca="false">IF(D166="","",D166*N(F166))</f>
        <v/>
      </c>
      <c r="I166" s="10" t="str">
        <f aca="false">IF(D166="","",G166-H166)</f>
        <v/>
      </c>
      <c r="J166" s="80"/>
      <c r="K166" s="80"/>
      <c r="L166" s="80"/>
      <c r="M166" s="80"/>
      <c r="N166" s="80"/>
      <c r="O166" s="80"/>
      <c r="P166" s="88" t="str">
        <f aca="false">IF(D166="","",SUM(J166:O166))</f>
        <v/>
      </c>
      <c r="Q166" s="87" t="str">
        <f aca="false">IF(D166="","",D166-P166)</f>
        <v/>
      </c>
      <c r="R166" s="36" t="str">
        <f aca="false">IF(OR(D166="",N(D166)=0),"",P166/D166)</f>
        <v/>
      </c>
      <c r="S166" s="10" t="str">
        <f aca="false">IF(D166="","",P166*N(F166))</f>
        <v/>
      </c>
      <c r="T166" s="10" t="str">
        <f aca="false">IF(D166="","",Q166*N(F166))</f>
        <v/>
      </c>
      <c r="U166" s="6"/>
      <c r="V166" s="83"/>
      <c r="W166" s="15"/>
      <c r="X166" s="15"/>
      <c r="Y166" s="15"/>
      <c r="Z166" s="93"/>
      <c r="AA166" s="93"/>
      <c r="AB166" s="93"/>
      <c r="AC166" s="10" t="str">
        <f aca="false">IF(X166="","",IFERROR(INDEX(t_Hora,MATCH(X166,t_Cargo,0)),0))</f>
        <v/>
      </c>
      <c r="AD166" s="94" t="str">
        <f aca="false">IF(X166="","",N(Z166)*IF(AA166="",IFERROR(INDEX(t_Horas,MATCH(X166,t_Cargo,0)),8),AA166)+N(AB166))</f>
        <v/>
      </c>
      <c r="AE166" s="37" t="str">
        <f aca="false">IF(X166="","",AC166*(N(Z166)*IF(AA166="",IFERROR(INDEX(t_Horas,MATCH(X166,t_Cargo,0)),8),AA166)+N(AB166)*(1+p_Extra)))</f>
        <v/>
      </c>
      <c r="AF166" s="15"/>
    </row>
    <row r="167" customFormat="false" ht="16.5" hidden="false" customHeight="true" outlineLevel="0" collapsed="false">
      <c r="A167" s="23" t="str">
        <f aca="false">IF(PRESUPUESTO!$A161="Ítem",PRESUPUESTO!B161,"")</f>
        <v/>
      </c>
      <c r="B167" s="23" t="str">
        <f aca="false">IF(PRESUPUESTO!C161="","",PRESUPUESTO!C161)</f>
        <v/>
      </c>
      <c r="C167" s="86" t="str">
        <f aca="false">IF(PRESUPUESTO!$A161="Ítem",PRESUPUESTO!D161,"")</f>
        <v/>
      </c>
      <c r="D167" s="87" t="str">
        <f aca="false">IF(PRESUPUESTO!$A161="Ítem",PRESUPUESTO!E161,"")</f>
        <v/>
      </c>
      <c r="E167" s="10" t="str">
        <f aca="false">IF(D167="","",N(PRESUPUESTO!J161))</f>
        <v/>
      </c>
      <c r="F167" s="16"/>
      <c r="G167" s="10" t="str">
        <f aca="false">IF(D167="","",D167*E167)</f>
        <v/>
      </c>
      <c r="H167" s="10" t="str">
        <f aca="false">IF(D167="","",D167*N(F167))</f>
        <v/>
      </c>
      <c r="I167" s="10" t="str">
        <f aca="false">IF(D167="","",G167-H167)</f>
        <v/>
      </c>
      <c r="J167" s="80"/>
      <c r="K167" s="80"/>
      <c r="L167" s="80"/>
      <c r="M167" s="80"/>
      <c r="N167" s="80"/>
      <c r="O167" s="80"/>
      <c r="P167" s="88" t="str">
        <f aca="false">IF(D167="","",SUM(J167:O167))</f>
        <v/>
      </c>
      <c r="Q167" s="87" t="str">
        <f aca="false">IF(D167="","",D167-P167)</f>
        <v/>
      </c>
      <c r="R167" s="36" t="str">
        <f aca="false">IF(OR(D167="",N(D167)=0),"",P167/D167)</f>
        <v/>
      </c>
      <c r="S167" s="10" t="str">
        <f aca="false">IF(D167="","",P167*N(F167))</f>
        <v/>
      </c>
      <c r="T167" s="10" t="str">
        <f aca="false">IF(D167="","",Q167*N(F167))</f>
        <v/>
      </c>
      <c r="U167" s="6"/>
      <c r="V167" s="83"/>
      <c r="W167" s="15"/>
      <c r="X167" s="15"/>
      <c r="Y167" s="15"/>
      <c r="Z167" s="93"/>
      <c r="AA167" s="93"/>
      <c r="AB167" s="93"/>
      <c r="AC167" s="10" t="str">
        <f aca="false">IF(X167="","",IFERROR(INDEX(t_Hora,MATCH(X167,t_Cargo,0)),0))</f>
        <v/>
      </c>
      <c r="AD167" s="94" t="str">
        <f aca="false">IF(X167="","",N(Z167)*IF(AA167="",IFERROR(INDEX(t_Horas,MATCH(X167,t_Cargo,0)),8),AA167)+N(AB167))</f>
        <v/>
      </c>
      <c r="AE167" s="37" t="str">
        <f aca="false">IF(X167="","",AC167*(N(Z167)*IF(AA167="",IFERROR(INDEX(t_Horas,MATCH(X167,t_Cargo,0)),8),AA167)+N(AB167)*(1+p_Extra)))</f>
        <v/>
      </c>
      <c r="AF167" s="15"/>
    </row>
    <row r="168" customFormat="false" ht="16.5" hidden="false" customHeight="true" outlineLevel="0" collapsed="false">
      <c r="A168" s="23" t="str">
        <f aca="false">IF(PRESUPUESTO!$A162="Ítem",PRESUPUESTO!B162,"")</f>
        <v/>
      </c>
      <c r="B168" s="23" t="str">
        <f aca="false">IF(PRESUPUESTO!C162="","",PRESUPUESTO!C162)</f>
        <v/>
      </c>
      <c r="C168" s="86" t="str">
        <f aca="false">IF(PRESUPUESTO!$A162="Ítem",PRESUPUESTO!D162,"")</f>
        <v/>
      </c>
      <c r="D168" s="87" t="str">
        <f aca="false">IF(PRESUPUESTO!$A162="Ítem",PRESUPUESTO!E162,"")</f>
        <v/>
      </c>
      <c r="E168" s="10" t="str">
        <f aca="false">IF(D168="","",N(PRESUPUESTO!J162))</f>
        <v/>
      </c>
      <c r="F168" s="16"/>
      <c r="G168" s="10" t="str">
        <f aca="false">IF(D168="","",D168*E168)</f>
        <v/>
      </c>
      <c r="H168" s="10" t="str">
        <f aca="false">IF(D168="","",D168*N(F168))</f>
        <v/>
      </c>
      <c r="I168" s="10" t="str">
        <f aca="false">IF(D168="","",G168-H168)</f>
        <v/>
      </c>
      <c r="J168" s="80"/>
      <c r="K168" s="80"/>
      <c r="L168" s="80"/>
      <c r="M168" s="80"/>
      <c r="N168" s="80"/>
      <c r="O168" s="80"/>
      <c r="P168" s="88" t="str">
        <f aca="false">IF(D168="","",SUM(J168:O168))</f>
        <v/>
      </c>
      <c r="Q168" s="87" t="str">
        <f aca="false">IF(D168="","",D168-P168)</f>
        <v/>
      </c>
      <c r="R168" s="36" t="str">
        <f aca="false">IF(OR(D168="",N(D168)=0),"",P168/D168)</f>
        <v/>
      </c>
      <c r="S168" s="10" t="str">
        <f aca="false">IF(D168="","",P168*N(F168))</f>
        <v/>
      </c>
      <c r="T168" s="10" t="str">
        <f aca="false">IF(D168="","",Q168*N(F168))</f>
        <v/>
      </c>
      <c r="U168" s="6"/>
      <c r="V168" s="83"/>
      <c r="W168" s="15"/>
      <c r="X168" s="15"/>
      <c r="Y168" s="15"/>
      <c r="Z168" s="93"/>
      <c r="AA168" s="93"/>
      <c r="AB168" s="93"/>
      <c r="AC168" s="10" t="str">
        <f aca="false">IF(X168="","",IFERROR(INDEX(t_Hora,MATCH(X168,t_Cargo,0)),0))</f>
        <v/>
      </c>
      <c r="AD168" s="94" t="str">
        <f aca="false">IF(X168="","",N(Z168)*IF(AA168="",IFERROR(INDEX(t_Horas,MATCH(X168,t_Cargo,0)),8),AA168)+N(AB168))</f>
        <v/>
      </c>
      <c r="AE168" s="37" t="str">
        <f aca="false">IF(X168="","",AC168*(N(Z168)*IF(AA168="",IFERROR(INDEX(t_Horas,MATCH(X168,t_Cargo,0)),8),AA168)+N(AB168)*(1+p_Extra)))</f>
        <v/>
      </c>
      <c r="AF168" s="15"/>
    </row>
    <row r="169" customFormat="false" ht="16.5" hidden="false" customHeight="true" outlineLevel="0" collapsed="false">
      <c r="A169" s="23" t="str">
        <f aca="false">IF(PRESUPUESTO!$A163="Ítem",PRESUPUESTO!B163,"")</f>
        <v/>
      </c>
      <c r="B169" s="23" t="str">
        <f aca="false">IF(PRESUPUESTO!C163="","",PRESUPUESTO!C163)</f>
        <v/>
      </c>
      <c r="C169" s="86" t="str">
        <f aca="false">IF(PRESUPUESTO!$A163="Ítem",PRESUPUESTO!D163,"")</f>
        <v/>
      </c>
      <c r="D169" s="87" t="str">
        <f aca="false">IF(PRESUPUESTO!$A163="Ítem",PRESUPUESTO!E163,"")</f>
        <v/>
      </c>
      <c r="E169" s="10" t="str">
        <f aca="false">IF(D169="","",N(PRESUPUESTO!J163))</f>
        <v/>
      </c>
      <c r="F169" s="16"/>
      <c r="G169" s="10" t="str">
        <f aca="false">IF(D169="","",D169*E169)</f>
        <v/>
      </c>
      <c r="H169" s="10" t="str">
        <f aca="false">IF(D169="","",D169*N(F169))</f>
        <v/>
      </c>
      <c r="I169" s="10" t="str">
        <f aca="false">IF(D169="","",G169-H169)</f>
        <v/>
      </c>
      <c r="J169" s="80"/>
      <c r="K169" s="80"/>
      <c r="L169" s="80"/>
      <c r="M169" s="80"/>
      <c r="N169" s="80"/>
      <c r="O169" s="80"/>
      <c r="P169" s="88" t="str">
        <f aca="false">IF(D169="","",SUM(J169:O169))</f>
        <v/>
      </c>
      <c r="Q169" s="87" t="str">
        <f aca="false">IF(D169="","",D169-P169)</f>
        <v/>
      </c>
      <c r="R169" s="36" t="str">
        <f aca="false">IF(OR(D169="",N(D169)=0),"",P169/D169)</f>
        <v/>
      </c>
      <c r="S169" s="10" t="str">
        <f aca="false">IF(D169="","",P169*N(F169))</f>
        <v/>
      </c>
      <c r="T169" s="10" t="str">
        <f aca="false">IF(D169="","",Q169*N(F169))</f>
        <v/>
      </c>
      <c r="U169" s="6"/>
      <c r="V169" s="83"/>
      <c r="W169" s="15"/>
      <c r="X169" s="15"/>
      <c r="Y169" s="15"/>
      <c r="Z169" s="93"/>
      <c r="AA169" s="93"/>
      <c r="AB169" s="93"/>
      <c r="AC169" s="10" t="str">
        <f aca="false">IF(X169="","",IFERROR(INDEX(t_Hora,MATCH(X169,t_Cargo,0)),0))</f>
        <v/>
      </c>
      <c r="AD169" s="94" t="str">
        <f aca="false">IF(X169="","",N(Z169)*IF(AA169="",IFERROR(INDEX(t_Horas,MATCH(X169,t_Cargo,0)),8),AA169)+N(AB169))</f>
        <v/>
      </c>
      <c r="AE169" s="37" t="str">
        <f aca="false">IF(X169="","",AC169*(N(Z169)*IF(AA169="",IFERROR(INDEX(t_Horas,MATCH(X169,t_Cargo,0)),8),AA169)+N(AB169)*(1+p_Extra)))</f>
        <v/>
      </c>
      <c r="AF169" s="15"/>
    </row>
    <row r="170" customFormat="false" ht="16.5" hidden="false" customHeight="true" outlineLevel="0" collapsed="false">
      <c r="A170" s="23" t="str">
        <f aca="false">IF(PRESUPUESTO!$A164="Ítem",PRESUPUESTO!B164,"")</f>
        <v/>
      </c>
      <c r="B170" s="23" t="str">
        <f aca="false">IF(PRESUPUESTO!C164="","",PRESUPUESTO!C164)</f>
        <v/>
      </c>
      <c r="C170" s="86" t="str">
        <f aca="false">IF(PRESUPUESTO!$A164="Ítem",PRESUPUESTO!D164,"")</f>
        <v/>
      </c>
      <c r="D170" s="87" t="str">
        <f aca="false">IF(PRESUPUESTO!$A164="Ítem",PRESUPUESTO!E164,"")</f>
        <v/>
      </c>
      <c r="E170" s="10" t="str">
        <f aca="false">IF(D170="","",N(PRESUPUESTO!J164))</f>
        <v/>
      </c>
      <c r="F170" s="16"/>
      <c r="G170" s="10" t="str">
        <f aca="false">IF(D170="","",D170*E170)</f>
        <v/>
      </c>
      <c r="H170" s="10" t="str">
        <f aca="false">IF(D170="","",D170*N(F170))</f>
        <v/>
      </c>
      <c r="I170" s="10" t="str">
        <f aca="false">IF(D170="","",G170-H170)</f>
        <v/>
      </c>
      <c r="J170" s="80"/>
      <c r="K170" s="80"/>
      <c r="L170" s="80"/>
      <c r="M170" s="80"/>
      <c r="N170" s="80"/>
      <c r="O170" s="80"/>
      <c r="P170" s="88" t="str">
        <f aca="false">IF(D170="","",SUM(J170:O170))</f>
        <v/>
      </c>
      <c r="Q170" s="87" t="str">
        <f aca="false">IF(D170="","",D170-P170)</f>
        <v/>
      </c>
      <c r="R170" s="36" t="str">
        <f aca="false">IF(OR(D170="",N(D170)=0),"",P170/D170)</f>
        <v/>
      </c>
      <c r="S170" s="10" t="str">
        <f aca="false">IF(D170="","",P170*N(F170))</f>
        <v/>
      </c>
      <c r="T170" s="10" t="str">
        <f aca="false">IF(D170="","",Q170*N(F170))</f>
        <v/>
      </c>
      <c r="U170" s="6"/>
      <c r="V170" s="83"/>
      <c r="W170" s="15"/>
      <c r="X170" s="15"/>
      <c r="Y170" s="15"/>
      <c r="Z170" s="93"/>
      <c r="AA170" s="93"/>
      <c r="AB170" s="93"/>
      <c r="AC170" s="10" t="str">
        <f aca="false">IF(X170="","",IFERROR(INDEX(t_Hora,MATCH(X170,t_Cargo,0)),0))</f>
        <v/>
      </c>
      <c r="AD170" s="94" t="str">
        <f aca="false">IF(X170="","",N(Z170)*IF(AA170="",IFERROR(INDEX(t_Horas,MATCH(X170,t_Cargo,0)),8),AA170)+N(AB170))</f>
        <v/>
      </c>
      <c r="AE170" s="37" t="str">
        <f aca="false">IF(X170="","",AC170*(N(Z170)*IF(AA170="",IFERROR(INDEX(t_Horas,MATCH(X170,t_Cargo,0)),8),AA170)+N(AB170)*(1+p_Extra)))</f>
        <v/>
      </c>
      <c r="AF170" s="15"/>
    </row>
    <row r="171" customFormat="false" ht="16.5" hidden="false" customHeight="true" outlineLevel="0" collapsed="false">
      <c r="A171" s="23" t="str">
        <f aca="false">IF(PRESUPUESTO!$A165="Ítem",PRESUPUESTO!B165,"")</f>
        <v/>
      </c>
      <c r="B171" s="23" t="str">
        <f aca="false">IF(PRESUPUESTO!C165="","",PRESUPUESTO!C165)</f>
        <v/>
      </c>
      <c r="C171" s="86" t="str">
        <f aca="false">IF(PRESUPUESTO!$A165="Ítem",PRESUPUESTO!D165,"")</f>
        <v/>
      </c>
      <c r="D171" s="87" t="str">
        <f aca="false">IF(PRESUPUESTO!$A165="Ítem",PRESUPUESTO!E165,"")</f>
        <v/>
      </c>
      <c r="E171" s="10" t="str">
        <f aca="false">IF(D171="","",N(PRESUPUESTO!J165))</f>
        <v/>
      </c>
      <c r="F171" s="16"/>
      <c r="G171" s="10" t="str">
        <f aca="false">IF(D171="","",D171*E171)</f>
        <v/>
      </c>
      <c r="H171" s="10" t="str">
        <f aca="false">IF(D171="","",D171*N(F171))</f>
        <v/>
      </c>
      <c r="I171" s="10" t="str">
        <f aca="false">IF(D171="","",G171-H171)</f>
        <v/>
      </c>
      <c r="J171" s="80"/>
      <c r="K171" s="80"/>
      <c r="L171" s="80"/>
      <c r="M171" s="80"/>
      <c r="N171" s="80"/>
      <c r="O171" s="80"/>
      <c r="P171" s="88" t="str">
        <f aca="false">IF(D171="","",SUM(J171:O171))</f>
        <v/>
      </c>
      <c r="Q171" s="87" t="str">
        <f aca="false">IF(D171="","",D171-P171)</f>
        <v/>
      </c>
      <c r="R171" s="36" t="str">
        <f aca="false">IF(OR(D171="",N(D171)=0),"",P171/D171)</f>
        <v/>
      </c>
      <c r="S171" s="10" t="str">
        <f aca="false">IF(D171="","",P171*N(F171))</f>
        <v/>
      </c>
      <c r="T171" s="10" t="str">
        <f aca="false">IF(D171="","",Q171*N(F171))</f>
        <v/>
      </c>
      <c r="U171" s="6"/>
      <c r="V171" s="83"/>
      <c r="W171" s="15"/>
      <c r="X171" s="15"/>
      <c r="Y171" s="15"/>
      <c r="Z171" s="93"/>
      <c r="AA171" s="93"/>
      <c r="AB171" s="93"/>
      <c r="AC171" s="10" t="str">
        <f aca="false">IF(X171="","",IFERROR(INDEX(t_Hora,MATCH(X171,t_Cargo,0)),0))</f>
        <v/>
      </c>
      <c r="AD171" s="94" t="str">
        <f aca="false">IF(X171="","",N(Z171)*IF(AA171="",IFERROR(INDEX(t_Horas,MATCH(X171,t_Cargo,0)),8),AA171)+N(AB171))</f>
        <v/>
      </c>
      <c r="AE171" s="37" t="str">
        <f aca="false">IF(X171="","",AC171*(N(Z171)*IF(AA171="",IFERROR(INDEX(t_Horas,MATCH(X171,t_Cargo,0)),8),AA171)+N(AB171)*(1+p_Extra)))</f>
        <v/>
      </c>
      <c r="AF171" s="15"/>
    </row>
    <row r="172" customFormat="false" ht="16.5" hidden="false" customHeight="true" outlineLevel="0" collapsed="false">
      <c r="A172" s="23" t="str">
        <f aca="false">IF(PRESUPUESTO!$A166="Ítem",PRESUPUESTO!B166,"")</f>
        <v/>
      </c>
      <c r="B172" s="23" t="str">
        <f aca="false">IF(PRESUPUESTO!C166="","",PRESUPUESTO!C166)</f>
        <v/>
      </c>
      <c r="C172" s="86" t="str">
        <f aca="false">IF(PRESUPUESTO!$A166="Ítem",PRESUPUESTO!D166,"")</f>
        <v/>
      </c>
      <c r="D172" s="87" t="str">
        <f aca="false">IF(PRESUPUESTO!$A166="Ítem",PRESUPUESTO!E166,"")</f>
        <v/>
      </c>
      <c r="E172" s="10" t="str">
        <f aca="false">IF(D172="","",N(PRESUPUESTO!J166))</f>
        <v/>
      </c>
      <c r="F172" s="16"/>
      <c r="G172" s="10" t="str">
        <f aca="false">IF(D172="","",D172*E172)</f>
        <v/>
      </c>
      <c r="H172" s="10" t="str">
        <f aca="false">IF(D172="","",D172*N(F172))</f>
        <v/>
      </c>
      <c r="I172" s="10" t="str">
        <f aca="false">IF(D172="","",G172-H172)</f>
        <v/>
      </c>
      <c r="J172" s="80"/>
      <c r="K172" s="80"/>
      <c r="L172" s="80"/>
      <c r="M172" s="80"/>
      <c r="N172" s="80"/>
      <c r="O172" s="80"/>
      <c r="P172" s="88" t="str">
        <f aca="false">IF(D172="","",SUM(J172:O172))</f>
        <v/>
      </c>
      <c r="Q172" s="87" t="str">
        <f aca="false">IF(D172="","",D172-P172)</f>
        <v/>
      </c>
      <c r="R172" s="36" t="str">
        <f aca="false">IF(OR(D172="",N(D172)=0),"",P172/D172)</f>
        <v/>
      </c>
      <c r="S172" s="10" t="str">
        <f aca="false">IF(D172="","",P172*N(F172))</f>
        <v/>
      </c>
      <c r="T172" s="10" t="str">
        <f aca="false">IF(D172="","",Q172*N(F172))</f>
        <v/>
      </c>
      <c r="U172" s="6"/>
      <c r="V172" s="83"/>
      <c r="W172" s="15"/>
      <c r="X172" s="15"/>
      <c r="Y172" s="15"/>
      <c r="Z172" s="93"/>
      <c r="AA172" s="93"/>
      <c r="AB172" s="93"/>
      <c r="AC172" s="10" t="str">
        <f aca="false">IF(X172="","",IFERROR(INDEX(t_Hora,MATCH(X172,t_Cargo,0)),0))</f>
        <v/>
      </c>
      <c r="AD172" s="94" t="str">
        <f aca="false">IF(X172="","",N(Z172)*IF(AA172="",IFERROR(INDEX(t_Horas,MATCH(X172,t_Cargo,0)),8),AA172)+N(AB172))</f>
        <v/>
      </c>
      <c r="AE172" s="37" t="str">
        <f aca="false">IF(X172="","",AC172*(N(Z172)*IF(AA172="",IFERROR(INDEX(t_Horas,MATCH(X172,t_Cargo,0)),8),AA172)+N(AB172)*(1+p_Extra)))</f>
        <v/>
      </c>
      <c r="AF172" s="15"/>
    </row>
    <row r="173" customFormat="false" ht="16.5" hidden="false" customHeight="true" outlineLevel="0" collapsed="false">
      <c r="A173" s="23" t="str">
        <f aca="false">IF(PRESUPUESTO!$A167="Ítem",PRESUPUESTO!B167,"")</f>
        <v/>
      </c>
      <c r="B173" s="23" t="str">
        <f aca="false">IF(PRESUPUESTO!C167="","",PRESUPUESTO!C167)</f>
        <v/>
      </c>
      <c r="C173" s="86" t="str">
        <f aca="false">IF(PRESUPUESTO!$A167="Ítem",PRESUPUESTO!D167,"")</f>
        <v/>
      </c>
      <c r="D173" s="87" t="str">
        <f aca="false">IF(PRESUPUESTO!$A167="Ítem",PRESUPUESTO!E167,"")</f>
        <v/>
      </c>
      <c r="E173" s="10" t="str">
        <f aca="false">IF(D173="","",N(PRESUPUESTO!J167))</f>
        <v/>
      </c>
      <c r="F173" s="16"/>
      <c r="G173" s="10" t="str">
        <f aca="false">IF(D173="","",D173*E173)</f>
        <v/>
      </c>
      <c r="H173" s="10" t="str">
        <f aca="false">IF(D173="","",D173*N(F173))</f>
        <v/>
      </c>
      <c r="I173" s="10" t="str">
        <f aca="false">IF(D173="","",G173-H173)</f>
        <v/>
      </c>
      <c r="J173" s="80"/>
      <c r="K173" s="80"/>
      <c r="L173" s="80"/>
      <c r="M173" s="80"/>
      <c r="N173" s="80"/>
      <c r="O173" s="80"/>
      <c r="P173" s="88" t="str">
        <f aca="false">IF(D173="","",SUM(J173:O173))</f>
        <v/>
      </c>
      <c r="Q173" s="87" t="str">
        <f aca="false">IF(D173="","",D173-P173)</f>
        <v/>
      </c>
      <c r="R173" s="36" t="str">
        <f aca="false">IF(OR(D173="",N(D173)=0),"",P173/D173)</f>
        <v/>
      </c>
      <c r="S173" s="10" t="str">
        <f aca="false">IF(D173="","",P173*N(F173))</f>
        <v/>
      </c>
      <c r="T173" s="10" t="str">
        <f aca="false">IF(D173="","",Q173*N(F173))</f>
        <v/>
      </c>
      <c r="U173" s="6"/>
      <c r="V173" s="83"/>
      <c r="W173" s="15"/>
      <c r="X173" s="15"/>
      <c r="Y173" s="15"/>
      <c r="Z173" s="93"/>
      <c r="AA173" s="93"/>
      <c r="AB173" s="93"/>
      <c r="AC173" s="10" t="str">
        <f aca="false">IF(X173="","",IFERROR(INDEX(t_Hora,MATCH(X173,t_Cargo,0)),0))</f>
        <v/>
      </c>
      <c r="AD173" s="94" t="str">
        <f aca="false">IF(X173="","",N(Z173)*IF(AA173="",IFERROR(INDEX(t_Horas,MATCH(X173,t_Cargo,0)),8),AA173)+N(AB173))</f>
        <v/>
      </c>
      <c r="AE173" s="37" t="str">
        <f aca="false">IF(X173="","",AC173*(N(Z173)*IF(AA173="",IFERROR(INDEX(t_Horas,MATCH(X173,t_Cargo,0)),8),AA173)+N(AB173)*(1+p_Extra)))</f>
        <v/>
      </c>
      <c r="AF173" s="15"/>
    </row>
    <row r="174" customFormat="false" ht="16.5" hidden="false" customHeight="true" outlineLevel="0" collapsed="false">
      <c r="A174" s="23" t="str">
        <f aca="false">IF(PRESUPUESTO!$A168="Ítem",PRESUPUESTO!B168,"")</f>
        <v/>
      </c>
      <c r="B174" s="23" t="str">
        <f aca="false">IF(PRESUPUESTO!C168="","",PRESUPUESTO!C168)</f>
        <v/>
      </c>
      <c r="C174" s="86" t="str">
        <f aca="false">IF(PRESUPUESTO!$A168="Ítem",PRESUPUESTO!D168,"")</f>
        <v/>
      </c>
      <c r="D174" s="87" t="str">
        <f aca="false">IF(PRESUPUESTO!$A168="Ítem",PRESUPUESTO!E168,"")</f>
        <v/>
      </c>
      <c r="E174" s="10" t="str">
        <f aca="false">IF(D174="","",N(PRESUPUESTO!J168))</f>
        <v/>
      </c>
      <c r="F174" s="16"/>
      <c r="G174" s="10" t="str">
        <f aca="false">IF(D174="","",D174*E174)</f>
        <v/>
      </c>
      <c r="H174" s="10" t="str">
        <f aca="false">IF(D174="","",D174*N(F174))</f>
        <v/>
      </c>
      <c r="I174" s="10" t="str">
        <f aca="false">IF(D174="","",G174-H174)</f>
        <v/>
      </c>
      <c r="J174" s="80"/>
      <c r="K174" s="80"/>
      <c r="L174" s="80"/>
      <c r="M174" s="80"/>
      <c r="N174" s="80"/>
      <c r="O174" s="80"/>
      <c r="P174" s="88" t="str">
        <f aca="false">IF(D174="","",SUM(J174:O174))</f>
        <v/>
      </c>
      <c r="Q174" s="87" t="str">
        <f aca="false">IF(D174="","",D174-P174)</f>
        <v/>
      </c>
      <c r="R174" s="36" t="str">
        <f aca="false">IF(OR(D174="",N(D174)=0),"",P174/D174)</f>
        <v/>
      </c>
      <c r="S174" s="10" t="str">
        <f aca="false">IF(D174="","",P174*N(F174))</f>
        <v/>
      </c>
      <c r="T174" s="10" t="str">
        <f aca="false">IF(D174="","",Q174*N(F174))</f>
        <v/>
      </c>
      <c r="U174" s="6"/>
      <c r="V174" s="83"/>
      <c r="W174" s="15"/>
      <c r="X174" s="15"/>
      <c r="Y174" s="15"/>
      <c r="Z174" s="93"/>
      <c r="AA174" s="93"/>
      <c r="AB174" s="93"/>
      <c r="AC174" s="10" t="str">
        <f aca="false">IF(X174="","",IFERROR(INDEX(t_Hora,MATCH(X174,t_Cargo,0)),0))</f>
        <v/>
      </c>
      <c r="AD174" s="94" t="str">
        <f aca="false">IF(X174="","",N(Z174)*IF(AA174="",IFERROR(INDEX(t_Horas,MATCH(X174,t_Cargo,0)),8),AA174)+N(AB174))</f>
        <v/>
      </c>
      <c r="AE174" s="37" t="str">
        <f aca="false">IF(X174="","",AC174*(N(Z174)*IF(AA174="",IFERROR(INDEX(t_Horas,MATCH(X174,t_Cargo,0)),8),AA174)+N(AB174)*(1+p_Extra)))</f>
        <v/>
      </c>
      <c r="AF174" s="15"/>
    </row>
    <row r="175" customFormat="false" ht="16.5" hidden="false" customHeight="true" outlineLevel="0" collapsed="false">
      <c r="A175" s="23" t="str">
        <f aca="false">IF(PRESUPUESTO!$A169="Ítem",PRESUPUESTO!B169,"")</f>
        <v/>
      </c>
      <c r="B175" s="23" t="str">
        <f aca="false">IF(PRESUPUESTO!C169="","",PRESUPUESTO!C169)</f>
        <v/>
      </c>
      <c r="C175" s="86" t="str">
        <f aca="false">IF(PRESUPUESTO!$A169="Ítem",PRESUPUESTO!D169,"")</f>
        <v/>
      </c>
      <c r="D175" s="87" t="str">
        <f aca="false">IF(PRESUPUESTO!$A169="Ítem",PRESUPUESTO!E169,"")</f>
        <v/>
      </c>
      <c r="E175" s="10" t="str">
        <f aca="false">IF(D175="","",N(PRESUPUESTO!J169))</f>
        <v/>
      </c>
      <c r="F175" s="16"/>
      <c r="G175" s="10" t="str">
        <f aca="false">IF(D175="","",D175*E175)</f>
        <v/>
      </c>
      <c r="H175" s="10" t="str">
        <f aca="false">IF(D175="","",D175*N(F175))</f>
        <v/>
      </c>
      <c r="I175" s="10" t="str">
        <f aca="false">IF(D175="","",G175-H175)</f>
        <v/>
      </c>
      <c r="J175" s="80"/>
      <c r="K175" s="80"/>
      <c r="L175" s="80"/>
      <c r="M175" s="80"/>
      <c r="N175" s="80"/>
      <c r="O175" s="80"/>
      <c r="P175" s="88" t="str">
        <f aca="false">IF(D175="","",SUM(J175:O175))</f>
        <v/>
      </c>
      <c r="Q175" s="87" t="str">
        <f aca="false">IF(D175="","",D175-P175)</f>
        <v/>
      </c>
      <c r="R175" s="36" t="str">
        <f aca="false">IF(OR(D175="",N(D175)=0),"",P175/D175)</f>
        <v/>
      </c>
      <c r="S175" s="10" t="str">
        <f aca="false">IF(D175="","",P175*N(F175))</f>
        <v/>
      </c>
      <c r="T175" s="10" t="str">
        <f aca="false">IF(D175="","",Q175*N(F175))</f>
        <v/>
      </c>
      <c r="U175" s="6"/>
      <c r="V175" s="83"/>
      <c r="W175" s="15"/>
      <c r="X175" s="15"/>
      <c r="Y175" s="15"/>
      <c r="Z175" s="93"/>
      <c r="AA175" s="93"/>
      <c r="AB175" s="93"/>
      <c r="AC175" s="10" t="str">
        <f aca="false">IF(X175="","",IFERROR(INDEX(t_Hora,MATCH(X175,t_Cargo,0)),0))</f>
        <v/>
      </c>
      <c r="AD175" s="94" t="str">
        <f aca="false">IF(X175="","",N(Z175)*IF(AA175="",IFERROR(INDEX(t_Horas,MATCH(X175,t_Cargo,0)),8),AA175)+N(AB175))</f>
        <v/>
      </c>
      <c r="AE175" s="37" t="str">
        <f aca="false">IF(X175="","",AC175*(N(Z175)*IF(AA175="",IFERROR(INDEX(t_Horas,MATCH(X175,t_Cargo,0)),8),AA175)+N(AB175)*(1+p_Extra)))</f>
        <v/>
      </c>
      <c r="AF175" s="15"/>
    </row>
    <row r="176" customFormat="false" ht="16.5" hidden="false" customHeight="true" outlineLevel="0" collapsed="false">
      <c r="A176" s="23" t="str">
        <f aca="false">IF(PRESUPUESTO!$A170="Ítem",PRESUPUESTO!B170,"")</f>
        <v/>
      </c>
      <c r="B176" s="23" t="str">
        <f aca="false">IF(PRESUPUESTO!C170="","",PRESUPUESTO!C170)</f>
        <v/>
      </c>
      <c r="C176" s="86" t="str">
        <f aca="false">IF(PRESUPUESTO!$A170="Ítem",PRESUPUESTO!D170,"")</f>
        <v/>
      </c>
      <c r="D176" s="87" t="str">
        <f aca="false">IF(PRESUPUESTO!$A170="Ítem",PRESUPUESTO!E170,"")</f>
        <v/>
      </c>
      <c r="E176" s="10" t="str">
        <f aca="false">IF(D176="","",N(PRESUPUESTO!J170))</f>
        <v/>
      </c>
      <c r="F176" s="16"/>
      <c r="G176" s="10" t="str">
        <f aca="false">IF(D176="","",D176*E176)</f>
        <v/>
      </c>
      <c r="H176" s="10" t="str">
        <f aca="false">IF(D176="","",D176*N(F176))</f>
        <v/>
      </c>
      <c r="I176" s="10" t="str">
        <f aca="false">IF(D176="","",G176-H176)</f>
        <v/>
      </c>
      <c r="J176" s="80"/>
      <c r="K176" s="80"/>
      <c r="L176" s="80"/>
      <c r="M176" s="80"/>
      <c r="N176" s="80"/>
      <c r="O176" s="80"/>
      <c r="P176" s="88" t="str">
        <f aca="false">IF(D176="","",SUM(J176:O176))</f>
        <v/>
      </c>
      <c r="Q176" s="87" t="str">
        <f aca="false">IF(D176="","",D176-P176)</f>
        <v/>
      </c>
      <c r="R176" s="36" t="str">
        <f aca="false">IF(OR(D176="",N(D176)=0),"",P176/D176)</f>
        <v/>
      </c>
      <c r="S176" s="10" t="str">
        <f aca="false">IF(D176="","",P176*N(F176))</f>
        <v/>
      </c>
      <c r="T176" s="10" t="str">
        <f aca="false">IF(D176="","",Q176*N(F176))</f>
        <v/>
      </c>
      <c r="U176" s="6"/>
      <c r="V176" s="83"/>
      <c r="W176" s="15"/>
      <c r="X176" s="15"/>
      <c r="Y176" s="15"/>
      <c r="Z176" s="93"/>
      <c r="AA176" s="93"/>
      <c r="AB176" s="93"/>
      <c r="AC176" s="10" t="str">
        <f aca="false">IF(X176="","",IFERROR(INDEX(t_Hora,MATCH(X176,t_Cargo,0)),0))</f>
        <v/>
      </c>
      <c r="AD176" s="94" t="str">
        <f aca="false">IF(X176="","",N(Z176)*IF(AA176="",IFERROR(INDEX(t_Horas,MATCH(X176,t_Cargo,0)),8),AA176)+N(AB176))</f>
        <v/>
      </c>
      <c r="AE176" s="37" t="str">
        <f aca="false">IF(X176="","",AC176*(N(Z176)*IF(AA176="",IFERROR(INDEX(t_Horas,MATCH(X176,t_Cargo,0)),8),AA176)+N(AB176)*(1+p_Extra)))</f>
        <v/>
      </c>
      <c r="AF176" s="15"/>
    </row>
    <row r="177" customFormat="false" ht="16.5" hidden="false" customHeight="true" outlineLevel="0" collapsed="false">
      <c r="A177" s="23" t="str">
        <f aca="false">IF(PRESUPUESTO!$A171="Ítem",PRESUPUESTO!B171,"")</f>
        <v/>
      </c>
      <c r="B177" s="23" t="str">
        <f aca="false">IF(PRESUPUESTO!C171="","",PRESUPUESTO!C171)</f>
        <v/>
      </c>
      <c r="C177" s="86" t="str">
        <f aca="false">IF(PRESUPUESTO!$A171="Ítem",PRESUPUESTO!D171,"")</f>
        <v/>
      </c>
      <c r="D177" s="87" t="str">
        <f aca="false">IF(PRESUPUESTO!$A171="Ítem",PRESUPUESTO!E171,"")</f>
        <v/>
      </c>
      <c r="E177" s="10" t="str">
        <f aca="false">IF(D177="","",N(PRESUPUESTO!J171))</f>
        <v/>
      </c>
      <c r="F177" s="16"/>
      <c r="G177" s="10" t="str">
        <f aca="false">IF(D177="","",D177*E177)</f>
        <v/>
      </c>
      <c r="H177" s="10" t="str">
        <f aca="false">IF(D177="","",D177*N(F177))</f>
        <v/>
      </c>
      <c r="I177" s="10" t="str">
        <f aca="false">IF(D177="","",G177-H177)</f>
        <v/>
      </c>
      <c r="J177" s="80"/>
      <c r="K177" s="80"/>
      <c r="L177" s="80"/>
      <c r="M177" s="80"/>
      <c r="N177" s="80"/>
      <c r="O177" s="80"/>
      <c r="P177" s="88" t="str">
        <f aca="false">IF(D177="","",SUM(J177:O177))</f>
        <v/>
      </c>
      <c r="Q177" s="87" t="str">
        <f aca="false">IF(D177="","",D177-P177)</f>
        <v/>
      </c>
      <c r="R177" s="36" t="str">
        <f aca="false">IF(OR(D177="",N(D177)=0),"",P177/D177)</f>
        <v/>
      </c>
      <c r="S177" s="10" t="str">
        <f aca="false">IF(D177="","",P177*N(F177))</f>
        <v/>
      </c>
      <c r="T177" s="10" t="str">
        <f aca="false">IF(D177="","",Q177*N(F177))</f>
        <v/>
      </c>
      <c r="U177" s="6"/>
      <c r="V177" s="83"/>
      <c r="W177" s="15"/>
      <c r="X177" s="15"/>
      <c r="Y177" s="15"/>
      <c r="Z177" s="93"/>
      <c r="AA177" s="93"/>
      <c r="AB177" s="93"/>
      <c r="AC177" s="10" t="str">
        <f aca="false">IF(X177="","",IFERROR(INDEX(t_Hora,MATCH(X177,t_Cargo,0)),0))</f>
        <v/>
      </c>
      <c r="AD177" s="94" t="str">
        <f aca="false">IF(X177="","",N(Z177)*IF(AA177="",IFERROR(INDEX(t_Horas,MATCH(X177,t_Cargo,0)),8),AA177)+N(AB177))</f>
        <v/>
      </c>
      <c r="AE177" s="37" t="str">
        <f aca="false">IF(X177="","",AC177*(N(Z177)*IF(AA177="",IFERROR(INDEX(t_Horas,MATCH(X177,t_Cargo,0)),8),AA177)+N(AB177)*(1+p_Extra)))</f>
        <v/>
      </c>
      <c r="AF177" s="15"/>
    </row>
    <row r="178" customFormat="false" ht="16.5" hidden="false" customHeight="true" outlineLevel="0" collapsed="false">
      <c r="A178" s="23" t="str">
        <f aca="false">IF(PRESUPUESTO!$A172="Ítem",PRESUPUESTO!B172,"")</f>
        <v/>
      </c>
      <c r="B178" s="23" t="str">
        <f aca="false">IF(PRESUPUESTO!C172="","",PRESUPUESTO!C172)</f>
        <v/>
      </c>
      <c r="C178" s="86" t="str">
        <f aca="false">IF(PRESUPUESTO!$A172="Ítem",PRESUPUESTO!D172,"")</f>
        <v/>
      </c>
      <c r="D178" s="87" t="str">
        <f aca="false">IF(PRESUPUESTO!$A172="Ítem",PRESUPUESTO!E172,"")</f>
        <v/>
      </c>
      <c r="E178" s="10" t="str">
        <f aca="false">IF(D178="","",N(PRESUPUESTO!J172))</f>
        <v/>
      </c>
      <c r="F178" s="16"/>
      <c r="G178" s="10" t="str">
        <f aca="false">IF(D178="","",D178*E178)</f>
        <v/>
      </c>
      <c r="H178" s="10" t="str">
        <f aca="false">IF(D178="","",D178*N(F178))</f>
        <v/>
      </c>
      <c r="I178" s="10" t="str">
        <f aca="false">IF(D178="","",G178-H178)</f>
        <v/>
      </c>
      <c r="J178" s="80"/>
      <c r="K178" s="80"/>
      <c r="L178" s="80"/>
      <c r="M178" s="80"/>
      <c r="N178" s="80"/>
      <c r="O178" s="80"/>
      <c r="P178" s="88" t="str">
        <f aca="false">IF(D178="","",SUM(J178:O178))</f>
        <v/>
      </c>
      <c r="Q178" s="87" t="str">
        <f aca="false">IF(D178="","",D178-P178)</f>
        <v/>
      </c>
      <c r="R178" s="36" t="str">
        <f aca="false">IF(OR(D178="",N(D178)=0),"",P178/D178)</f>
        <v/>
      </c>
      <c r="S178" s="10" t="str">
        <f aca="false">IF(D178="","",P178*N(F178))</f>
        <v/>
      </c>
      <c r="T178" s="10" t="str">
        <f aca="false">IF(D178="","",Q178*N(F178))</f>
        <v/>
      </c>
      <c r="U178" s="6"/>
      <c r="V178" s="83"/>
      <c r="W178" s="15"/>
      <c r="X178" s="15"/>
      <c r="Y178" s="15"/>
      <c r="Z178" s="93"/>
      <c r="AA178" s="93"/>
      <c r="AB178" s="93"/>
      <c r="AC178" s="10" t="str">
        <f aca="false">IF(X178="","",IFERROR(INDEX(t_Hora,MATCH(X178,t_Cargo,0)),0))</f>
        <v/>
      </c>
      <c r="AD178" s="94" t="str">
        <f aca="false">IF(X178="","",N(Z178)*IF(AA178="",IFERROR(INDEX(t_Horas,MATCH(X178,t_Cargo,0)),8),AA178)+N(AB178))</f>
        <v/>
      </c>
      <c r="AE178" s="37" t="str">
        <f aca="false">IF(X178="","",AC178*(N(Z178)*IF(AA178="",IFERROR(INDEX(t_Horas,MATCH(X178,t_Cargo,0)),8),AA178)+N(AB178)*(1+p_Extra)))</f>
        <v/>
      </c>
      <c r="AF178" s="15"/>
    </row>
    <row r="179" customFormat="false" ht="16.5" hidden="false" customHeight="true" outlineLevel="0" collapsed="false">
      <c r="A179" s="23" t="str">
        <f aca="false">IF(PRESUPUESTO!$A173="Ítem",PRESUPUESTO!B173,"")</f>
        <v/>
      </c>
      <c r="B179" s="23" t="str">
        <f aca="false">IF(PRESUPUESTO!C173="","",PRESUPUESTO!C173)</f>
        <v/>
      </c>
      <c r="C179" s="86" t="str">
        <f aca="false">IF(PRESUPUESTO!$A173="Ítem",PRESUPUESTO!D173,"")</f>
        <v/>
      </c>
      <c r="D179" s="87" t="str">
        <f aca="false">IF(PRESUPUESTO!$A173="Ítem",PRESUPUESTO!E173,"")</f>
        <v/>
      </c>
      <c r="E179" s="10" t="str">
        <f aca="false">IF(D179="","",N(PRESUPUESTO!J173))</f>
        <v/>
      </c>
      <c r="F179" s="16"/>
      <c r="G179" s="10" t="str">
        <f aca="false">IF(D179="","",D179*E179)</f>
        <v/>
      </c>
      <c r="H179" s="10" t="str">
        <f aca="false">IF(D179="","",D179*N(F179))</f>
        <v/>
      </c>
      <c r="I179" s="10" t="str">
        <f aca="false">IF(D179="","",G179-H179)</f>
        <v/>
      </c>
      <c r="J179" s="80"/>
      <c r="K179" s="80"/>
      <c r="L179" s="80"/>
      <c r="M179" s="80"/>
      <c r="N179" s="80"/>
      <c r="O179" s="80"/>
      <c r="P179" s="88" t="str">
        <f aca="false">IF(D179="","",SUM(J179:O179))</f>
        <v/>
      </c>
      <c r="Q179" s="87" t="str">
        <f aca="false">IF(D179="","",D179-P179)</f>
        <v/>
      </c>
      <c r="R179" s="36" t="str">
        <f aca="false">IF(OR(D179="",N(D179)=0),"",P179/D179)</f>
        <v/>
      </c>
      <c r="S179" s="10" t="str">
        <f aca="false">IF(D179="","",P179*N(F179))</f>
        <v/>
      </c>
      <c r="T179" s="10" t="str">
        <f aca="false">IF(D179="","",Q179*N(F179))</f>
        <v/>
      </c>
      <c r="U179" s="6"/>
      <c r="V179" s="83"/>
      <c r="W179" s="15"/>
      <c r="X179" s="15"/>
      <c r="Y179" s="15"/>
      <c r="Z179" s="93"/>
      <c r="AA179" s="93"/>
      <c r="AB179" s="93"/>
      <c r="AC179" s="10" t="str">
        <f aca="false">IF(X179="","",IFERROR(INDEX(t_Hora,MATCH(X179,t_Cargo,0)),0))</f>
        <v/>
      </c>
      <c r="AD179" s="94" t="str">
        <f aca="false">IF(X179="","",N(Z179)*IF(AA179="",IFERROR(INDEX(t_Horas,MATCH(X179,t_Cargo,0)),8),AA179)+N(AB179))</f>
        <v/>
      </c>
      <c r="AE179" s="37" t="str">
        <f aca="false">IF(X179="","",AC179*(N(Z179)*IF(AA179="",IFERROR(INDEX(t_Horas,MATCH(X179,t_Cargo,0)),8),AA179)+N(AB179)*(1+p_Extra)))</f>
        <v/>
      </c>
      <c r="AF179" s="15"/>
    </row>
    <row r="180" customFormat="false" ht="16.5" hidden="false" customHeight="true" outlineLevel="0" collapsed="false">
      <c r="A180" s="23" t="str">
        <f aca="false">IF(PRESUPUESTO!$A174="Ítem",PRESUPUESTO!B174,"")</f>
        <v/>
      </c>
      <c r="B180" s="23" t="str">
        <f aca="false">IF(PRESUPUESTO!C174="","",PRESUPUESTO!C174)</f>
        <v/>
      </c>
      <c r="C180" s="86" t="str">
        <f aca="false">IF(PRESUPUESTO!$A174="Ítem",PRESUPUESTO!D174,"")</f>
        <v/>
      </c>
      <c r="D180" s="87" t="str">
        <f aca="false">IF(PRESUPUESTO!$A174="Ítem",PRESUPUESTO!E174,"")</f>
        <v/>
      </c>
      <c r="E180" s="10" t="str">
        <f aca="false">IF(D180="","",N(PRESUPUESTO!J174))</f>
        <v/>
      </c>
      <c r="F180" s="16"/>
      <c r="G180" s="10" t="str">
        <f aca="false">IF(D180="","",D180*E180)</f>
        <v/>
      </c>
      <c r="H180" s="10" t="str">
        <f aca="false">IF(D180="","",D180*N(F180))</f>
        <v/>
      </c>
      <c r="I180" s="10" t="str">
        <f aca="false">IF(D180="","",G180-H180)</f>
        <v/>
      </c>
      <c r="J180" s="80"/>
      <c r="K180" s="80"/>
      <c r="L180" s="80"/>
      <c r="M180" s="80"/>
      <c r="N180" s="80"/>
      <c r="O180" s="80"/>
      <c r="P180" s="88" t="str">
        <f aca="false">IF(D180="","",SUM(J180:O180))</f>
        <v/>
      </c>
      <c r="Q180" s="87" t="str">
        <f aca="false">IF(D180="","",D180-P180)</f>
        <v/>
      </c>
      <c r="R180" s="36" t="str">
        <f aca="false">IF(OR(D180="",N(D180)=0),"",P180/D180)</f>
        <v/>
      </c>
      <c r="S180" s="10" t="str">
        <f aca="false">IF(D180="","",P180*N(F180))</f>
        <v/>
      </c>
      <c r="T180" s="10" t="str">
        <f aca="false">IF(D180="","",Q180*N(F180))</f>
        <v/>
      </c>
      <c r="U180" s="6"/>
      <c r="V180" s="83"/>
      <c r="W180" s="15"/>
      <c r="X180" s="15"/>
      <c r="Y180" s="15"/>
      <c r="Z180" s="93"/>
      <c r="AA180" s="93"/>
      <c r="AB180" s="93"/>
      <c r="AC180" s="10" t="str">
        <f aca="false">IF(X180="","",IFERROR(INDEX(t_Hora,MATCH(X180,t_Cargo,0)),0))</f>
        <v/>
      </c>
      <c r="AD180" s="94" t="str">
        <f aca="false">IF(X180="","",N(Z180)*IF(AA180="",IFERROR(INDEX(t_Horas,MATCH(X180,t_Cargo,0)),8),AA180)+N(AB180))</f>
        <v/>
      </c>
      <c r="AE180" s="37" t="str">
        <f aca="false">IF(X180="","",AC180*(N(Z180)*IF(AA180="",IFERROR(INDEX(t_Horas,MATCH(X180,t_Cargo,0)),8),AA180)+N(AB180)*(1+p_Extra)))</f>
        <v/>
      </c>
      <c r="AF180" s="15"/>
    </row>
    <row r="181" customFormat="false" ht="16.5" hidden="false" customHeight="true" outlineLevel="0" collapsed="false">
      <c r="A181" s="23" t="str">
        <f aca="false">IF(PRESUPUESTO!$A175="Ítem",PRESUPUESTO!B175,"")</f>
        <v/>
      </c>
      <c r="B181" s="23" t="str">
        <f aca="false">IF(PRESUPUESTO!C175="","",PRESUPUESTO!C175)</f>
        <v/>
      </c>
      <c r="C181" s="86" t="str">
        <f aca="false">IF(PRESUPUESTO!$A175="Ítem",PRESUPUESTO!D175,"")</f>
        <v/>
      </c>
      <c r="D181" s="87" t="str">
        <f aca="false">IF(PRESUPUESTO!$A175="Ítem",PRESUPUESTO!E175,"")</f>
        <v/>
      </c>
      <c r="E181" s="10" t="str">
        <f aca="false">IF(D181="","",N(PRESUPUESTO!J175))</f>
        <v/>
      </c>
      <c r="F181" s="16"/>
      <c r="G181" s="10" t="str">
        <f aca="false">IF(D181="","",D181*E181)</f>
        <v/>
      </c>
      <c r="H181" s="10" t="str">
        <f aca="false">IF(D181="","",D181*N(F181))</f>
        <v/>
      </c>
      <c r="I181" s="10" t="str">
        <f aca="false">IF(D181="","",G181-H181)</f>
        <v/>
      </c>
      <c r="J181" s="80"/>
      <c r="K181" s="80"/>
      <c r="L181" s="80"/>
      <c r="M181" s="80"/>
      <c r="N181" s="80"/>
      <c r="O181" s="80"/>
      <c r="P181" s="88" t="str">
        <f aca="false">IF(D181="","",SUM(J181:O181))</f>
        <v/>
      </c>
      <c r="Q181" s="87" t="str">
        <f aca="false">IF(D181="","",D181-P181)</f>
        <v/>
      </c>
      <c r="R181" s="36" t="str">
        <f aca="false">IF(OR(D181="",N(D181)=0),"",P181/D181)</f>
        <v/>
      </c>
      <c r="S181" s="10" t="str">
        <f aca="false">IF(D181="","",P181*N(F181))</f>
        <v/>
      </c>
      <c r="T181" s="10" t="str">
        <f aca="false">IF(D181="","",Q181*N(F181))</f>
        <v/>
      </c>
      <c r="U181" s="6"/>
      <c r="V181" s="83"/>
      <c r="W181" s="15"/>
      <c r="X181" s="15"/>
      <c r="Y181" s="15"/>
      <c r="Z181" s="93"/>
      <c r="AA181" s="93"/>
      <c r="AB181" s="93"/>
      <c r="AC181" s="10" t="str">
        <f aca="false">IF(X181="","",IFERROR(INDEX(t_Hora,MATCH(X181,t_Cargo,0)),0))</f>
        <v/>
      </c>
      <c r="AD181" s="94" t="str">
        <f aca="false">IF(X181="","",N(Z181)*IF(AA181="",IFERROR(INDEX(t_Horas,MATCH(X181,t_Cargo,0)),8),AA181)+N(AB181))</f>
        <v/>
      </c>
      <c r="AE181" s="37" t="str">
        <f aca="false">IF(X181="","",AC181*(N(Z181)*IF(AA181="",IFERROR(INDEX(t_Horas,MATCH(X181,t_Cargo,0)),8),AA181)+N(AB181)*(1+p_Extra)))</f>
        <v/>
      </c>
      <c r="AF181" s="15"/>
    </row>
    <row r="182" customFormat="false" ht="16.5" hidden="false" customHeight="true" outlineLevel="0" collapsed="false">
      <c r="A182" s="23" t="str">
        <f aca="false">IF(PRESUPUESTO!$A176="Ítem",PRESUPUESTO!B176,"")</f>
        <v/>
      </c>
      <c r="B182" s="23" t="str">
        <f aca="false">IF(PRESUPUESTO!C176="","",PRESUPUESTO!C176)</f>
        <v/>
      </c>
      <c r="C182" s="86" t="str">
        <f aca="false">IF(PRESUPUESTO!$A176="Ítem",PRESUPUESTO!D176,"")</f>
        <v/>
      </c>
      <c r="D182" s="87" t="str">
        <f aca="false">IF(PRESUPUESTO!$A176="Ítem",PRESUPUESTO!E176,"")</f>
        <v/>
      </c>
      <c r="E182" s="10" t="str">
        <f aca="false">IF(D182="","",N(PRESUPUESTO!J176))</f>
        <v/>
      </c>
      <c r="F182" s="16"/>
      <c r="G182" s="10" t="str">
        <f aca="false">IF(D182="","",D182*E182)</f>
        <v/>
      </c>
      <c r="H182" s="10" t="str">
        <f aca="false">IF(D182="","",D182*N(F182))</f>
        <v/>
      </c>
      <c r="I182" s="10" t="str">
        <f aca="false">IF(D182="","",G182-H182)</f>
        <v/>
      </c>
      <c r="J182" s="80"/>
      <c r="K182" s="80"/>
      <c r="L182" s="80"/>
      <c r="M182" s="80"/>
      <c r="N182" s="80"/>
      <c r="O182" s="80"/>
      <c r="P182" s="88" t="str">
        <f aca="false">IF(D182="","",SUM(J182:O182))</f>
        <v/>
      </c>
      <c r="Q182" s="87" t="str">
        <f aca="false">IF(D182="","",D182-P182)</f>
        <v/>
      </c>
      <c r="R182" s="36" t="str">
        <f aca="false">IF(OR(D182="",N(D182)=0),"",P182/D182)</f>
        <v/>
      </c>
      <c r="S182" s="10" t="str">
        <f aca="false">IF(D182="","",P182*N(F182))</f>
        <v/>
      </c>
      <c r="T182" s="10" t="str">
        <f aca="false">IF(D182="","",Q182*N(F182))</f>
        <v/>
      </c>
      <c r="U182" s="6"/>
      <c r="V182" s="83"/>
      <c r="W182" s="15"/>
      <c r="X182" s="15"/>
      <c r="Y182" s="15"/>
      <c r="Z182" s="93"/>
      <c r="AA182" s="93"/>
      <c r="AB182" s="93"/>
      <c r="AC182" s="10" t="str">
        <f aca="false">IF(X182="","",IFERROR(INDEX(t_Hora,MATCH(X182,t_Cargo,0)),0))</f>
        <v/>
      </c>
      <c r="AD182" s="94" t="str">
        <f aca="false">IF(X182="","",N(Z182)*IF(AA182="",IFERROR(INDEX(t_Horas,MATCH(X182,t_Cargo,0)),8),AA182)+N(AB182))</f>
        <v/>
      </c>
      <c r="AE182" s="37" t="str">
        <f aca="false">IF(X182="","",AC182*(N(Z182)*IF(AA182="",IFERROR(INDEX(t_Horas,MATCH(X182,t_Cargo,0)),8),AA182)+N(AB182)*(1+p_Extra)))</f>
        <v/>
      </c>
      <c r="AF182" s="15"/>
    </row>
    <row r="183" customFormat="false" ht="16.5" hidden="false" customHeight="true" outlineLevel="0" collapsed="false">
      <c r="A183" s="23" t="str">
        <f aca="false">IF(PRESUPUESTO!$A177="Ítem",PRESUPUESTO!B177,"")</f>
        <v/>
      </c>
      <c r="B183" s="23" t="str">
        <f aca="false">IF(PRESUPUESTO!C177="","",PRESUPUESTO!C177)</f>
        <v/>
      </c>
      <c r="C183" s="86" t="str">
        <f aca="false">IF(PRESUPUESTO!$A177="Ítem",PRESUPUESTO!D177,"")</f>
        <v/>
      </c>
      <c r="D183" s="87" t="str">
        <f aca="false">IF(PRESUPUESTO!$A177="Ítem",PRESUPUESTO!E177,"")</f>
        <v/>
      </c>
      <c r="E183" s="10" t="str">
        <f aca="false">IF(D183="","",N(PRESUPUESTO!J177))</f>
        <v/>
      </c>
      <c r="F183" s="16"/>
      <c r="G183" s="10" t="str">
        <f aca="false">IF(D183="","",D183*E183)</f>
        <v/>
      </c>
      <c r="H183" s="10" t="str">
        <f aca="false">IF(D183="","",D183*N(F183))</f>
        <v/>
      </c>
      <c r="I183" s="10" t="str">
        <f aca="false">IF(D183="","",G183-H183)</f>
        <v/>
      </c>
      <c r="J183" s="80"/>
      <c r="K183" s="80"/>
      <c r="L183" s="80"/>
      <c r="M183" s="80"/>
      <c r="N183" s="80"/>
      <c r="O183" s="80"/>
      <c r="P183" s="88" t="str">
        <f aca="false">IF(D183="","",SUM(J183:O183))</f>
        <v/>
      </c>
      <c r="Q183" s="87" t="str">
        <f aca="false">IF(D183="","",D183-P183)</f>
        <v/>
      </c>
      <c r="R183" s="36" t="str">
        <f aca="false">IF(OR(D183="",N(D183)=0),"",P183/D183)</f>
        <v/>
      </c>
      <c r="S183" s="10" t="str">
        <f aca="false">IF(D183="","",P183*N(F183))</f>
        <v/>
      </c>
      <c r="T183" s="10" t="str">
        <f aca="false">IF(D183="","",Q183*N(F183))</f>
        <v/>
      </c>
      <c r="U183" s="6"/>
      <c r="V183" s="83"/>
      <c r="W183" s="15"/>
      <c r="X183" s="15"/>
      <c r="Y183" s="15"/>
      <c r="Z183" s="93"/>
      <c r="AA183" s="93"/>
      <c r="AB183" s="93"/>
      <c r="AC183" s="10" t="str">
        <f aca="false">IF(X183="","",IFERROR(INDEX(t_Hora,MATCH(X183,t_Cargo,0)),0))</f>
        <v/>
      </c>
      <c r="AD183" s="94" t="str">
        <f aca="false">IF(X183="","",N(Z183)*IF(AA183="",IFERROR(INDEX(t_Horas,MATCH(X183,t_Cargo,0)),8),AA183)+N(AB183))</f>
        <v/>
      </c>
      <c r="AE183" s="37" t="str">
        <f aca="false">IF(X183="","",AC183*(N(Z183)*IF(AA183="",IFERROR(INDEX(t_Horas,MATCH(X183,t_Cargo,0)),8),AA183)+N(AB183)*(1+p_Extra)))</f>
        <v/>
      </c>
      <c r="AF183" s="15"/>
    </row>
    <row r="184" customFormat="false" ht="16.5" hidden="false" customHeight="true" outlineLevel="0" collapsed="false">
      <c r="A184" s="23" t="str">
        <f aca="false">IF(PRESUPUESTO!$A178="Ítem",PRESUPUESTO!B178,"")</f>
        <v/>
      </c>
      <c r="B184" s="23" t="str">
        <f aca="false">IF(PRESUPUESTO!C178="","",PRESUPUESTO!C178)</f>
        <v/>
      </c>
      <c r="C184" s="86" t="str">
        <f aca="false">IF(PRESUPUESTO!$A178="Ítem",PRESUPUESTO!D178,"")</f>
        <v/>
      </c>
      <c r="D184" s="87" t="str">
        <f aca="false">IF(PRESUPUESTO!$A178="Ítem",PRESUPUESTO!E178,"")</f>
        <v/>
      </c>
      <c r="E184" s="10" t="str">
        <f aca="false">IF(D184="","",N(PRESUPUESTO!J178))</f>
        <v/>
      </c>
      <c r="F184" s="16"/>
      <c r="G184" s="10" t="str">
        <f aca="false">IF(D184="","",D184*E184)</f>
        <v/>
      </c>
      <c r="H184" s="10" t="str">
        <f aca="false">IF(D184="","",D184*N(F184))</f>
        <v/>
      </c>
      <c r="I184" s="10" t="str">
        <f aca="false">IF(D184="","",G184-H184)</f>
        <v/>
      </c>
      <c r="J184" s="80"/>
      <c r="K184" s="80"/>
      <c r="L184" s="80"/>
      <c r="M184" s="80"/>
      <c r="N184" s="80"/>
      <c r="O184" s="80"/>
      <c r="P184" s="88" t="str">
        <f aca="false">IF(D184="","",SUM(J184:O184))</f>
        <v/>
      </c>
      <c r="Q184" s="87" t="str">
        <f aca="false">IF(D184="","",D184-P184)</f>
        <v/>
      </c>
      <c r="R184" s="36" t="str">
        <f aca="false">IF(OR(D184="",N(D184)=0),"",P184/D184)</f>
        <v/>
      </c>
      <c r="S184" s="10" t="str">
        <f aca="false">IF(D184="","",P184*N(F184))</f>
        <v/>
      </c>
      <c r="T184" s="10" t="str">
        <f aca="false">IF(D184="","",Q184*N(F184))</f>
        <v/>
      </c>
      <c r="U184" s="6"/>
      <c r="V184" s="83"/>
      <c r="W184" s="15"/>
      <c r="X184" s="15"/>
      <c r="Y184" s="15"/>
      <c r="Z184" s="93"/>
      <c r="AA184" s="93"/>
      <c r="AB184" s="93"/>
      <c r="AC184" s="10" t="str">
        <f aca="false">IF(X184="","",IFERROR(INDEX(t_Hora,MATCH(X184,t_Cargo,0)),0))</f>
        <v/>
      </c>
      <c r="AD184" s="94" t="str">
        <f aca="false">IF(X184="","",N(Z184)*IF(AA184="",IFERROR(INDEX(t_Horas,MATCH(X184,t_Cargo,0)),8),AA184)+N(AB184))</f>
        <v/>
      </c>
      <c r="AE184" s="37" t="str">
        <f aca="false">IF(X184="","",AC184*(N(Z184)*IF(AA184="",IFERROR(INDEX(t_Horas,MATCH(X184,t_Cargo,0)),8),AA184)+N(AB184)*(1+p_Extra)))</f>
        <v/>
      </c>
      <c r="AF184" s="15"/>
    </row>
    <row r="185" customFormat="false" ht="16.5" hidden="false" customHeight="true" outlineLevel="0" collapsed="false">
      <c r="A185" s="23" t="str">
        <f aca="false">IF(PRESUPUESTO!$A179="Ítem",PRESUPUESTO!B179,"")</f>
        <v/>
      </c>
      <c r="B185" s="23" t="str">
        <f aca="false">IF(PRESUPUESTO!C179="","",PRESUPUESTO!C179)</f>
        <v/>
      </c>
      <c r="C185" s="86" t="str">
        <f aca="false">IF(PRESUPUESTO!$A179="Ítem",PRESUPUESTO!D179,"")</f>
        <v/>
      </c>
      <c r="D185" s="87" t="str">
        <f aca="false">IF(PRESUPUESTO!$A179="Ítem",PRESUPUESTO!E179,"")</f>
        <v/>
      </c>
      <c r="E185" s="10" t="str">
        <f aca="false">IF(D185="","",N(PRESUPUESTO!J179))</f>
        <v/>
      </c>
      <c r="F185" s="16"/>
      <c r="G185" s="10" t="str">
        <f aca="false">IF(D185="","",D185*E185)</f>
        <v/>
      </c>
      <c r="H185" s="10" t="str">
        <f aca="false">IF(D185="","",D185*N(F185))</f>
        <v/>
      </c>
      <c r="I185" s="10" t="str">
        <f aca="false">IF(D185="","",G185-H185)</f>
        <v/>
      </c>
      <c r="J185" s="80"/>
      <c r="K185" s="80"/>
      <c r="L185" s="80"/>
      <c r="M185" s="80"/>
      <c r="N185" s="80"/>
      <c r="O185" s="80"/>
      <c r="P185" s="88" t="str">
        <f aca="false">IF(D185="","",SUM(J185:O185))</f>
        <v/>
      </c>
      <c r="Q185" s="87" t="str">
        <f aca="false">IF(D185="","",D185-P185)</f>
        <v/>
      </c>
      <c r="R185" s="36" t="str">
        <f aca="false">IF(OR(D185="",N(D185)=0),"",P185/D185)</f>
        <v/>
      </c>
      <c r="S185" s="10" t="str">
        <f aca="false">IF(D185="","",P185*N(F185))</f>
        <v/>
      </c>
      <c r="T185" s="10" t="str">
        <f aca="false">IF(D185="","",Q185*N(F185))</f>
        <v/>
      </c>
      <c r="U185" s="6"/>
      <c r="V185" s="83"/>
      <c r="W185" s="15"/>
      <c r="X185" s="15"/>
      <c r="Y185" s="15"/>
      <c r="Z185" s="93"/>
      <c r="AA185" s="93"/>
      <c r="AB185" s="93"/>
      <c r="AC185" s="10" t="str">
        <f aca="false">IF(X185="","",IFERROR(INDEX(t_Hora,MATCH(X185,t_Cargo,0)),0))</f>
        <v/>
      </c>
      <c r="AD185" s="94" t="str">
        <f aca="false">IF(X185="","",N(Z185)*IF(AA185="",IFERROR(INDEX(t_Horas,MATCH(X185,t_Cargo,0)),8),AA185)+N(AB185))</f>
        <v/>
      </c>
      <c r="AE185" s="37" t="str">
        <f aca="false">IF(X185="","",AC185*(N(Z185)*IF(AA185="",IFERROR(INDEX(t_Horas,MATCH(X185,t_Cargo,0)),8),AA185)+N(AB185)*(1+p_Extra)))</f>
        <v/>
      </c>
      <c r="AF185" s="15"/>
    </row>
    <row r="186" customFormat="false" ht="16.5" hidden="false" customHeight="true" outlineLevel="0" collapsed="false">
      <c r="A186" s="23" t="str">
        <f aca="false">IF(PRESUPUESTO!$A180="Ítem",PRESUPUESTO!B180,"")</f>
        <v/>
      </c>
      <c r="B186" s="23" t="str">
        <f aca="false">IF(PRESUPUESTO!C180="","",PRESUPUESTO!C180)</f>
        <v/>
      </c>
      <c r="C186" s="86" t="str">
        <f aca="false">IF(PRESUPUESTO!$A180="Ítem",PRESUPUESTO!D180,"")</f>
        <v/>
      </c>
      <c r="D186" s="87" t="str">
        <f aca="false">IF(PRESUPUESTO!$A180="Ítem",PRESUPUESTO!E180,"")</f>
        <v/>
      </c>
      <c r="E186" s="10" t="str">
        <f aca="false">IF(D186="","",N(PRESUPUESTO!J180))</f>
        <v/>
      </c>
      <c r="F186" s="16"/>
      <c r="G186" s="10" t="str">
        <f aca="false">IF(D186="","",D186*E186)</f>
        <v/>
      </c>
      <c r="H186" s="10" t="str">
        <f aca="false">IF(D186="","",D186*N(F186))</f>
        <v/>
      </c>
      <c r="I186" s="10" t="str">
        <f aca="false">IF(D186="","",G186-H186)</f>
        <v/>
      </c>
      <c r="J186" s="80"/>
      <c r="K186" s="80"/>
      <c r="L186" s="80"/>
      <c r="M186" s="80"/>
      <c r="N186" s="80"/>
      <c r="O186" s="80"/>
      <c r="P186" s="88" t="str">
        <f aca="false">IF(D186="","",SUM(J186:O186))</f>
        <v/>
      </c>
      <c r="Q186" s="87" t="str">
        <f aca="false">IF(D186="","",D186-P186)</f>
        <v/>
      </c>
      <c r="R186" s="36" t="str">
        <f aca="false">IF(OR(D186="",N(D186)=0),"",P186/D186)</f>
        <v/>
      </c>
      <c r="S186" s="10" t="str">
        <f aca="false">IF(D186="","",P186*N(F186))</f>
        <v/>
      </c>
      <c r="T186" s="10" t="str">
        <f aca="false">IF(D186="","",Q186*N(F186))</f>
        <v/>
      </c>
      <c r="U186" s="6"/>
      <c r="V186" s="83"/>
      <c r="W186" s="15"/>
      <c r="X186" s="15"/>
      <c r="Y186" s="15"/>
      <c r="Z186" s="93"/>
      <c r="AA186" s="93"/>
      <c r="AB186" s="93"/>
      <c r="AC186" s="10" t="str">
        <f aca="false">IF(X186="","",IFERROR(INDEX(t_Hora,MATCH(X186,t_Cargo,0)),0))</f>
        <v/>
      </c>
      <c r="AD186" s="94" t="str">
        <f aca="false">IF(X186="","",N(Z186)*IF(AA186="",IFERROR(INDEX(t_Horas,MATCH(X186,t_Cargo,0)),8),AA186)+N(AB186))</f>
        <v/>
      </c>
      <c r="AE186" s="37" t="str">
        <f aca="false">IF(X186="","",AC186*(N(Z186)*IF(AA186="",IFERROR(INDEX(t_Horas,MATCH(X186,t_Cargo,0)),8),AA186)+N(AB186)*(1+p_Extra)))</f>
        <v/>
      </c>
      <c r="AF186" s="15"/>
    </row>
    <row r="187" customFormat="false" ht="16.5" hidden="false" customHeight="true" outlineLevel="0" collapsed="false">
      <c r="A187" s="23" t="str">
        <f aca="false">IF(PRESUPUESTO!$A181="Ítem",PRESUPUESTO!B181,"")</f>
        <v/>
      </c>
      <c r="B187" s="23" t="str">
        <f aca="false">IF(PRESUPUESTO!C181="","",PRESUPUESTO!C181)</f>
        <v/>
      </c>
      <c r="C187" s="86" t="str">
        <f aca="false">IF(PRESUPUESTO!$A181="Ítem",PRESUPUESTO!D181,"")</f>
        <v/>
      </c>
      <c r="D187" s="87" t="str">
        <f aca="false">IF(PRESUPUESTO!$A181="Ítem",PRESUPUESTO!E181,"")</f>
        <v/>
      </c>
      <c r="E187" s="10" t="str">
        <f aca="false">IF(D187="","",N(PRESUPUESTO!J181))</f>
        <v/>
      </c>
      <c r="F187" s="16"/>
      <c r="G187" s="10" t="str">
        <f aca="false">IF(D187="","",D187*E187)</f>
        <v/>
      </c>
      <c r="H187" s="10" t="str">
        <f aca="false">IF(D187="","",D187*N(F187))</f>
        <v/>
      </c>
      <c r="I187" s="10" t="str">
        <f aca="false">IF(D187="","",G187-H187)</f>
        <v/>
      </c>
      <c r="J187" s="80"/>
      <c r="K187" s="80"/>
      <c r="L187" s="80"/>
      <c r="M187" s="80"/>
      <c r="N187" s="80"/>
      <c r="O187" s="80"/>
      <c r="P187" s="88" t="str">
        <f aca="false">IF(D187="","",SUM(J187:O187))</f>
        <v/>
      </c>
      <c r="Q187" s="87" t="str">
        <f aca="false">IF(D187="","",D187-P187)</f>
        <v/>
      </c>
      <c r="R187" s="36" t="str">
        <f aca="false">IF(OR(D187="",N(D187)=0),"",P187/D187)</f>
        <v/>
      </c>
      <c r="S187" s="10" t="str">
        <f aca="false">IF(D187="","",P187*N(F187))</f>
        <v/>
      </c>
      <c r="T187" s="10" t="str">
        <f aca="false">IF(D187="","",Q187*N(F187))</f>
        <v/>
      </c>
      <c r="U187" s="6"/>
      <c r="V187" s="83"/>
      <c r="W187" s="15"/>
      <c r="X187" s="15"/>
      <c r="Y187" s="15"/>
      <c r="Z187" s="93"/>
      <c r="AA187" s="93"/>
      <c r="AB187" s="93"/>
      <c r="AC187" s="10" t="str">
        <f aca="false">IF(X187="","",IFERROR(INDEX(t_Hora,MATCH(X187,t_Cargo,0)),0))</f>
        <v/>
      </c>
      <c r="AD187" s="94" t="str">
        <f aca="false">IF(X187="","",N(Z187)*IF(AA187="",IFERROR(INDEX(t_Horas,MATCH(X187,t_Cargo,0)),8),AA187)+N(AB187))</f>
        <v/>
      </c>
      <c r="AE187" s="37" t="str">
        <f aca="false">IF(X187="","",AC187*(N(Z187)*IF(AA187="",IFERROR(INDEX(t_Horas,MATCH(X187,t_Cargo,0)),8),AA187)+N(AB187)*(1+p_Extra)))</f>
        <v/>
      </c>
      <c r="AF187" s="15"/>
    </row>
    <row r="188" customFormat="false" ht="16.5" hidden="false" customHeight="true" outlineLevel="0" collapsed="false">
      <c r="A188" s="23" t="str">
        <f aca="false">IF(PRESUPUESTO!$A182="Ítem",PRESUPUESTO!B182,"")</f>
        <v/>
      </c>
      <c r="B188" s="23" t="str">
        <f aca="false">IF(PRESUPUESTO!C182="","",PRESUPUESTO!C182)</f>
        <v/>
      </c>
      <c r="C188" s="86" t="str">
        <f aca="false">IF(PRESUPUESTO!$A182="Ítem",PRESUPUESTO!D182,"")</f>
        <v/>
      </c>
      <c r="D188" s="87" t="str">
        <f aca="false">IF(PRESUPUESTO!$A182="Ítem",PRESUPUESTO!E182,"")</f>
        <v/>
      </c>
      <c r="E188" s="10" t="str">
        <f aca="false">IF(D188="","",N(PRESUPUESTO!J182))</f>
        <v/>
      </c>
      <c r="F188" s="16"/>
      <c r="G188" s="10" t="str">
        <f aca="false">IF(D188="","",D188*E188)</f>
        <v/>
      </c>
      <c r="H188" s="10" t="str">
        <f aca="false">IF(D188="","",D188*N(F188))</f>
        <v/>
      </c>
      <c r="I188" s="10" t="str">
        <f aca="false">IF(D188="","",G188-H188)</f>
        <v/>
      </c>
      <c r="J188" s="80"/>
      <c r="K188" s="80"/>
      <c r="L188" s="80"/>
      <c r="M188" s="80"/>
      <c r="N188" s="80"/>
      <c r="O188" s="80"/>
      <c r="P188" s="88" t="str">
        <f aca="false">IF(D188="","",SUM(J188:O188))</f>
        <v/>
      </c>
      <c r="Q188" s="87" t="str">
        <f aca="false">IF(D188="","",D188-P188)</f>
        <v/>
      </c>
      <c r="R188" s="36" t="str">
        <f aca="false">IF(OR(D188="",N(D188)=0),"",P188/D188)</f>
        <v/>
      </c>
      <c r="S188" s="10" t="str">
        <f aca="false">IF(D188="","",P188*N(F188))</f>
        <v/>
      </c>
      <c r="T188" s="10" t="str">
        <f aca="false">IF(D188="","",Q188*N(F188))</f>
        <v/>
      </c>
      <c r="U188" s="6"/>
      <c r="V188" s="83"/>
      <c r="W188" s="15"/>
      <c r="X188" s="15"/>
      <c r="Y188" s="15"/>
      <c r="Z188" s="93"/>
      <c r="AA188" s="93"/>
      <c r="AB188" s="93"/>
      <c r="AC188" s="10" t="str">
        <f aca="false">IF(X188="","",IFERROR(INDEX(t_Hora,MATCH(X188,t_Cargo,0)),0))</f>
        <v/>
      </c>
      <c r="AD188" s="94" t="str">
        <f aca="false">IF(X188="","",N(Z188)*IF(AA188="",IFERROR(INDEX(t_Horas,MATCH(X188,t_Cargo,0)),8),AA188)+N(AB188))</f>
        <v/>
      </c>
      <c r="AE188" s="37" t="str">
        <f aca="false">IF(X188="","",AC188*(N(Z188)*IF(AA188="",IFERROR(INDEX(t_Horas,MATCH(X188,t_Cargo,0)),8),AA188)+N(AB188)*(1+p_Extra)))</f>
        <v/>
      </c>
      <c r="AF188" s="15"/>
    </row>
    <row r="189" customFormat="false" ht="16.5" hidden="false" customHeight="true" outlineLevel="0" collapsed="false">
      <c r="A189" s="23" t="str">
        <f aca="false">IF(PRESUPUESTO!$A183="Ítem",PRESUPUESTO!B183,"")</f>
        <v/>
      </c>
      <c r="B189" s="23" t="str">
        <f aca="false">IF(PRESUPUESTO!C183="","",PRESUPUESTO!C183)</f>
        <v/>
      </c>
      <c r="C189" s="86" t="str">
        <f aca="false">IF(PRESUPUESTO!$A183="Ítem",PRESUPUESTO!D183,"")</f>
        <v/>
      </c>
      <c r="D189" s="87" t="str">
        <f aca="false">IF(PRESUPUESTO!$A183="Ítem",PRESUPUESTO!E183,"")</f>
        <v/>
      </c>
      <c r="E189" s="10" t="str">
        <f aca="false">IF(D189="","",N(PRESUPUESTO!J183))</f>
        <v/>
      </c>
      <c r="F189" s="16"/>
      <c r="G189" s="10" t="str">
        <f aca="false">IF(D189="","",D189*E189)</f>
        <v/>
      </c>
      <c r="H189" s="10" t="str">
        <f aca="false">IF(D189="","",D189*N(F189))</f>
        <v/>
      </c>
      <c r="I189" s="10" t="str">
        <f aca="false">IF(D189="","",G189-H189)</f>
        <v/>
      </c>
      <c r="J189" s="80"/>
      <c r="K189" s="80"/>
      <c r="L189" s="80"/>
      <c r="M189" s="80"/>
      <c r="N189" s="80"/>
      <c r="O189" s="80"/>
      <c r="P189" s="88" t="str">
        <f aca="false">IF(D189="","",SUM(J189:O189))</f>
        <v/>
      </c>
      <c r="Q189" s="87" t="str">
        <f aca="false">IF(D189="","",D189-P189)</f>
        <v/>
      </c>
      <c r="R189" s="36" t="str">
        <f aca="false">IF(OR(D189="",N(D189)=0),"",P189/D189)</f>
        <v/>
      </c>
      <c r="S189" s="10" t="str">
        <f aca="false">IF(D189="","",P189*N(F189))</f>
        <v/>
      </c>
      <c r="T189" s="10" t="str">
        <f aca="false">IF(D189="","",Q189*N(F189))</f>
        <v/>
      </c>
      <c r="U189" s="6"/>
      <c r="V189" s="83"/>
      <c r="W189" s="15"/>
      <c r="X189" s="15"/>
      <c r="Y189" s="15"/>
      <c r="Z189" s="93"/>
      <c r="AA189" s="93"/>
      <c r="AB189" s="93"/>
      <c r="AC189" s="10" t="str">
        <f aca="false">IF(X189="","",IFERROR(INDEX(t_Hora,MATCH(X189,t_Cargo,0)),0))</f>
        <v/>
      </c>
      <c r="AD189" s="94" t="str">
        <f aca="false">IF(X189="","",N(Z189)*IF(AA189="",IFERROR(INDEX(t_Horas,MATCH(X189,t_Cargo,0)),8),AA189)+N(AB189))</f>
        <v/>
      </c>
      <c r="AE189" s="37" t="str">
        <f aca="false">IF(X189="","",AC189*(N(Z189)*IF(AA189="",IFERROR(INDEX(t_Horas,MATCH(X189,t_Cargo,0)),8),AA189)+N(AB189)*(1+p_Extra)))</f>
        <v/>
      </c>
      <c r="AF189" s="15"/>
    </row>
    <row r="190" customFormat="false" ht="16.5" hidden="false" customHeight="true" outlineLevel="0" collapsed="false">
      <c r="A190" s="23" t="str">
        <f aca="false">IF(PRESUPUESTO!$A184="Ítem",PRESUPUESTO!B184,"")</f>
        <v/>
      </c>
      <c r="B190" s="23" t="str">
        <f aca="false">IF(PRESUPUESTO!C184="","",PRESUPUESTO!C184)</f>
        <v/>
      </c>
      <c r="C190" s="86" t="str">
        <f aca="false">IF(PRESUPUESTO!$A184="Ítem",PRESUPUESTO!D184,"")</f>
        <v/>
      </c>
      <c r="D190" s="87" t="str">
        <f aca="false">IF(PRESUPUESTO!$A184="Ítem",PRESUPUESTO!E184,"")</f>
        <v/>
      </c>
      <c r="E190" s="10" t="str">
        <f aca="false">IF(D190="","",N(PRESUPUESTO!J184))</f>
        <v/>
      </c>
      <c r="F190" s="16"/>
      <c r="G190" s="10" t="str">
        <f aca="false">IF(D190="","",D190*E190)</f>
        <v/>
      </c>
      <c r="H190" s="10" t="str">
        <f aca="false">IF(D190="","",D190*N(F190))</f>
        <v/>
      </c>
      <c r="I190" s="10" t="str">
        <f aca="false">IF(D190="","",G190-H190)</f>
        <v/>
      </c>
      <c r="J190" s="80"/>
      <c r="K190" s="80"/>
      <c r="L190" s="80"/>
      <c r="M190" s="80"/>
      <c r="N190" s="80"/>
      <c r="O190" s="80"/>
      <c r="P190" s="88" t="str">
        <f aca="false">IF(D190="","",SUM(J190:O190))</f>
        <v/>
      </c>
      <c r="Q190" s="87" t="str">
        <f aca="false">IF(D190="","",D190-P190)</f>
        <v/>
      </c>
      <c r="R190" s="36" t="str">
        <f aca="false">IF(OR(D190="",N(D190)=0),"",P190/D190)</f>
        <v/>
      </c>
      <c r="S190" s="10" t="str">
        <f aca="false">IF(D190="","",P190*N(F190))</f>
        <v/>
      </c>
      <c r="T190" s="10" t="str">
        <f aca="false">IF(D190="","",Q190*N(F190))</f>
        <v/>
      </c>
      <c r="U190" s="6"/>
      <c r="V190" s="83"/>
      <c r="W190" s="15"/>
      <c r="X190" s="15"/>
      <c r="Y190" s="15"/>
      <c r="Z190" s="93"/>
      <c r="AA190" s="93"/>
      <c r="AB190" s="93"/>
      <c r="AC190" s="10" t="str">
        <f aca="false">IF(X190="","",IFERROR(INDEX(t_Hora,MATCH(X190,t_Cargo,0)),0))</f>
        <v/>
      </c>
      <c r="AD190" s="94" t="str">
        <f aca="false">IF(X190="","",N(Z190)*IF(AA190="",IFERROR(INDEX(t_Horas,MATCH(X190,t_Cargo,0)),8),AA190)+N(AB190))</f>
        <v/>
      </c>
      <c r="AE190" s="37" t="str">
        <f aca="false">IF(X190="","",AC190*(N(Z190)*IF(AA190="",IFERROR(INDEX(t_Horas,MATCH(X190,t_Cargo,0)),8),AA190)+N(AB190)*(1+p_Extra)))</f>
        <v/>
      </c>
      <c r="AF190" s="15"/>
    </row>
    <row r="191" customFormat="false" ht="16.5" hidden="false" customHeight="true" outlineLevel="0" collapsed="false">
      <c r="A191" s="23" t="str">
        <f aca="false">IF(PRESUPUESTO!$A185="Ítem",PRESUPUESTO!B185,"")</f>
        <v/>
      </c>
      <c r="B191" s="23" t="str">
        <f aca="false">IF(PRESUPUESTO!C185="","",PRESUPUESTO!C185)</f>
        <v/>
      </c>
      <c r="C191" s="86" t="str">
        <f aca="false">IF(PRESUPUESTO!$A185="Ítem",PRESUPUESTO!D185,"")</f>
        <v/>
      </c>
      <c r="D191" s="87" t="str">
        <f aca="false">IF(PRESUPUESTO!$A185="Ítem",PRESUPUESTO!E185,"")</f>
        <v/>
      </c>
      <c r="E191" s="10" t="str">
        <f aca="false">IF(D191="","",N(PRESUPUESTO!J185))</f>
        <v/>
      </c>
      <c r="F191" s="16"/>
      <c r="G191" s="10" t="str">
        <f aca="false">IF(D191="","",D191*E191)</f>
        <v/>
      </c>
      <c r="H191" s="10" t="str">
        <f aca="false">IF(D191="","",D191*N(F191))</f>
        <v/>
      </c>
      <c r="I191" s="10" t="str">
        <f aca="false">IF(D191="","",G191-H191)</f>
        <v/>
      </c>
      <c r="J191" s="80"/>
      <c r="K191" s="80"/>
      <c r="L191" s="80"/>
      <c r="M191" s="80"/>
      <c r="N191" s="80"/>
      <c r="O191" s="80"/>
      <c r="P191" s="88" t="str">
        <f aca="false">IF(D191="","",SUM(J191:O191))</f>
        <v/>
      </c>
      <c r="Q191" s="87" t="str">
        <f aca="false">IF(D191="","",D191-P191)</f>
        <v/>
      </c>
      <c r="R191" s="36" t="str">
        <f aca="false">IF(OR(D191="",N(D191)=0),"",P191/D191)</f>
        <v/>
      </c>
      <c r="S191" s="10" t="str">
        <f aca="false">IF(D191="","",P191*N(F191))</f>
        <v/>
      </c>
      <c r="T191" s="10" t="str">
        <f aca="false">IF(D191="","",Q191*N(F191))</f>
        <v/>
      </c>
      <c r="U191" s="6"/>
      <c r="V191" s="83"/>
      <c r="W191" s="15"/>
      <c r="X191" s="15"/>
      <c r="Y191" s="15"/>
      <c r="Z191" s="93"/>
      <c r="AA191" s="93"/>
      <c r="AB191" s="93"/>
      <c r="AC191" s="10" t="str">
        <f aca="false">IF(X191="","",IFERROR(INDEX(t_Hora,MATCH(X191,t_Cargo,0)),0))</f>
        <v/>
      </c>
      <c r="AD191" s="94" t="str">
        <f aca="false">IF(X191="","",N(Z191)*IF(AA191="",IFERROR(INDEX(t_Horas,MATCH(X191,t_Cargo,0)),8),AA191)+N(AB191))</f>
        <v/>
      </c>
      <c r="AE191" s="37" t="str">
        <f aca="false">IF(X191="","",AC191*(N(Z191)*IF(AA191="",IFERROR(INDEX(t_Horas,MATCH(X191,t_Cargo,0)),8),AA191)+N(AB191)*(1+p_Extra)))</f>
        <v/>
      </c>
      <c r="AF191" s="15"/>
    </row>
    <row r="192" customFormat="false" ht="16.5" hidden="false" customHeight="true" outlineLevel="0" collapsed="false">
      <c r="A192" s="23" t="str">
        <f aca="false">IF(PRESUPUESTO!$A186="Ítem",PRESUPUESTO!B186,"")</f>
        <v/>
      </c>
      <c r="B192" s="23" t="str">
        <f aca="false">IF(PRESUPUESTO!C186="","",PRESUPUESTO!C186)</f>
        <v/>
      </c>
      <c r="C192" s="86" t="str">
        <f aca="false">IF(PRESUPUESTO!$A186="Ítem",PRESUPUESTO!D186,"")</f>
        <v/>
      </c>
      <c r="D192" s="87" t="str">
        <f aca="false">IF(PRESUPUESTO!$A186="Ítem",PRESUPUESTO!E186,"")</f>
        <v/>
      </c>
      <c r="E192" s="10" t="str">
        <f aca="false">IF(D192="","",N(PRESUPUESTO!J186))</f>
        <v/>
      </c>
      <c r="F192" s="16"/>
      <c r="G192" s="10" t="str">
        <f aca="false">IF(D192="","",D192*E192)</f>
        <v/>
      </c>
      <c r="H192" s="10" t="str">
        <f aca="false">IF(D192="","",D192*N(F192))</f>
        <v/>
      </c>
      <c r="I192" s="10" t="str">
        <f aca="false">IF(D192="","",G192-H192)</f>
        <v/>
      </c>
      <c r="J192" s="80"/>
      <c r="K192" s="80"/>
      <c r="L192" s="80"/>
      <c r="M192" s="80"/>
      <c r="N192" s="80"/>
      <c r="O192" s="80"/>
      <c r="P192" s="88" t="str">
        <f aca="false">IF(D192="","",SUM(J192:O192))</f>
        <v/>
      </c>
      <c r="Q192" s="87" t="str">
        <f aca="false">IF(D192="","",D192-P192)</f>
        <v/>
      </c>
      <c r="R192" s="36" t="str">
        <f aca="false">IF(OR(D192="",N(D192)=0),"",P192/D192)</f>
        <v/>
      </c>
      <c r="S192" s="10" t="str">
        <f aca="false">IF(D192="","",P192*N(F192))</f>
        <v/>
      </c>
      <c r="T192" s="10" t="str">
        <f aca="false">IF(D192="","",Q192*N(F192))</f>
        <v/>
      </c>
      <c r="U192" s="6"/>
      <c r="V192" s="83"/>
      <c r="W192" s="15"/>
      <c r="X192" s="15"/>
      <c r="Y192" s="15"/>
      <c r="Z192" s="93"/>
      <c r="AA192" s="93"/>
      <c r="AB192" s="93"/>
      <c r="AC192" s="10" t="str">
        <f aca="false">IF(X192="","",IFERROR(INDEX(t_Hora,MATCH(X192,t_Cargo,0)),0))</f>
        <v/>
      </c>
      <c r="AD192" s="94" t="str">
        <f aca="false">IF(X192="","",N(Z192)*IF(AA192="",IFERROR(INDEX(t_Horas,MATCH(X192,t_Cargo,0)),8),AA192)+N(AB192))</f>
        <v/>
      </c>
      <c r="AE192" s="37" t="str">
        <f aca="false">IF(X192="","",AC192*(N(Z192)*IF(AA192="",IFERROR(INDEX(t_Horas,MATCH(X192,t_Cargo,0)),8),AA192)+N(AB192)*(1+p_Extra)))</f>
        <v/>
      </c>
      <c r="AF192" s="15"/>
    </row>
    <row r="193" customFormat="false" ht="16.5" hidden="false" customHeight="true" outlineLevel="0" collapsed="false">
      <c r="A193" s="23" t="str">
        <f aca="false">IF(PRESUPUESTO!$A187="Ítem",PRESUPUESTO!B187,"")</f>
        <v/>
      </c>
      <c r="B193" s="23" t="str">
        <f aca="false">IF(PRESUPUESTO!C187="","",PRESUPUESTO!C187)</f>
        <v/>
      </c>
      <c r="C193" s="86" t="str">
        <f aca="false">IF(PRESUPUESTO!$A187="Ítem",PRESUPUESTO!D187,"")</f>
        <v/>
      </c>
      <c r="D193" s="87" t="str">
        <f aca="false">IF(PRESUPUESTO!$A187="Ítem",PRESUPUESTO!E187,"")</f>
        <v/>
      </c>
      <c r="E193" s="10" t="str">
        <f aca="false">IF(D193="","",N(PRESUPUESTO!J187))</f>
        <v/>
      </c>
      <c r="F193" s="16"/>
      <c r="G193" s="10" t="str">
        <f aca="false">IF(D193="","",D193*E193)</f>
        <v/>
      </c>
      <c r="H193" s="10" t="str">
        <f aca="false">IF(D193="","",D193*N(F193))</f>
        <v/>
      </c>
      <c r="I193" s="10" t="str">
        <f aca="false">IF(D193="","",G193-H193)</f>
        <v/>
      </c>
      <c r="J193" s="80"/>
      <c r="K193" s="80"/>
      <c r="L193" s="80"/>
      <c r="M193" s="80"/>
      <c r="N193" s="80"/>
      <c r="O193" s="80"/>
      <c r="P193" s="88" t="str">
        <f aca="false">IF(D193="","",SUM(J193:O193))</f>
        <v/>
      </c>
      <c r="Q193" s="87" t="str">
        <f aca="false">IF(D193="","",D193-P193)</f>
        <v/>
      </c>
      <c r="R193" s="36" t="str">
        <f aca="false">IF(OR(D193="",N(D193)=0),"",P193/D193)</f>
        <v/>
      </c>
      <c r="S193" s="10" t="str">
        <f aca="false">IF(D193="","",P193*N(F193))</f>
        <v/>
      </c>
      <c r="T193" s="10" t="str">
        <f aca="false">IF(D193="","",Q193*N(F193))</f>
        <v/>
      </c>
      <c r="U193" s="6"/>
      <c r="V193" s="83"/>
      <c r="W193" s="15"/>
      <c r="X193" s="15"/>
      <c r="Y193" s="15"/>
      <c r="Z193" s="93"/>
      <c r="AA193" s="93"/>
      <c r="AB193" s="93"/>
      <c r="AC193" s="10" t="str">
        <f aca="false">IF(X193="","",IFERROR(INDEX(t_Hora,MATCH(X193,t_Cargo,0)),0))</f>
        <v/>
      </c>
      <c r="AD193" s="94" t="str">
        <f aca="false">IF(X193="","",N(Z193)*IF(AA193="",IFERROR(INDEX(t_Horas,MATCH(X193,t_Cargo,0)),8),AA193)+N(AB193))</f>
        <v/>
      </c>
      <c r="AE193" s="37" t="str">
        <f aca="false">IF(X193="","",AC193*(N(Z193)*IF(AA193="",IFERROR(INDEX(t_Horas,MATCH(X193,t_Cargo,0)),8),AA193)+N(AB193)*(1+p_Extra)))</f>
        <v/>
      </c>
      <c r="AF193" s="15"/>
    </row>
    <row r="194" customFormat="false" ht="16.5" hidden="false" customHeight="true" outlineLevel="0" collapsed="false">
      <c r="A194" s="23" t="str">
        <f aca="false">IF(PRESUPUESTO!$A188="Ítem",PRESUPUESTO!B188,"")</f>
        <v/>
      </c>
      <c r="B194" s="23" t="str">
        <f aca="false">IF(PRESUPUESTO!C188="","",PRESUPUESTO!C188)</f>
        <v/>
      </c>
      <c r="C194" s="86" t="str">
        <f aca="false">IF(PRESUPUESTO!$A188="Ítem",PRESUPUESTO!D188,"")</f>
        <v/>
      </c>
      <c r="D194" s="87" t="str">
        <f aca="false">IF(PRESUPUESTO!$A188="Ítem",PRESUPUESTO!E188,"")</f>
        <v/>
      </c>
      <c r="E194" s="10" t="str">
        <f aca="false">IF(D194="","",N(PRESUPUESTO!J188))</f>
        <v/>
      </c>
      <c r="F194" s="16"/>
      <c r="G194" s="10" t="str">
        <f aca="false">IF(D194="","",D194*E194)</f>
        <v/>
      </c>
      <c r="H194" s="10" t="str">
        <f aca="false">IF(D194="","",D194*N(F194))</f>
        <v/>
      </c>
      <c r="I194" s="10" t="str">
        <f aca="false">IF(D194="","",G194-H194)</f>
        <v/>
      </c>
      <c r="J194" s="80"/>
      <c r="K194" s="80"/>
      <c r="L194" s="80"/>
      <c r="M194" s="80"/>
      <c r="N194" s="80"/>
      <c r="O194" s="80"/>
      <c r="P194" s="88" t="str">
        <f aca="false">IF(D194="","",SUM(J194:O194))</f>
        <v/>
      </c>
      <c r="Q194" s="87" t="str">
        <f aca="false">IF(D194="","",D194-P194)</f>
        <v/>
      </c>
      <c r="R194" s="36" t="str">
        <f aca="false">IF(OR(D194="",N(D194)=0),"",P194/D194)</f>
        <v/>
      </c>
      <c r="S194" s="10" t="str">
        <f aca="false">IF(D194="","",P194*N(F194))</f>
        <v/>
      </c>
      <c r="T194" s="10" t="str">
        <f aca="false">IF(D194="","",Q194*N(F194))</f>
        <v/>
      </c>
      <c r="U194" s="6"/>
      <c r="V194" s="83"/>
      <c r="W194" s="15"/>
      <c r="X194" s="15"/>
      <c r="Y194" s="15"/>
      <c r="Z194" s="93"/>
      <c r="AA194" s="93"/>
      <c r="AB194" s="93"/>
      <c r="AC194" s="10" t="str">
        <f aca="false">IF(X194="","",IFERROR(INDEX(t_Hora,MATCH(X194,t_Cargo,0)),0))</f>
        <v/>
      </c>
      <c r="AD194" s="94" t="str">
        <f aca="false">IF(X194="","",N(Z194)*IF(AA194="",IFERROR(INDEX(t_Horas,MATCH(X194,t_Cargo,0)),8),AA194)+N(AB194))</f>
        <v/>
      </c>
      <c r="AE194" s="37" t="str">
        <f aca="false">IF(X194="","",AC194*(N(Z194)*IF(AA194="",IFERROR(INDEX(t_Horas,MATCH(X194,t_Cargo,0)),8),AA194)+N(AB194)*(1+p_Extra)))</f>
        <v/>
      </c>
      <c r="AF194" s="15"/>
    </row>
    <row r="195" customFormat="false" ht="16.5" hidden="false" customHeight="true" outlineLevel="0" collapsed="false">
      <c r="A195" s="23" t="str">
        <f aca="false">IF(PRESUPUESTO!$A189="Ítem",PRESUPUESTO!B189,"")</f>
        <v/>
      </c>
      <c r="B195" s="23" t="str">
        <f aca="false">IF(PRESUPUESTO!C189="","",PRESUPUESTO!C189)</f>
        <v/>
      </c>
      <c r="C195" s="86" t="str">
        <f aca="false">IF(PRESUPUESTO!$A189="Ítem",PRESUPUESTO!D189,"")</f>
        <v/>
      </c>
      <c r="D195" s="87" t="str">
        <f aca="false">IF(PRESUPUESTO!$A189="Ítem",PRESUPUESTO!E189,"")</f>
        <v/>
      </c>
      <c r="E195" s="10" t="str">
        <f aca="false">IF(D195="","",N(PRESUPUESTO!J189))</f>
        <v/>
      </c>
      <c r="F195" s="16"/>
      <c r="G195" s="10" t="str">
        <f aca="false">IF(D195="","",D195*E195)</f>
        <v/>
      </c>
      <c r="H195" s="10" t="str">
        <f aca="false">IF(D195="","",D195*N(F195))</f>
        <v/>
      </c>
      <c r="I195" s="10" t="str">
        <f aca="false">IF(D195="","",G195-H195)</f>
        <v/>
      </c>
      <c r="J195" s="80"/>
      <c r="K195" s="80"/>
      <c r="L195" s="80"/>
      <c r="M195" s="80"/>
      <c r="N195" s="80"/>
      <c r="O195" s="80"/>
      <c r="P195" s="88" t="str">
        <f aca="false">IF(D195="","",SUM(J195:O195))</f>
        <v/>
      </c>
      <c r="Q195" s="87" t="str">
        <f aca="false">IF(D195="","",D195-P195)</f>
        <v/>
      </c>
      <c r="R195" s="36" t="str">
        <f aca="false">IF(OR(D195="",N(D195)=0),"",P195/D195)</f>
        <v/>
      </c>
      <c r="S195" s="10" t="str">
        <f aca="false">IF(D195="","",P195*N(F195))</f>
        <v/>
      </c>
      <c r="T195" s="10" t="str">
        <f aca="false">IF(D195="","",Q195*N(F195))</f>
        <v/>
      </c>
      <c r="U195" s="6"/>
      <c r="V195" s="83"/>
      <c r="W195" s="15"/>
      <c r="X195" s="15"/>
      <c r="Y195" s="15"/>
      <c r="Z195" s="93"/>
      <c r="AA195" s="93"/>
      <c r="AB195" s="93"/>
      <c r="AC195" s="10" t="str">
        <f aca="false">IF(X195="","",IFERROR(INDEX(t_Hora,MATCH(X195,t_Cargo,0)),0))</f>
        <v/>
      </c>
      <c r="AD195" s="94" t="str">
        <f aca="false">IF(X195="","",N(Z195)*IF(AA195="",IFERROR(INDEX(t_Horas,MATCH(X195,t_Cargo,0)),8),AA195)+N(AB195))</f>
        <v/>
      </c>
      <c r="AE195" s="37" t="str">
        <f aca="false">IF(X195="","",AC195*(N(Z195)*IF(AA195="",IFERROR(INDEX(t_Horas,MATCH(X195,t_Cargo,0)),8),AA195)+N(AB195)*(1+p_Extra)))</f>
        <v/>
      </c>
      <c r="AF195" s="15"/>
    </row>
    <row r="196" customFormat="false" ht="16.5" hidden="false" customHeight="true" outlineLevel="0" collapsed="false">
      <c r="A196" s="23" t="str">
        <f aca="false">IF(PRESUPUESTO!$A190="Ítem",PRESUPUESTO!B190,"")</f>
        <v/>
      </c>
      <c r="B196" s="23" t="str">
        <f aca="false">IF(PRESUPUESTO!C190="","",PRESUPUESTO!C190)</f>
        <v/>
      </c>
      <c r="C196" s="86" t="str">
        <f aca="false">IF(PRESUPUESTO!$A190="Ítem",PRESUPUESTO!D190,"")</f>
        <v/>
      </c>
      <c r="D196" s="87" t="str">
        <f aca="false">IF(PRESUPUESTO!$A190="Ítem",PRESUPUESTO!E190,"")</f>
        <v/>
      </c>
      <c r="E196" s="10" t="str">
        <f aca="false">IF(D196="","",N(PRESUPUESTO!J190))</f>
        <v/>
      </c>
      <c r="F196" s="16"/>
      <c r="G196" s="10" t="str">
        <f aca="false">IF(D196="","",D196*E196)</f>
        <v/>
      </c>
      <c r="H196" s="10" t="str">
        <f aca="false">IF(D196="","",D196*N(F196))</f>
        <v/>
      </c>
      <c r="I196" s="10" t="str">
        <f aca="false">IF(D196="","",G196-H196)</f>
        <v/>
      </c>
      <c r="J196" s="80"/>
      <c r="K196" s="80"/>
      <c r="L196" s="80"/>
      <c r="M196" s="80"/>
      <c r="N196" s="80"/>
      <c r="O196" s="80"/>
      <c r="P196" s="88" t="str">
        <f aca="false">IF(D196="","",SUM(J196:O196))</f>
        <v/>
      </c>
      <c r="Q196" s="87" t="str">
        <f aca="false">IF(D196="","",D196-P196)</f>
        <v/>
      </c>
      <c r="R196" s="36" t="str">
        <f aca="false">IF(OR(D196="",N(D196)=0),"",P196/D196)</f>
        <v/>
      </c>
      <c r="S196" s="10" t="str">
        <f aca="false">IF(D196="","",P196*N(F196))</f>
        <v/>
      </c>
      <c r="T196" s="10" t="str">
        <f aca="false">IF(D196="","",Q196*N(F196))</f>
        <v/>
      </c>
      <c r="U196" s="6"/>
      <c r="V196" s="83"/>
      <c r="W196" s="15"/>
      <c r="X196" s="15"/>
      <c r="Y196" s="15"/>
      <c r="Z196" s="93"/>
      <c r="AA196" s="93"/>
      <c r="AB196" s="93"/>
      <c r="AC196" s="10" t="str">
        <f aca="false">IF(X196="","",IFERROR(INDEX(t_Hora,MATCH(X196,t_Cargo,0)),0))</f>
        <v/>
      </c>
      <c r="AD196" s="94" t="str">
        <f aca="false">IF(X196="","",N(Z196)*IF(AA196="",IFERROR(INDEX(t_Horas,MATCH(X196,t_Cargo,0)),8),AA196)+N(AB196))</f>
        <v/>
      </c>
      <c r="AE196" s="37" t="str">
        <f aca="false">IF(X196="","",AC196*(N(Z196)*IF(AA196="",IFERROR(INDEX(t_Horas,MATCH(X196,t_Cargo,0)),8),AA196)+N(AB196)*(1+p_Extra)))</f>
        <v/>
      </c>
      <c r="AF196" s="15"/>
    </row>
    <row r="197" customFormat="false" ht="16.5" hidden="false" customHeight="true" outlineLevel="0" collapsed="false">
      <c r="A197" s="23" t="str">
        <f aca="false">IF(PRESUPUESTO!$A191="Ítem",PRESUPUESTO!B191,"")</f>
        <v/>
      </c>
      <c r="B197" s="23" t="str">
        <f aca="false">IF(PRESUPUESTO!C191="","",PRESUPUESTO!C191)</f>
        <v/>
      </c>
      <c r="C197" s="86" t="str">
        <f aca="false">IF(PRESUPUESTO!$A191="Ítem",PRESUPUESTO!D191,"")</f>
        <v/>
      </c>
      <c r="D197" s="87" t="str">
        <f aca="false">IF(PRESUPUESTO!$A191="Ítem",PRESUPUESTO!E191,"")</f>
        <v/>
      </c>
      <c r="E197" s="10" t="str">
        <f aca="false">IF(D197="","",N(PRESUPUESTO!J191))</f>
        <v/>
      </c>
      <c r="F197" s="16"/>
      <c r="G197" s="10" t="str">
        <f aca="false">IF(D197="","",D197*E197)</f>
        <v/>
      </c>
      <c r="H197" s="10" t="str">
        <f aca="false">IF(D197="","",D197*N(F197))</f>
        <v/>
      </c>
      <c r="I197" s="10" t="str">
        <f aca="false">IF(D197="","",G197-H197)</f>
        <v/>
      </c>
      <c r="J197" s="80"/>
      <c r="K197" s="80"/>
      <c r="L197" s="80"/>
      <c r="M197" s="80"/>
      <c r="N197" s="80"/>
      <c r="O197" s="80"/>
      <c r="P197" s="88" t="str">
        <f aca="false">IF(D197="","",SUM(J197:O197))</f>
        <v/>
      </c>
      <c r="Q197" s="87" t="str">
        <f aca="false">IF(D197="","",D197-P197)</f>
        <v/>
      </c>
      <c r="R197" s="36" t="str">
        <f aca="false">IF(OR(D197="",N(D197)=0),"",P197/D197)</f>
        <v/>
      </c>
      <c r="S197" s="10" t="str">
        <f aca="false">IF(D197="","",P197*N(F197))</f>
        <v/>
      </c>
      <c r="T197" s="10" t="str">
        <f aca="false">IF(D197="","",Q197*N(F197))</f>
        <v/>
      </c>
      <c r="U197" s="6"/>
      <c r="V197" s="83"/>
      <c r="W197" s="15"/>
      <c r="X197" s="15"/>
      <c r="Y197" s="15"/>
      <c r="Z197" s="93"/>
      <c r="AA197" s="93"/>
      <c r="AB197" s="93"/>
      <c r="AC197" s="10" t="str">
        <f aca="false">IF(X197="","",IFERROR(INDEX(t_Hora,MATCH(X197,t_Cargo,0)),0))</f>
        <v/>
      </c>
      <c r="AD197" s="94" t="str">
        <f aca="false">IF(X197="","",N(Z197)*IF(AA197="",IFERROR(INDEX(t_Horas,MATCH(X197,t_Cargo,0)),8),AA197)+N(AB197))</f>
        <v/>
      </c>
      <c r="AE197" s="37" t="str">
        <f aca="false">IF(X197="","",AC197*(N(Z197)*IF(AA197="",IFERROR(INDEX(t_Horas,MATCH(X197,t_Cargo,0)),8),AA197)+N(AB197)*(1+p_Extra)))</f>
        <v/>
      </c>
      <c r="AF197" s="15"/>
    </row>
    <row r="198" customFormat="false" ht="16.5" hidden="false" customHeight="true" outlineLevel="0" collapsed="false">
      <c r="A198" s="23" t="str">
        <f aca="false">IF(PRESUPUESTO!$A192="Ítem",PRESUPUESTO!B192,"")</f>
        <v/>
      </c>
      <c r="B198" s="23" t="str">
        <f aca="false">IF(PRESUPUESTO!C192="","",PRESUPUESTO!C192)</f>
        <v/>
      </c>
      <c r="C198" s="86" t="str">
        <f aca="false">IF(PRESUPUESTO!$A192="Ítem",PRESUPUESTO!D192,"")</f>
        <v/>
      </c>
      <c r="D198" s="87" t="str">
        <f aca="false">IF(PRESUPUESTO!$A192="Ítem",PRESUPUESTO!E192,"")</f>
        <v/>
      </c>
      <c r="E198" s="10" t="str">
        <f aca="false">IF(D198="","",N(PRESUPUESTO!J192))</f>
        <v/>
      </c>
      <c r="F198" s="16"/>
      <c r="G198" s="10" t="str">
        <f aca="false">IF(D198="","",D198*E198)</f>
        <v/>
      </c>
      <c r="H198" s="10" t="str">
        <f aca="false">IF(D198="","",D198*N(F198))</f>
        <v/>
      </c>
      <c r="I198" s="10" t="str">
        <f aca="false">IF(D198="","",G198-H198)</f>
        <v/>
      </c>
      <c r="J198" s="80"/>
      <c r="K198" s="80"/>
      <c r="L198" s="80"/>
      <c r="M198" s="80"/>
      <c r="N198" s="80"/>
      <c r="O198" s="80"/>
      <c r="P198" s="88" t="str">
        <f aca="false">IF(D198="","",SUM(J198:O198))</f>
        <v/>
      </c>
      <c r="Q198" s="87" t="str">
        <f aca="false">IF(D198="","",D198-P198)</f>
        <v/>
      </c>
      <c r="R198" s="36" t="str">
        <f aca="false">IF(OR(D198="",N(D198)=0),"",P198/D198)</f>
        <v/>
      </c>
      <c r="S198" s="10" t="str">
        <f aca="false">IF(D198="","",P198*N(F198))</f>
        <v/>
      </c>
      <c r="T198" s="10" t="str">
        <f aca="false">IF(D198="","",Q198*N(F198))</f>
        <v/>
      </c>
      <c r="U198" s="6"/>
      <c r="V198" s="83"/>
      <c r="W198" s="15"/>
      <c r="X198" s="15"/>
      <c r="Y198" s="15"/>
      <c r="Z198" s="93"/>
      <c r="AA198" s="93"/>
      <c r="AB198" s="93"/>
      <c r="AC198" s="10" t="str">
        <f aca="false">IF(X198="","",IFERROR(INDEX(t_Hora,MATCH(X198,t_Cargo,0)),0))</f>
        <v/>
      </c>
      <c r="AD198" s="94" t="str">
        <f aca="false">IF(X198="","",N(Z198)*IF(AA198="",IFERROR(INDEX(t_Horas,MATCH(X198,t_Cargo,0)),8),AA198)+N(AB198))</f>
        <v/>
      </c>
      <c r="AE198" s="37" t="str">
        <f aca="false">IF(X198="","",AC198*(N(Z198)*IF(AA198="",IFERROR(INDEX(t_Horas,MATCH(X198,t_Cargo,0)),8),AA198)+N(AB198)*(1+p_Extra)))</f>
        <v/>
      </c>
      <c r="AF198" s="15"/>
    </row>
    <row r="199" customFormat="false" ht="16.5" hidden="false" customHeight="true" outlineLevel="0" collapsed="false">
      <c r="A199" s="23" t="str">
        <f aca="false">IF(PRESUPUESTO!$A193="Ítem",PRESUPUESTO!B193,"")</f>
        <v/>
      </c>
      <c r="B199" s="23" t="str">
        <f aca="false">IF(PRESUPUESTO!C193="","",PRESUPUESTO!C193)</f>
        <v/>
      </c>
      <c r="C199" s="86" t="str">
        <f aca="false">IF(PRESUPUESTO!$A193="Ítem",PRESUPUESTO!D193,"")</f>
        <v/>
      </c>
      <c r="D199" s="87" t="str">
        <f aca="false">IF(PRESUPUESTO!$A193="Ítem",PRESUPUESTO!E193,"")</f>
        <v/>
      </c>
      <c r="E199" s="10" t="str">
        <f aca="false">IF(D199="","",N(PRESUPUESTO!J193))</f>
        <v/>
      </c>
      <c r="F199" s="16"/>
      <c r="G199" s="10" t="str">
        <f aca="false">IF(D199="","",D199*E199)</f>
        <v/>
      </c>
      <c r="H199" s="10" t="str">
        <f aca="false">IF(D199="","",D199*N(F199))</f>
        <v/>
      </c>
      <c r="I199" s="10" t="str">
        <f aca="false">IF(D199="","",G199-H199)</f>
        <v/>
      </c>
      <c r="J199" s="80"/>
      <c r="K199" s="80"/>
      <c r="L199" s="80"/>
      <c r="M199" s="80"/>
      <c r="N199" s="80"/>
      <c r="O199" s="80"/>
      <c r="P199" s="88" t="str">
        <f aca="false">IF(D199="","",SUM(J199:O199))</f>
        <v/>
      </c>
      <c r="Q199" s="87" t="str">
        <f aca="false">IF(D199="","",D199-P199)</f>
        <v/>
      </c>
      <c r="R199" s="36" t="str">
        <f aca="false">IF(OR(D199="",N(D199)=0),"",P199/D199)</f>
        <v/>
      </c>
      <c r="S199" s="10" t="str">
        <f aca="false">IF(D199="","",P199*N(F199))</f>
        <v/>
      </c>
      <c r="T199" s="10" t="str">
        <f aca="false">IF(D199="","",Q199*N(F199))</f>
        <v/>
      </c>
      <c r="U199" s="6"/>
      <c r="V199" s="83"/>
      <c r="W199" s="15"/>
      <c r="X199" s="15"/>
      <c r="Y199" s="15"/>
      <c r="Z199" s="93"/>
      <c r="AA199" s="93"/>
      <c r="AB199" s="93"/>
      <c r="AC199" s="10" t="str">
        <f aca="false">IF(X199="","",IFERROR(INDEX(t_Hora,MATCH(X199,t_Cargo,0)),0))</f>
        <v/>
      </c>
      <c r="AD199" s="94" t="str">
        <f aca="false">IF(X199="","",N(Z199)*IF(AA199="",IFERROR(INDEX(t_Horas,MATCH(X199,t_Cargo,0)),8),AA199)+N(AB199))</f>
        <v/>
      </c>
      <c r="AE199" s="37" t="str">
        <f aca="false">IF(X199="","",AC199*(N(Z199)*IF(AA199="",IFERROR(INDEX(t_Horas,MATCH(X199,t_Cargo,0)),8),AA199)+N(AB199)*(1+p_Extra)))</f>
        <v/>
      </c>
      <c r="AF199" s="15"/>
    </row>
    <row r="200" customFormat="false" ht="16.5" hidden="false" customHeight="true" outlineLevel="0" collapsed="false">
      <c r="A200" s="23" t="str">
        <f aca="false">IF(PRESUPUESTO!$A194="Ítem",PRESUPUESTO!B194,"")</f>
        <v/>
      </c>
      <c r="B200" s="23" t="str">
        <f aca="false">IF(PRESUPUESTO!C194="","",PRESUPUESTO!C194)</f>
        <v/>
      </c>
      <c r="C200" s="86" t="str">
        <f aca="false">IF(PRESUPUESTO!$A194="Ítem",PRESUPUESTO!D194,"")</f>
        <v/>
      </c>
      <c r="D200" s="87" t="str">
        <f aca="false">IF(PRESUPUESTO!$A194="Ítem",PRESUPUESTO!E194,"")</f>
        <v/>
      </c>
      <c r="E200" s="10" t="str">
        <f aca="false">IF(D200="","",N(PRESUPUESTO!J194))</f>
        <v/>
      </c>
      <c r="F200" s="16"/>
      <c r="G200" s="10" t="str">
        <f aca="false">IF(D200="","",D200*E200)</f>
        <v/>
      </c>
      <c r="H200" s="10" t="str">
        <f aca="false">IF(D200="","",D200*N(F200))</f>
        <v/>
      </c>
      <c r="I200" s="10" t="str">
        <f aca="false">IF(D200="","",G200-H200)</f>
        <v/>
      </c>
      <c r="J200" s="80"/>
      <c r="K200" s="80"/>
      <c r="L200" s="80"/>
      <c r="M200" s="80"/>
      <c r="N200" s="80"/>
      <c r="O200" s="80"/>
      <c r="P200" s="88" t="str">
        <f aca="false">IF(D200="","",SUM(J200:O200))</f>
        <v/>
      </c>
      <c r="Q200" s="87" t="str">
        <f aca="false">IF(D200="","",D200-P200)</f>
        <v/>
      </c>
      <c r="R200" s="36" t="str">
        <f aca="false">IF(OR(D200="",N(D200)=0),"",P200/D200)</f>
        <v/>
      </c>
      <c r="S200" s="10" t="str">
        <f aca="false">IF(D200="","",P200*N(F200))</f>
        <v/>
      </c>
      <c r="T200" s="10" t="str">
        <f aca="false">IF(D200="","",Q200*N(F200))</f>
        <v/>
      </c>
      <c r="U200" s="6"/>
      <c r="V200" s="83"/>
      <c r="W200" s="15"/>
      <c r="X200" s="15"/>
      <c r="Y200" s="15"/>
      <c r="Z200" s="93"/>
      <c r="AA200" s="93"/>
      <c r="AB200" s="93"/>
      <c r="AC200" s="10" t="str">
        <f aca="false">IF(X200="","",IFERROR(INDEX(t_Hora,MATCH(X200,t_Cargo,0)),0))</f>
        <v/>
      </c>
      <c r="AD200" s="94" t="str">
        <f aca="false">IF(X200="","",N(Z200)*IF(AA200="",IFERROR(INDEX(t_Horas,MATCH(X200,t_Cargo,0)),8),AA200)+N(AB200))</f>
        <v/>
      </c>
      <c r="AE200" s="37" t="str">
        <f aca="false">IF(X200="","",AC200*(N(Z200)*IF(AA200="",IFERROR(INDEX(t_Horas,MATCH(X200,t_Cargo,0)),8),AA200)+N(AB200)*(1+p_Extra)))</f>
        <v/>
      </c>
      <c r="AF200" s="15"/>
    </row>
    <row r="201" customFormat="false" ht="16.5" hidden="false" customHeight="true" outlineLevel="0" collapsed="false">
      <c r="A201" s="23" t="str">
        <f aca="false">IF(PRESUPUESTO!$A195="Ítem",PRESUPUESTO!B195,"")</f>
        <v/>
      </c>
      <c r="B201" s="23" t="str">
        <f aca="false">IF(PRESUPUESTO!C195="","",PRESUPUESTO!C195)</f>
        <v/>
      </c>
      <c r="C201" s="86" t="str">
        <f aca="false">IF(PRESUPUESTO!$A195="Ítem",PRESUPUESTO!D195,"")</f>
        <v/>
      </c>
      <c r="D201" s="87" t="str">
        <f aca="false">IF(PRESUPUESTO!$A195="Ítem",PRESUPUESTO!E195,"")</f>
        <v/>
      </c>
      <c r="E201" s="10" t="str">
        <f aca="false">IF(D201="","",N(PRESUPUESTO!J195))</f>
        <v/>
      </c>
      <c r="F201" s="16"/>
      <c r="G201" s="10" t="str">
        <f aca="false">IF(D201="","",D201*E201)</f>
        <v/>
      </c>
      <c r="H201" s="10" t="str">
        <f aca="false">IF(D201="","",D201*N(F201))</f>
        <v/>
      </c>
      <c r="I201" s="10" t="str">
        <f aca="false">IF(D201="","",G201-H201)</f>
        <v/>
      </c>
      <c r="J201" s="80"/>
      <c r="K201" s="80"/>
      <c r="L201" s="80"/>
      <c r="M201" s="80"/>
      <c r="N201" s="80"/>
      <c r="O201" s="80"/>
      <c r="P201" s="88" t="str">
        <f aca="false">IF(D201="","",SUM(J201:O201))</f>
        <v/>
      </c>
      <c r="Q201" s="87" t="str">
        <f aca="false">IF(D201="","",D201-P201)</f>
        <v/>
      </c>
      <c r="R201" s="36" t="str">
        <f aca="false">IF(OR(D201="",N(D201)=0),"",P201/D201)</f>
        <v/>
      </c>
      <c r="S201" s="10" t="str">
        <f aca="false">IF(D201="","",P201*N(F201))</f>
        <v/>
      </c>
      <c r="T201" s="10" t="str">
        <f aca="false">IF(D201="","",Q201*N(F201))</f>
        <v/>
      </c>
      <c r="U201" s="6"/>
      <c r="V201" s="83"/>
      <c r="W201" s="15"/>
      <c r="X201" s="15"/>
      <c r="Y201" s="15"/>
      <c r="Z201" s="93"/>
      <c r="AA201" s="93"/>
      <c r="AB201" s="93"/>
      <c r="AC201" s="10" t="str">
        <f aca="false">IF(X201="","",IFERROR(INDEX(t_Hora,MATCH(X201,t_Cargo,0)),0))</f>
        <v/>
      </c>
      <c r="AD201" s="94" t="str">
        <f aca="false">IF(X201="","",N(Z201)*IF(AA201="",IFERROR(INDEX(t_Horas,MATCH(X201,t_Cargo,0)),8),AA201)+N(AB201))</f>
        <v/>
      </c>
      <c r="AE201" s="37" t="str">
        <f aca="false">IF(X201="","",AC201*(N(Z201)*IF(AA201="",IFERROR(INDEX(t_Horas,MATCH(X201,t_Cargo,0)),8),AA201)+N(AB201)*(1+p_Extra)))</f>
        <v/>
      </c>
      <c r="AF201" s="15"/>
    </row>
    <row r="202" customFormat="false" ht="16.5" hidden="false" customHeight="true" outlineLevel="0" collapsed="false">
      <c r="A202" s="23" t="str">
        <f aca="false">IF(PRESUPUESTO!$A196="Ítem",PRESUPUESTO!B196,"")</f>
        <v/>
      </c>
      <c r="B202" s="23" t="str">
        <f aca="false">IF(PRESUPUESTO!C196="","",PRESUPUESTO!C196)</f>
        <v/>
      </c>
      <c r="C202" s="86" t="str">
        <f aca="false">IF(PRESUPUESTO!$A196="Ítem",PRESUPUESTO!D196,"")</f>
        <v/>
      </c>
      <c r="D202" s="87" t="str">
        <f aca="false">IF(PRESUPUESTO!$A196="Ítem",PRESUPUESTO!E196,"")</f>
        <v/>
      </c>
      <c r="E202" s="10" t="str">
        <f aca="false">IF(D202="","",N(PRESUPUESTO!J196))</f>
        <v/>
      </c>
      <c r="F202" s="16"/>
      <c r="G202" s="10" t="str">
        <f aca="false">IF(D202="","",D202*E202)</f>
        <v/>
      </c>
      <c r="H202" s="10" t="str">
        <f aca="false">IF(D202="","",D202*N(F202))</f>
        <v/>
      </c>
      <c r="I202" s="10" t="str">
        <f aca="false">IF(D202="","",G202-H202)</f>
        <v/>
      </c>
      <c r="J202" s="80"/>
      <c r="K202" s="80"/>
      <c r="L202" s="80"/>
      <c r="M202" s="80"/>
      <c r="N202" s="80"/>
      <c r="O202" s="80"/>
      <c r="P202" s="88" t="str">
        <f aca="false">IF(D202="","",SUM(J202:O202))</f>
        <v/>
      </c>
      <c r="Q202" s="87" t="str">
        <f aca="false">IF(D202="","",D202-P202)</f>
        <v/>
      </c>
      <c r="R202" s="36" t="str">
        <f aca="false">IF(OR(D202="",N(D202)=0),"",P202/D202)</f>
        <v/>
      </c>
      <c r="S202" s="10" t="str">
        <f aca="false">IF(D202="","",P202*N(F202))</f>
        <v/>
      </c>
      <c r="T202" s="10" t="str">
        <f aca="false">IF(D202="","",Q202*N(F202))</f>
        <v/>
      </c>
      <c r="U202" s="6"/>
      <c r="V202" s="83"/>
      <c r="W202" s="15"/>
      <c r="X202" s="15"/>
      <c r="Y202" s="15"/>
      <c r="Z202" s="93"/>
      <c r="AA202" s="93"/>
      <c r="AB202" s="93"/>
      <c r="AC202" s="10" t="str">
        <f aca="false">IF(X202="","",IFERROR(INDEX(t_Hora,MATCH(X202,t_Cargo,0)),0))</f>
        <v/>
      </c>
      <c r="AD202" s="94" t="str">
        <f aca="false">IF(X202="","",N(Z202)*IF(AA202="",IFERROR(INDEX(t_Horas,MATCH(X202,t_Cargo,0)),8),AA202)+N(AB202))</f>
        <v/>
      </c>
      <c r="AE202" s="37" t="str">
        <f aca="false">IF(X202="","",AC202*(N(Z202)*IF(AA202="",IFERROR(INDEX(t_Horas,MATCH(X202,t_Cargo,0)),8),AA202)+N(AB202)*(1+p_Extra)))</f>
        <v/>
      </c>
      <c r="AF202" s="15"/>
    </row>
    <row r="203" customFormat="false" ht="16.5" hidden="false" customHeight="true" outlineLevel="0" collapsed="false">
      <c r="A203" s="23" t="str">
        <f aca="false">IF(PRESUPUESTO!$A197="Ítem",PRESUPUESTO!B197,"")</f>
        <v/>
      </c>
      <c r="B203" s="23" t="str">
        <f aca="false">IF(PRESUPUESTO!C197="","",PRESUPUESTO!C197)</f>
        <v/>
      </c>
      <c r="C203" s="86" t="str">
        <f aca="false">IF(PRESUPUESTO!$A197="Ítem",PRESUPUESTO!D197,"")</f>
        <v/>
      </c>
      <c r="D203" s="87" t="str">
        <f aca="false">IF(PRESUPUESTO!$A197="Ítem",PRESUPUESTO!E197,"")</f>
        <v/>
      </c>
      <c r="E203" s="10" t="str">
        <f aca="false">IF(D203="","",N(PRESUPUESTO!J197))</f>
        <v/>
      </c>
      <c r="F203" s="16"/>
      <c r="G203" s="10" t="str">
        <f aca="false">IF(D203="","",D203*E203)</f>
        <v/>
      </c>
      <c r="H203" s="10" t="str">
        <f aca="false">IF(D203="","",D203*N(F203))</f>
        <v/>
      </c>
      <c r="I203" s="10" t="str">
        <f aca="false">IF(D203="","",G203-H203)</f>
        <v/>
      </c>
      <c r="J203" s="80"/>
      <c r="K203" s="80"/>
      <c r="L203" s="80"/>
      <c r="M203" s="80"/>
      <c r="N203" s="80"/>
      <c r="O203" s="80"/>
      <c r="P203" s="88" t="str">
        <f aca="false">IF(D203="","",SUM(J203:O203))</f>
        <v/>
      </c>
      <c r="Q203" s="87" t="str">
        <f aca="false">IF(D203="","",D203-P203)</f>
        <v/>
      </c>
      <c r="R203" s="36" t="str">
        <f aca="false">IF(OR(D203="",N(D203)=0),"",P203/D203)</f>
        <v/>
      </c>
      <c r="S203" s="10" t="str">
        <f aca="false">IF(D203="","",P203*N(F203))</f>
        <v/>
      </c>
      <c r="T203" s="10" t="str">
        <f aca="false">IF(D203="","",Q203*N(F203))</f>
        <v/>
      </c>
      <c r="U203" s="6"/>
      <c r="V203" s="83"/>
      <c r="W203" s="15"/>
      <c r="X203" s="15"/>
      <c r="Y203" s="15"/>
      <c r="Z203" s="93"/>
      <c r="AA203" s="93"/>
      <c r="AB203" s="93"/>
      <c r="AC203" s="10" t="str">
        <f aca="false">IF(X203="","",IFERROR(INDEX(t_Hora,MATCH(X203,t_Cargo,0)),0))</f>
        <v/>
      </c>
      <c r="AD203" s="94" t="str">
        <f aca="false">IF(X203="","",N(Z203)*IF(AA203="",IFERROR(INDEX(t_Horas,MATCH(X203,t_Cargo,0)),8),AA203)+N(AB203))</f>
        <v/>
      </c>
      <c r="AE203" s="37" t="str">
        <f aca="false">IF(X203="","",AC203*(N(Z203)*IF(AA203="",IFERROR(INDEX(t_Horas,MATCH(X203,t_Cargo,0)),8),AA203)+N(AB203)*(1+p_Extra)))</f>
        <v/>
      </c>
      <c r="AF203" s="15"/>
    </row>
    <row r="204" customFormat="false" ht="16.5" hidden="false" customHeight="true" outlineLevel="0" collapsed="false">
      <c r="A204" s="23" t="str">
        <f aca="false">IF(PRESUPUESTO!$A198="Ítem",PRESUPUESTO!B198,"")</f>
        <v/>
      </c>
      <c r="B204" s="23" t="str">
        <f aca="false">IF(PRESUPUESTO!C198="","",PRESUPUESTO!C198)</f>
        <v/>
      </c>
      <c r="C204" s="86" t="str">
        <f aca="false">IF(PRESUPUESTO!$A198="Ítem",PRESUPUESTO!D198,"")</f>
        <v/>
      </c>
      <c r="D204" s="87" t="str">
        <f aca="false">IF(PRESUPUESTO!$A198="Ítem",PRESUPUESTO!E198,"")</f>
        <v/>
      </c>
      <c r="E204" s="10" t="str">
        <f aca="false">IF(D204="","",N(PRESUPUESTO!J198))</f>
        <v/>
      </c>
      <c r="F204" s="16"/>
      <c r="G204" s="10" t="str">
        <f aca="false">IF(D204="","",D204*E204)</f>
        <v/>
      </c>
      <c r="H204" s="10" t="str">
        <f aca="false">IF(D204="","",D204*N(F204))</f>
        <v/>
      </c>
      <c r="I204" s="10" t="str">
        <f aca="false">IF(D204="","",G204-H204)</f>
        <v/>
      </c>
      <c r="J204" s="80"/>
      <c r="K204" s="80"/>
      <c r="L204" s="80"/>
      <c r="M204" s="80"/>
      <c r="N204" s="80"/>
      <c r="O204" s="80"/>
      <c r="P204" s="88" t="str">
        <f aca="false">IF(D204="","",SUM(J204:O204))</f>
        <v/>
      </c>
      <c r="Q204" s="87" t="str">
        <f aca="false">IF(D204="","",D204-P204)</f>
        <v/>
      </c>
      <c r="R204" s="36" t="str">
        <f aca="false">IF(OR(D204="",N(D204)=0),"",P204/D204)</f>
        <v/>
      </c>
      <c r="S204" s="10" t="str">
        <f aca="false">IF(D204="","",P204*N(F204))</f>
        <v/>
      </c>
      <c r="T204" s="10" t="str">
        <f aca="false">IF(D204="","",Q204*N(F204))</f>
        <v/>
      </c>
      <c r="U204" s="6"/>
      <c r="V204" s="83"/>
      <c r="W204" s="15"/>
      <c r="X204" s="15"/>
      <c r="Y204" s="15"/>
      <c r="Z204" s="93"/>
      <c r="AA204" s="93"/>
      <c r="AB204" s="93"/>
      <c r="AC204" s="10" t="str">
        <f aca="false">IF(X204="","",IFERROR(INDEX(t_Hora,MATCH(X204,t_Cargo,0)),0))</f>
        <v/>
      </c>
      <c r="AD204" s="94" t="str">
        <f aca="false">IF(X204="","",N(Z204)*IF(AA204="",IFERROR(INDEX(t_Horas,MATCH(X204,t_Cargo,0)),8),AA204)+N(AB204))</f>
        <v/>
      </c>
      <c r="AE204" s="37" t="str">
        <f aca="false">IF(X204="","",AC204*(N(Z204)*IF(AA204="",IFERROR(INDEX(t_Horas,MATCH(X204,t_Cargo,0)),8),AA204)+N(AB204)*(1+p_Extra)))</f>
        <v/>
      </c>
      <c r="AF204" s="15"/>
    </row>
    <row r="205" customFormat="false" ht="16.5" hidden="false" customHeight="true" outlineLevel="0" collapsed="false">
      <c r="A205" s="23" t="str">
        <f aca="false">IF(PRESUPUESTO!$A199="Ítem",PRESUPUESTO!B199,"")</f>
        <v/>
      </c>
      <c r="B205" s="23" t="str">
        <f aca="false">IF(PRESUPUESTO!C199="","",PRESUPUESTO!C199)</f>
        <v/>
      </c>
      <c r="C205" s="86" t="str">
        <f aca="false">IF(PRESUPUESTO!$A199="Ítem",PRESUPUESTO!D199,"")</f>
        <v/>
      </c>
      <c r="D205" s="87" t="str">
        <f aca="false">IF(PRESUPUESTO!$A199="Ítem",PRESUPUESTO!E199,"")</f>
        <v/>
      </c>
      <c r="E205" s="10" t="str">
        <f aca="false">IF(D205="","",N(PRESUPUESTO!J199))</f>
        <v/>
      </c>
      <c r="F205" s="16"/>
      <c r="G205" s="10" t="str">
        <f aca="false">IF(D205="","",D205*E205)</f>
        <v/>
      </c>
      <c r="H205" s="10" t="str">
        <f aca="false">IF(D205="","",D205*N(F205))</f>
        <v/>
      </c>
      <c r="I205" s="10" t="str">
        <f aca="false">IF(D205="","",G205-H205)</f>
        <v/>
      </c>
      <c r="J205" s="80"/>
      <c r="K205" s="80"/>
      <c r="L205" s="80"/>
      <c r="M205" s="80"/>
      <c r="N205" s="80"/>
      <c r="O205" s="80"/>
      <c r="P205" s="88" t="str">
        <f aca="false">IF(D205="","",SUM(J205:O205))</f>
        <v/>
      </c>
      <c r="Q205" s="87" t="str">
        <f aca="false">IF(D205="","",D205-P205)</f>
        <v/>
      </c>
      <c r="R205" s="36" t="str">
        <f aca="false">IF(OR(D205="",N(D205)=0),"",P205/D205)</f>
        <v/>
      </c>
      <c r="S205" s="10" t="str">
        <f aca="false">IF(D205="","",P205*N(F205))</f>
        <v/>
      </c>
      <c r="T205" s="10" t="str">
        <f aca="false">IF(D205="","",Q205*N(F205))</f>
        <v/>
      </c>
      <c r="U205" s="6"/>
      <c r="V205" s="83"/>
      <c r="W205" s="15"/>
      <c r="X205" s="15"/>
      <c r="Y205" s="15"/>
      <c r="Z205" s="93"/>
      <c r="AA205" s="93"/>
      <c r="AB205" s="93"/>
      <c r="AC205" s="10" t="str">
        <f aca="false">IF(X205="","",IFERROR(INDEX(t_Hora,MATCH(X205,t_Cargo,0)),0))</f>
        <v/>
      </c>
      <c r="AD205" s="94" t="str">
        <f aca="false">IF(X205="","",N(Z205)*IF(AA205="",IFERROR(INDEX(t_Horas,MATCH(X205,t_Cargo,0)),8),AA205)+N(AB205))</f>
        <v/>
      </c>
      <c r="AE205" s="37" t="str">
        <f aca="false">IF(X205="","",AC205*(N(Z205)*IF(AA205="",IFERROR(INDEX(t_Horas,MATCH(X205,t_Cargo,0)),8),AA205)+N(AB205)*(1+p_Extra)))</f>
        <v/>
      </c>
      <c r="AF205" s="15"/>
    </row>
    <row r="206" customFormat="false" ht="16.5" hidden="false" customHeight="true" outlineLevel="0" collapsed="false">
      <c r="A206" s="23" t="str">
        <f aca="false">IF(PRESUPUESTO!$A200="Ítem",PRESUPUESTO!B200,"")</f>
        <v/>
      </c>
      <c r="B206" s="23" t="str">
        <f aca="false">IF(PRESUPUESTO!C200="","",PRESUPUESTO!C200)</f>
        <v/>
      </c>
      <c r="C206" s="86" t="str">
        <f aca="false">IF(PRESUPUESTO!$A200="Ítem",PRESUPUESTO!D200,"")</f>
        <v/>
      </c>
      <c r="D206" s="87" t="str">
        <f aca="false">IF(PRESUPUESTO!$A200="Ítem",PRESUPUESTO!E200,"")</f>
        <v/>
      </c>
      <c r="E206" s="10" t="str">
        <f aca="false">IF(D206="","",N(PRESUPUESTO!J200))</f>
        <v/>
      </c>
      <c r="F206" s="16"/>
      <c r="G206" s="10" t="str">
        <f aca="false">IF(D206="","",D206*E206)</f>
        <v/>
      </c>
      <c r="H206" s="10" t="str">
        <f aca="false">IF(D206="","",D206*N(F206))</f>
        <v/>
      </c>
      <c r="I206" s="10" t="str">
        <f aca="false">IF(D206="","",G206-H206)</f>
        <v/>
      </c>
      <c r="J206" s="80"/>
      <c r="K206" s="80"/>
      <c r="L206" s="80"/>
      <c r="M206" s="80"/>
      <c r="N206" s="80"/>
      <c r="O206" s="80"/>
      <c r="P206" s="88" t="str">
        <f aca="false">IF(D206="","",SUM(J206:O206))</f>
        <v/>
      </c>
      <c r="Q206" s="87" t="str">
        <f aca="false">IF(D206="","",D206-P206)</f>
        <v/>
      </c>
      <c r="R206" s="36" t="str">
        <f aca="false">IF(OR(D206="",N(D206)=0),"",P206/D206)</f>
        <v/>
      </c>
      <c r="S206" s="10" t="str">
        <f aca="false">IF(D206="","",P206*N(F206))</f>
        <v/>
      </c>
      <c r="T206" s="10" t="str">
        <f aca="false">IF(D206="","",Q206*N(F206))</f>
        <v/>
      </c>
      <c r="U206" s="6"/>
      <c r="V206" s="83"/>
      <c r="W206" s="15"/>
      <c r="X206" s="15"/>
      <c r="Y206" s="15"/>
      <c r="Z206" s="93"/>
      <c r="AA206" s="93"/>
      <c r="AB206" s="93"/>
      <c r="AC206" s="10" t="str">
        <f aca="false">IF(X206="","",IFERROR(INDEX(t_Hora,MATCH(X206,t_Cargo,0)),0))</f>
        <v/>
      </c>
      <c r="AD206" s="94" t="str">
        <f aca="false">IF(X206="","",N(Z206)*IF(AA206="",IFERROR(INDEX(t_Horas,MATCH(X206,t_Cargo,0)),8),AA206)+N(AB206))</f>
        <v/>
      </c>
      <c r="AE206" s="37" t="str">
        <f aca="false">IF(X206="","",AC206*(N(Z206)*IF(AA206="",IFERROR(INDEX(t_Horas,MATCH(X206,t_Cargo,0)),8),AA206)+N(AB206)*(1+p_Extra)))</f>
        <v/>
      </c>
      <c r="AF206" s="15"/>
    </row>
    <row r="207" customFormat="false" ht="16.5" hidden="false" customHeight="true" outlineLevel="0" collapsed="false">
      <c r="A207" s="23" t="str">
        <f aca="false">IF(PRESUPUESTO!$A201="Ítem",PRESUPUESTO!B201,"")</f>
        <v/>
      </c>
      <c r="B207" s="23" t="str">
        <f aca="false">IF(PRESUPUESTO!C201="","",PRESUPUESTO!C201)</f>
        <v/>
      </c>
      <c r="C207" s="86" t="str">
        <f aca="false">IF(PRESUPUESTO!$A201="Ítem",PRESUPUESTO!D201,"")</f>
        <v/>
      </c>
      <c r="D207" s="87" t="str">
        <f aca="false">IF(PRESUPUESTO!$A201="Ítem",PRESUPUESTO!E201,"")</f>
        <v/>
      </c>
      <c r="E207" s="10" t="str">
        <f aca="false">IF(D207="","",N(PRESUPUESTO!J201))</f>
        <v/>
      </c>
      <c r="F207" s="16"/>
      <c r="G207" s="10" t="str">
        <f aca="false">IF(D207="","",D207*E207)</f>
        <v/>
      </c>
      <c r="H207" s="10" t="str">
        <f aca="false">IF(D207="","",D207*N(F207))</f>
        <v/>
      </c>
      <c r="I207" s="10" t="str">
        <f aca="false">IF(D207="","",G207-H207)</f>
        <v/>
      </c>
      <c r="J207" s="80"/>
      <c r="K207" s="80"/>
      <c r="L207" s="80"/>
      <c r="M207" s="80"/>
      <c r="N207" s="80"/>
      <c r="O207" s="80"/>
      <c r="P207" s="88" t="str">
        <f aca="false">IF(D207="","",SUM(J207:O207))</f>
        <v/>
      </c>
      <c r="Q207" s="87" t="str">
        <f aca="false">IF(D207="","",D207-P207)</f>
        <v/>
      </c>
      <c r="R207" s="36" t="str">
        <f aca="false">IF(OR(D207="",N(D207)=0),"",P207/D207)</f>
        <v/>
      </c>
      <c r="S207" s="10" t="str">
        <f aca="false">IF(D207="","",P207*N(F207))</f>
        <v/>
      </c>
      <c r="T207" s="10" t="str">
        <f aca="false">IF(D207="","",Q207*N(F207))</f>
        <v/>
      </c>
      <c r="U207" s="6"/>
      <c r="V207" s="83"/>
      <c r="W207" s="15"/>
      <c r="X207" s="15"/>
      <c r="Y207" s="15"/>
      <c r="Z207" s="93"/>
      <c r="AA207" s="93"/>
      <c r="AB207" s="93"/>
      <c r="AC207" s="10" t="str">
        <f aca="false">IF(X207="","",IFERROR(INDEX(t_Hora,MATCH(X207,t_Cargo,0)),0))</f>
        <v/>
      </c>
      <c r="AD207" s="94" t="str">
        <f aca="false">IF(X207="","",N(Z207)*IF(AA207="",IFERROR(INDEX(t_Horas,MATCH(X207,t_Cargo,0)),8),AA207)+N(AB207))</f>
        <v/>
      </c>
      <c r="AE207" s="37" t="str">
        <f aca="false">IF(X207="","",AC207*(N(Z207)*IF(AA207="",IFERROR(INDEX(t_Horas,MATCH(X207,t_Cargo,0)),8),AA207)+N(AB207)*(1+p_Extra)))</f>
        <v/>
      </c>
      <c r="AF207" s="15"/>
    </row>
    <row r="208" customFormat="false" ht="16.5" hidden="false" customHeight="true" outlineLevel="0" collapsed="false">
      <c r="A208" s="23" t="str">
        <f aca="false">IF(PRESUPUESTO!$A202="Ítem",PRESUPUESTO!B202,"")</f>
        <v/>
      </c>
      <c r="B208" s="23" t="str">
        <f aca="false">IF(PRESUPUESTO!C202="","",PRESUPUESTO!C202)</f>
        <v/>
      </c>
      <c r="C208" s="86" t="str">
        <f aca="false">IF(PRESUPUESTO!$A202="Ítem",PRESUPUESTO!D202,"")</f>
        <v/>
      </c>
      <c r="D208" s="87" t="str">
        <f aca="false">IF(PRESUPUESTO!$A202="Ítem",PRESUPUESTO!E202,"")</f>
        <v/>
      </c>
      <c r="E208" s="10" t="str">
        <f aca="false">IF(D208="","",N(PRESUPUESTO!J202))</f>
        <v/>
      </c>
      <c r="F208" s="16"/>
      <c r="G208" s="10" t="str">
        <f aca="false">IF(D208="","",D208*E208)</f>
        <v/>
      </c>
      <c r="H208" s="10" t="str">
        <f aca="false">IF(D208="","",D208*N(F208))</f>
        <v/>
      </c>
      <c r="I208" s="10" t="str">
        <f aca="false">IF(D208="","",G208-H208)</f>
        <v/>
      </c>
      <c r="J208" s="80"/>
      <c r="K208" s="80"/>
      <c r="L208" s="80"/>
      <c r="M208" s="80"/>
      <c r="N208" s="80"/>
      <c r="O208" s="80"/>
      <c r="P208" s="88" t="str">
        <f aca="false">IF(D208="","",SUM(J208:O208))</f>
        <v/>
      </c>
      <c r="Q208" s="87" t="str">
        <f aca="false">IF(D208="","",D208-P208)</f>
        <v/>
      </c>
      <c r="R208" s="36" t="str">
        <f aca="false">IF(OR(D208="",N(D208)=0),"",P208/D208)</f>
        <v/>
      </c>
      <c r="S208" s="10" t="str">
        <f aca="false">IF(D208="","",P208*N(F208))</f>
        <v/>
      </c>
      <c r="T208" s="10" t="str">
        <f aca="false">IF(D208="","",Q208*N(F208))</f>
        <v/>
      </c>
      <c r="U208" s="6"/>
      <c r="V208" s="83"/>
      <c r="W208" s="15"/>
      <c r="X208" s="15"/>
      <c r="Y208" s="15"/>
      <c r="Z208" s="93"/>
      <c r="AA208" s="93"/>
      <c r="AB208" s="93"/>
      <c r="AC208" s="10" t="str">
        <f aca="false">IF(X208="","",IFERROR(INDEX(t_Hora,MATCH(X208,t_Cargo,0)),0))</f>
        <v/>
      </c>
      <c r="AD208" s="94" t="str">
        <f aca="false">IF(X208="","",N(Z208)*IF(AA208="",IFERROR(INDEX(t_Horas,MATCH(X208,t_Cargo,0)),8),AA208)+N(AB208))</f>
        <v/>
      </c>
      <c r="AE208" s="37" t="str">
        <f aca="false">IF(X208="","",AC208*(N(Z208)*IF(AA208="",IFERROR(INDEX(t_Horas,MATCH(X208,t_Cargo,0)),8),AA208)+N(AB208)*(1+p_Extra)))</f>
        <v/>
      </c>
      <c r="AF208" s="15"/>
    </row>
    <row r="209" customFormat="false" ht="16.5" hidden="false" customHeight="true" outlineLevel="0" collapsed="false">
      <c r="A209" s="23" t="str">
        <f aca="false">IF(PRESUPUESTO!$A203="Ítem",PRESUPUESTO!B203,"")</f>
        <v/>
      </c>
      <c r="B209" s="23" t="str">
        <f aca="false">IF(PRESUPUESTO!C203="","",PRESUPUESTO!C203)</f>
        <v/>
      </c>
      <c r="C209" s="86" t="str">
        <f aca="false">IF(PRESUPUESTO!$A203="Ítem",PRESUPUESTO!D203,"")</f>
        <v/>
      </c>
      <c r="D209" s="87" t="str">
        <f aca="false">IF(PRESUPUESTO!$A203="Ítem",PRESUPUESTO!E203,"")</f>
        <v/>
      </c>
      <c r="E209" s="10" t="str">
        <f aca="false">IF(D209="","",N(PRESUPUESTO!J203))</f>
        <v/>
      </c>
      <c r="F209" s="16"/>
      <c r="G209" s="10" t="str">
        <f aca="false">IF(D209="","",D209*E209)</f>
        <v/>
      </c>
      <c r="H209" s="10" t="str">
        <f aca="false">IF(D209="","",D209*N(F209))</f>
        <v/>
      </c>
      <c r="I209" s="10" t="str">
        <f aca="false">IF(D209="","",G209-H209)</f>
        <v/>
      </c>
      <c r="J209" s="80"/>
      <c r="K209" s="80"/>
      <c r="L209" s="80"/>
      <c r="M209" s="80"/>
      <c r="N209" s="80"/>
      <c r="O209" s="80"/>
      <c r="P209" s="88" t="str">
        <f aca="false">IF(D209="","",SUM(J209:O209))</f>
        <v/>
      </c>
      <c r="Q209" s="87" t="str">
        <f aca="false">IF(D209="","",D209-P209)</f>
        <v/>
      </c>
      <c r="R209" s="36" t="str">
        <f aca="false">IF(OR(D209="",N(D209)=0),"",P209/D209)</f>
        <v/>
      </c>
      <c r="S209" s="10" t="str">
        <f aca="false">IF(D209="","",P209*N(F209))</f>
        <v/>
      </c>
      <c r="T209" s="10" t="str">
        <f aca="false">IF(D209="","",Q209*N(F209))</f>
        <v/>
      </c>
      <c r="U209" s="6"/>
      <c r="V209" s="83"/>
      <c r="W209" s="15"/>
      <c r="X209" s="15"/>
      <c r="Y209" s="15"/>
      <c r="Z209" s="93"/>
      <c r="AA209" s="93"/>
      <c r="AB209" s="93"/>
      <c r="AC209" s="10" t="str">
        <f aca="false">IF(X209="","",IFERROR(INDEX(t_Hora,MATCH(X209,t_Cargo,0)),0))</f>
        <v/>
      </c>
      <c r="AD209" s="94" t="str">
        <f aca="false">IF(X209="","",N(Z209)*IF(AA209="",IFERROR(INDEX(t_Horas,MATCH(X209,t_Cargo,0)),8),AA209)+N(AB209))</f>
        <v/>
      </c>
      <c r="AE209" s="37" t="str">
        <f aca="false">IF(X209="","",AC209*(N(Z209)*IF(AA209="",IFERROR(INDEX(t_Horas,MATCH(X209,t_Cargo,0)),8),AA209)+N(AB209)*(1+p_Extra)))</f>
        <v/>
      </c>
      <c r="AF209" s="15"/>
    </row>
    <row r="210" customFormat="false" ht="16.5" hidden="false" customHeight="true" outlineLevel="0" collapsed="false">
      <c r="A210" s="23" t="str">
        <f aca="false">IF(PRESUPUESTO!$A204="Ítem",PRESUPUESTO!B204,"")</f>
        <v/>
      </c>
      <c r="B210" s="23" t="str">
        <f aca="false">IF(PRESUPUESTO!C204="","",PRESUPUESTO!C204)</f>
        <v/>
      </c>
      <c r="C210" s="86" t="str">
        <f aca="false">IF(PRESUPUESTO!$A204="Ítem",PRESUPUESTO!D204,"")</f>
        <v/>
      </c>
      <c r="D210" s="87" t="str">
        <f aca="false">IF(PRESUPUESTO!$A204="Ítem",PRESUPUESTO!E204,"")</f>
        <v/>
      </c>
      <c r="E210" s="10" t="str">
        <f aca="false">IF(D210="","",N(PRESUPUESTO!J204))</f>
        <v/>
      </c>
      <c r="F210" s="16"/>
      <c r="G210" s="10" t="str">
        <f aca="false">IF(D210="","",D210*E210)</f>
        <v/>
      </c>
      <c r="H210" s="10" t="str">
        <f aca="false">IF(D210="","",D210*N(F210))</f>
        <v/>
      </c>
      <c r="I210" s="10" t="str">
        <f aca="false">IF(D210="","",G210-H210)</f>
        <v/>
      </c>
      <c r="J210" s="80"/>
      <c r="K210" s="80"/>
      <c r="L210" s="80"/>
      <c r="M210" s="80"/>
      <c r="N210" s="80"/>
      <c r="O210" s="80"/>
      <c r="P210" s="88" t="str">
        <f aca="false">IF(D210="","",SUM(J210:O210))</f>
        <v/>
      </c>
      <c r="Q210" s="87" t="str">
        <f aca="false">IF(D210="","",D210-P210)</f>
        <v/>
      </c>
      <c r="R210" s="36" t="str">
        <f aca="false">IF(OR(D210="",N(D210)=0),"",P210/D210)</f>
        <v/>
      </c>
      <c r="S210" s="10" t="str">
        <f aca="false">IF(D210="","",P210*N(F210))</f>
        <v/>
      </c>
      <c r="T210" s="10" t="str">
        <f aca="false">IF(D210="","",Q210*N(F210))</f>
        <v/>
      </c>
      <c r="U210" s="6"/>
      <c r="V210" s="83"/>
      <c r="W210" s="15"/>
      <c r="X210" s="15"/>
      <c r="Y210" s="15"/>
      <c r="Z210" s="93"/>
      <c r="AA210" s="93"/>
      <c r="AB210" s="93"/>
      <c r="AC210" s="10" t="str">
        <f aca="false">IF(X210="","",IFERROR(INDEX(t_Hora,MATCH(X210,t_Cargo,0)),0))</f>
        <v/>
      </c>
      <c r="AD210" s="94" t="str">
        <f aca="false">IF(X210="","",N(Z210)*IF(AA210="",IFERROR(INDEX(t_Horas,MATCH(X210,t_Cargo,0)),8),AA210)+N(AB210))</f>
        <v/>
      </c>
      <c r="AE210" s="37" t="str">
        <f aca="false">IF(X210="","",AC210*(N(Z210)*IF(AA210="",IFERROR(INDEX(t_Horas,MATCH(X210,t_Cargo,0)),8),AA210)+N(AB210)*(1+p_Extra)))</f>
        <v/>
      </c>
      <c r="AF210" s="15"/>
    </row>
    <row r="211" customFormat="false" ht="16.5" hidden="false" customHeight="true" outlineLevel="0" collapsed="false">
      <c r="A211" s="23" t="str">
        <f aca="false">IF(PRESUPUESTO!$A205="Ítem",PRESUPUESTO!B205,"")</f>
        <v/>
      </c>
      <c r="B211" s="23" t="str">
        <f aca="false">IF(PRESUPUESTO!C205="","",PRESUPUESTO!C205)</f>
        <v/>
      </c>
      <c r="C211" s="86" t="str">
        <f aca="false">IF(PRESUPUESTO!$A205="Ítem",PRESUPUESTO!D205,"")</f>
        <v/>
      </c>
      <c r="D211" s="87" t="str">
        <f aca="false">IF(PRESUPUESTO!$A205="Ítem",PRESUPUESTO!E205,"")</f>
        <v/>
      </c>
      <c r="E211" s="10" t="str">
        <f aca="false">IF(D211="","",N(PRESUPUESTO!J205))</f>
        <v/>
      </c>
      <c r="F211" s="16"/>
      <c r="G211" s="10" t="str">
        <f aca="false">IF(D211="","",D211*E211)</f>
        <v/>
      </c>
      <c r="H211" s="10" t="str">
        <f aca="false">IF(D211="","",D211*N(F211))</f>
        <v/>
      </c>
      <c r="I211" s="10" t="str">
        <f aca="false">IF(D211="","",G211-H211)</f>
        <v/>
      </c>
      <c r="J211" s="80"/>
      <c r="K211" s="80"/>
      <c r="L211" s="80"/>
      <c r="M211" s="80"/>
      <c r="N211" s="80"/>
      <c r="O211" s="80"/>
      <c r="P211" s="88" t="str">
        <f aca="false">IF(D211="","",SUM(J211:O211))</f>
        <v/>
      </c>
      <c r="Q211" s="87" t="str">
        <f aca="false">IF(D211="","",D211-P211)</f>
        <v/>
      </c>
      <c r="R211" s="36" t="str">
        <f aca="false">IF(OR(D211="",N(D211)=0),"",P211/D211)</f>
        <v/>
      </c>
      <c r="S211" s="10" t="str">
        <f aca="false">IF(D211="","",P211*N(F211))</f>
        <v/>
      </c>
      <c r="T211" s="10" t="str">
        <f aca="false">IF(D211="","",Q211*N(F211))</f>
        <v/>
      </c>
      <c r="U211" s="6"/>
      <c r="V211" s="83"/>
      <c r="W211" s="15"/>
      <c r="X211" s="15"/>
      <c r="Y211" s="15"/>
      <c r="Z211" s="93"/>
      <c r="AA211" s="93"/>
      <c r="AB211" s="93"/>
      <c r="AC211" s="10" t="str">
        <f aca="false">IF(X211="","",IFERROR(INDEX(t_Hora,MATCH(X211,t_Cargo,0)),0))</f>
        <v/>
      </c>
      <c r="AD211" s="94" t="str">
        <f aca="false">IF(X211="","",N(Z211)*IF(AA211="",IFERROR(INDEX(t_Horas,MATCH(X211,t_Cargo,0)),8),AA211)+N(AB211))</f>
        <v/>
      </c>
      <c r="AE211" s="37" t="str">
        <f aca="false">IF(X211="","",AC211*(N(Z211)*IF(AA211="",IFERROR(INDEX(t_Horas,MATCH(X211,t_Cargo,0)),8),AA211)+N(AB211)*(1+p_Extra)))</f>
        <v/>
      </c>
      <c r="AF211" s="15"/>
    </row>
    <row r="212" customFormat="false" ht="16.5" hidden="false" customHeight="true" outlineLevel="0" collapsed="false">
      <c r="A212" s="23" t="str">
        <f aca="false">IF(PRESUPUESTO!$A206="Ítem",PRESUPUESTO!B206,"")</f>
        <v/>
      </c>
      <c r="B212" s="23" t="str">
        <f aca="false">IF(PRESUPUESTO!C206="","",PRESUPUESTO!C206)</f>
        <v/>
      </c>
      <c r="C212" s="86" t="str">
        <f aca="false">IF(PRESUPUESTO!$A206="Ítem",PRESUPUESTO!D206,"")</f>
        <v/>
      </c>
      <c r="D212" s="87" t="str">
        <f aca="false">IF(PRESUPUESTO!$A206="Ítem",PRESUPUESTO!E206,"")</f>
        <v/>
      </c>
      <c r="E212" s="10" t="str">
        <f aca="false">IF(D212="","",N(PRESUPUESTO!J206))</f>
        <v/>
      </c>
      <c r="F212" s="16"/>
      <c r="G212" s="10" t="str">
        <f aca="false">IF(D212="","",D212*E212)</f>
        <v/>
      </c>
      <c r="H212" s="10" t="str">
        <f aca="false">IF(D212="","",D212*N(F212))</f>
        <v/>
      </c>
      <c r="I212" s="10" t="str">
        <f aca="false">IF(D212="","",G212-H212)</f>
        <v/>
      </c>
      <c r="J212" s="80"/>
      <c r="K212" s="80"/>
      <c r="L212" s="80"/>
      <c r="M212" s="80"/>
      <c r="N212" s="80"/>
      <c r="O212" s="80"/>
      <c r="P212" s="88" t="str">
        <f aca="false">IF(D212="","",SUM(J212:O212))</f>
        <v/>
      </c>
      <c r="Q212" s="87" t="str">
        <f aca="false">IF(D212="","",D212-P212)</f>
        <v/>
      </c>
      <c r="R212" s="36" t="str">
        <f aca="false">IF(OR(D212="",N(D212)=0),"",P212/D212)</f>
        <v/>
      </c>
      <c r="S212" s="10" t="str">
        <f aca="false">IF(D212="","",P212*N(F212))</f>
        <v/>
      </c>
      <c r="T212" s="10" t="str">
        <f aca="false">IF(D212="","",Q212*N(F212))</f>
        <v/>
      </c>
      <c r="U212" s="6"/>
      <c r="V212" s="83"/>
      <c r="W212" s="15"/>
      <c r="X212" s="15"/>
      <c r="Y212" s="15"/>
      <c r="Z212" s="93"/>
      <c r="AA212" s="93"/>
      <c r="AB212" s="93"/>
      <c r="AC212" s="10" t="str">
        <f aca="false">IF(X212="","",IFERROR(INDEX(t_Hora,MATCH(X212,t_Cargo,0)),0))</f>
        <v/>
      </c>
      <c r="AD212" s="94" t="str">
        <f aca="false">IF(X212="","",N(Z212)*IF(AA212="",IFERROR(INDEX(t_Horas,MATCH(X212,t_Cargo,0)),8),AA212)+N(AB212))</f>
        <v/>
      </c>
      <c r="AE212" s="37" t="str">
        <f aca="false">IF(X212="","",AC212*(N(Z212)*IF(AA212="",IFERROR(INDEX(t_Horas,MATCH(X212,t_Cargo,0)),8),AA212)+N(AB212)*(1+p_Extra)))</f>
        <v/>
      </c>
      <c r="AF212" s="15"/>
    </row>
    <row r="213" customFormat="false" ht="16.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83"/>
      <c r="W213" s="15"/>
      <c r="X213" s="15"/>
      <c r="Y213" s="15"/>
      <c r="Z213" s="93"/>
      <c r="AA213" s="93"/>
      <c r="AB213" s="93"/>
      <c r="AC213" s="10" t="str">
        <f aca="false">IF(X213="","",IFERROR(INDEX(t_Hora,MATCH(X213,t_Cargo,0)),0))</f>
        <v/>
      </c>
      <c r="AD213" s="94" t="str">
        <f aca="false">IF(X213="","",N(Z213)*IF(AA213="",IFERROR(INDEX(t_Horas,MATCH(X213,t_Cargo,0)),8),AA213)+N(AB213))</f>
        <v/>
      </c>
      <c r="AE213" s="37" t="str">
        <f aca="false">IF(X213="","",AC213*(N(Z213)*IF(AA213="",IFERROR(INDEX(t_Horas,MATCH(X213,t_Cargo,0)),8),AA213)+N(AB213)*(1+p_Extra)))</f>
        <v/>
      </c>
      <c r="AF213" s="15"/>
    </row>
    <row r="214" customFormat="false" ht="16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83"/>
      <c r="W214" s="15"/>
      <c r="X214" s="15"/>
      <c r="Y214" s="15"/>
      <c r="Z214" s="93"/>
      <c r="AA214" s="93"/>
      <c r="AB214" s="93"/>
      <c r="AC214" s="10" t="str">
        <f aca="false">IF(X214="","",IFERROR(INDEX(t_Hora,MATCH(X214,t_Cargo,0)),0))</f>
        <v/>
      </c>
      <c r="AD214" s="94" t="str">
        <f aca="false">IF(X214="","",N(Z214)*IF(AA214="",IFERROR(INDEX(t_Horas,MATCH(X214,t_Cargo,0)),8),AA214)+N(AB214))</f>
        <v/>
      </c>
      <c r="AE214" s="37" t="str">
        <f aca="false">IF(X214="","",AC214*(N(Z214)*IF(AA214="",IFERROR(INDEX(t_Horas,MATCH(X214,t_Cargo,0)),8),AA214)+N(AB214)*(1+p_Extra)))</f>
        <v/>
      </c>
      <c r="AF214" s="15"/>
    </row>
    <row r="215" customFormat="false" ht="16.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83"/>
      <c r="W215" s="15"/>
      <c r="X215" s="15"/>
      <c r="Y215" s="15"/>
      <c r="Z215" s="93"/>
      <c r="AA215" s="93"/>
      <c r="AB215" s="93"/>
      <c r="AC215" s="10" t="str">
        <f aca="false">IF(X215="","",IFERROR(INDEX(t_Hora,MATCH(X215,t_Cargo,0)),0))</f>
        <v/>
      </c>
      <c r="AD215" s="94" t="str">
        <f aca="false">IF(X215="","",N(Z215)*IF(AA215="",IFERROR(INDEX(t_Horas,MATCH(X215,t_Cargo,0)),8),AA215)+N(AB215))</f>
        <v/>
      </c>
      <c r="AE215" s="37" t="str">
        <f aca="false">IF(X215="","",AC215*(N(Z215)*IF(AA215="",IFERROR(INDEX(t_Horas,MATCH(X215,t_Cargo,0)),8),AA215)+N(AB215)*(1+p_Extra)))</f>
        <v/>
      </c>
      <c r="AF215" s="15"/>
    </row>
    <row r="216" customFormat="false" ht="16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83"/>
      <c r="W216" s="15"/>
      <c r="X216" s="15"/>
      <c r="Y216" s="15"/>
      <c r="Z216" s="93"/>
      <c r="AA216" s="93"/>
      <c r="AB216" s="93"/>
      <c r="AC216" s="10" t="str">
        <f aca="false">IF(X216="","",IFERROR(INDEX(t_Hora,MATCH(X216,t_Cargo,0)),0))</f>
        <v/>
      </c>
      <c r="AD216" s="94" t="str">
        <f aca="false">IF(X216="","",N(Z216)*IF(AA216="",IFERROR(INDEX(t_Horas,MATCH(X216,t_Cargo,0)),8),AA216)+N(AB216))</f>
        <v/>
      </c>
      <c r="AE216" s="37" t="str">
        <f aca="false">IF(X216="","",AC216*(N(Z216)*IF(AA216="",IFERROR(INDEX(t_Horas,MATCH(X216,t_Cargo,0)),8),AA216)+N(AB216)*(1+p_Extra)))</f>
        <v/>
      </c>
      <c r="AF216" s="15"/>
    </row>
    <row r="217" customFormat="false" ht="16.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83"/>
      <c r="W217" s="15"/>
      <c r="X217" s="15"/>
      <c r="Y217" s="15"/>
      <c r="Z217" s="93"/>
      <c r="AA217" s="93"/>
      <c r="AB217" s="93"/>
      <c r="AC217" s="10" t="str">
        <f aca="false">IF(X217="","",IFERROR(INDEX(t_Hora,MATCH(X217,t_Cargo,0)),0))</f>
        <v/>
      </c>
      <c r="AD217" s="94" t="str">
        <f aca="false">IF(X217="","",N(Z217)*IF(AA217="",IFERROR(INDEX(t_Horas,MATCH(X217,t_Cargo,0)),8),AA217)+N(AB217))</f>
        <v/>
      </c>
      <c r="AE217" s="37" t="str">
        <f aca="false">IF(X217="","",AC217*(N(Z217)*IF(AA217="",IFERROR(INDEX(t_Horas,MATCH(X217,t_Cargo,0)),8),AA217)+N(AB217)*(1+p_Extra)))</f>
        <v/>
      </c>
      <c r="AF217" s="15"/>
    </row>
    <row r="218" customFormat="false" ht="16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83"/>
      <c r="W218" s="15"/>
      <c r="X218" s="15"/>
      <c r="Y218" s="15"/>
      <c r="Z218" s="93"/>
      <c r="AA218" s="93"/>
      <c r="AB218" s="93"/>
      <c r="AC218" s="10" t="str">
        <f aca="false">IF(X218="","",IFERROR(INDEX(t_Hora,MATCH(X218,t_Cargo,0)),0))</f>
        <v/>
      </c>
      <c r="AD218" s="94" t="str">
        <f aca="false">IF(X218="","",N(Z218)*IF(AA218="",IFERROR(INDEX(t_Horas,MATCH(X218,t_Cargo,0)),8),AA218)+N(AB218))</f>
        <v/>
      </c>
      <c r="AE218" s="37" t="str">
        <f aca="false">IF(X218="","",AC218*(N(Z218)*IF(AA218="",IFERROR(INDEX(t_Horas,MATCH(X218,t_Cargo,0)),8),AA218)+N(AB218)*(1+p_Extra)))</f>
        <v/>
      </c>
      <c r="AF218" s="15"/>
    </row>
    <row r="219" customFormat="false" ht="16.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83"/>
      <c r="W219" s="15"/>
      <c r="X219" s="15"/>
      <c r="Y219" s="15"/>
      <c r="Z219" s="93"/>
      <c r="AA219" s="93"/>
      <c r="AB219" s="93"/>
      <c r="AC219" s="10" t="str">
        <f aca="false">IF(X219="","",IFERROR(INDEX(t_Hora,MATCH(X219,t_Cargo,0)),0))</f>
        <v/>
      </c>
      <c r="AD219" s="94" t="str">
        <f aca="false">IF(X219="","",N(Z219)*IF(AA219="",IFERROR(INDEX(t_Horas,MATCH(X219,t_Cargo,0)),8),AA219)+N(AB219))</f>
        <v/>
      </c>
      <c r="AE219" s="37" t="str">
        <f aca="false">IF(X219="","",AC219*(N(Z219)*IF(AA219="",IFERROR(INDEX(t_Horas,MATCH(X219,t_Cargo,0)),8),AA219)+N(AB219)*(1+p_Extra)))</f>
        <v/>
      </c>
      <c r="AF219" s="15"/>
    </row>
    <row r="220" customFormat="false" ht="16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83"/>
      <c r="W220" s="15"/>
      <c r="X220" s="15"/>
      <c r="Y220" s="15"/>
      <c r="Z220" s="93"/>
      <c r="AA220" s="93"/>
      <c r="AB220" s="93"/>
      <c r="AC220" s="10" t="str">
        <f aca="false">IF(X220="","",IFERROR(INDEX(t_Hora,MATCH(X220,t_Cargo,0)),0))</f>
        <v/>
      </c>
      <c r="AD220" s="94" t="str">
        <f aca="false">IF(X220="","",N(Z220)*IF(AA220="",IFERROR(INDEX(t_Horas,MATCH(X220,t_Cargo,0)),8),AA220)+N(AB220))</f>
        <v/>
      </c>
      <c r="AE220" s="37" t="str">
        <f aca="false">IF(X220="","",AC220*(N(Z220)*IF(AA220="",IFERROR(INDEX(t_Horas,MATCH(X220,t_Cargo,0)),8),AA220)+N(AB220)*(1+p_Extra)))</f>
        <v/>
      </c>
      <c r="AF220" s="15"/>
    </row>
    <row r="221" customFormat="false" ht="16.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83"/>
      <c r="W221" s="15"/>
      <c r="X221" s="15"/>
      <c r="Y221" s="15"/>
      <c r="Z221" s="93"/>
      <c r="AA221" s="93"/>
      <c r="AB221" s="93"/>
      <c r="AC221" s="10" t="str">
        <f aca="false">IF(X221="","",IFERROR(INDEX(t_Hora,MATCH(X221,t_Cargo,0)),0))</f>
        <v/>
      </c>
      <c r="AD221" s="94" t="str">
        <f aca="false">IF(X221="","",N(Z221)*IF(AA221="",IFERROR(INDEX(t_Horas,MATCH(X221,t_Cargo,0)),8),AA221)+N(AB221))</f>
        <v/>
      </c>
      <c r="AE221" s="37" t="str">
        <f aca="false">IF(X221="","",AC221*(N(Z221)*IF(AA221="",IFERROR(INDEX(t_Horas,MATCH(X221,t_Cargo,0)),8),AA221)+N(AB221)*(1+p_Extra)))</f>
        <v/>
      </c>
      <c r="AF221" s="15"/>
    </row>
    <row r="222" customFormat="false" ht="16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83"/>
      <c r="W222" s="15"/>
      <c r="X222" s="15"/>
      <c r="Y222" s="15"/>
      <c r="Z222" s="93"/>
      <c r="AA222" s="93"/>
      <c r="AB222" s="93"/>
      <c r="AC222" s="10" t="str">
        <f aca="false">IF(X222="","",IFERROR(INDEX(t_Hora,MATCH(X222,t_Cargo,0)),0))</f>
        <v/>
      </c>
      <c r="AD222" s="94" t="str">
        <f aca="false">IF(X222="","",N(Z222)*IF(AA222="",IFERROR(INDEX(t_Horas,MATCH(X222,t_Cargo,0)),8),AA222)+N(AB222))</f>
        <v/>
      </c>
      <c r="AE222" s="37" t="str">
        <f aca="false">IF(X222="","",AC222*(N(Z222)*IF(AA222="",IFERROR(INDEX(t_Horas,MATCH(X222,t_Cargo,0)),8),AA222)+N(AB222)*(1+p_Extra)))</f>
        <v/>
      </c>
      <c r="AF222" s="15"/>
    </row>
    <row r="223" customFormat="false" ht="16.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83"/>
      <c r="W223" s="15"/>
      <c r="X223" s="15"/>
      <c r="Y223" s="15"/>
      <c r="Z223" s="93"/>
      <c r="AA223" s="93"/>
      <c r="AB223" s="93"/>
      <c r="AC223" s="10" t="str">
        <f aca="false">IF(X223="","",IFERROR(INDEX(t_Hora,MATCH(X223,t_Cargo,0)),0))</f>
        <v/>
      </c>
      <c r="AD223" s="94" t="str">
        <f aca="false">IF(X223="","",N(Z223)*IF(AA223="",IFERROR(INDEX(t_Horas,MATCH(X223,t_Cargo,0)),8),AA223)+N(AB223))</f>
        <v/>
      </c>
      <c r="AE223" s="37" t="str">
        <f aca="false">IF(X223="","",AC223*(N(Z223)*IF(AA223="",IFERROR(INDEX(t_Horas,MATCH(X223,t_Cargo,0)),8),AA223)+N(AB223)*(1+p_Extra)))</f>
        <v/>
      </c>
      <c r="AF223" s="15"/>
    </row>
    <row r="224" customFormat="false" ht="16.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83"/>
      <c r="W224" s="15"/>
      <c r="X224" s="15"/>
      <c r="Y224" s="15"/>
      <c r="Z224" s="93"/>
      <c r="AA224" s="93"/>
      <c r="AB224" s="93"/>
      <c r="AC224" s="10" t="str">
        <f aca="false">IF(X224="","",IFERROR(INDEX(t_Hora,MATCH(X224,t_Cargo,0)),0))</f>
        <v/>
      </c>
      <c r="AD224" s="94" t="str">
        <f aca="false">IF(X224="","",N(Z224)*IF(AA224="",IFERROR(INDEX(t_Horas,MATCH(X224,t_Cargo,0)),8),AA224)+N(AB224))</f>
        <v/>
      </c>
      <c r="AE224" s="37" t="str">
        <f aca="false">IF(X224="","",AC224*(N(Z224)*IF(AA224="",IFERROR(INDEX(t_Horas,MATCH(X224,t_Cargo,0)),8),AA224)+N(AB224)*(1+p_Extra)))</f>
        <v/>
      </c>
      <c r="AF224" s="15"/>
    </row>
    <row r="225" customFormat="false" ht="16.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83"/>
      <c r="W225" s="15"/>
      <c r="X225" s="15"/>
      <c r="Y225" s="15"/>
      <c r="Z225" s="93"/>
      <c r="AA225" s="93"/>
      <c r="AB225" s="93"/>
      <c r="AC225" s="10" t="str">
        <f aca="false">IF(X225="","",IFERROR(INDEX(t_Hora,MATCH(X225,t_Cargo,0)),0))</f>
        <v/>
      </c>
      <c r="AD225" s="94" t="str">
        <f aca="false">IF(X225="","",N(Z225)*IF(AA225="",IFERROR(INDEX(t_Horas,MATCH(X225,t_Cargo,0)),8),AA225)+N(AB225))</f>
        <v/>
      </c>
      <c r="AE225" s="37" t="str">
        <f aca="false">IF(X225="","",AC225*(N(Z225)*IF(AA225="",IFERROR(INDEX(t_Horas,MATCH(X225,t_Cargo,0)),8),AA225)+N(AB225)*(1+p_Extra)))</f>
        <v/>
      </c>
      <c r="AF225" s="15"/>
    </row>
    <row r="226" customFormat="false" ht="16.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83"/>
      <c r="W226" s="15"/>
      <c r="X226" s="15"/>
      <c r="Y226" s="15"/>
      <c r="Z226" s="93"/>
      <c r="AA226" s="93"/>
      <c r="AB226" s="93"/>
      <c r="AC226" s="10" t="str">
        <f aca="false">IF(X226="","",IFERROR(INDEX(t_Hora,MATCH(X226,t_Cargo,0)),0))</f>
        <v/>
      </c>
      <c r="AD226" s="94" t="str">
        <f aca="false">IF(X226="","",N(Z226)*IF(AA226="",IFERROR(INDEX(t_Horas,MATCH(X226,t_Cargo,0)),8),AA226)+N(AB226))</f>
        <v/>
      </c>
      <c r="AE226" s="37" t="str">
        <f aca="false">IF(X226="","",AC226*(N(Z226)*IF(AA226="",IFERROR(INDEX(t_Horas,MATCH(X226,t_Cargo,0)),8),AA226)+N(AB226)*(1+p_Extra)))</f>
        <v/>
      </c>
      <c r="AF226" s="15"/>
    </row>
    <row r="227" customFormat="false" ht="16.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83"/>
      <c r="W227" s="15"/>
      <c r="X227" s="15"/>
      <c r="Y227" s="15"/>
      <c r="Z227" s="93"/>
      <c r="AA227" s="93"/>
      <c r="AB227" s="93"/>
      <c r="AC227" s="10" t="str">
        <f aca="false">IF(X227="","",IFERROR(INDEX(t_Hora,MATCH(X227,t_Cargo,0)),0))</f>
        <v/>
      </c>
      <c r="AD227" s="94" t="str">
        <f aca="false">IF(X227="","",N(Z227)*IF(AA227="",IFERROR(INDEX(t_Horas,MATCH(X227,t_Cargo,0)),8),AA227)+N(AB227))</f>
        <v/>
      </c>
      <c r="AE227" s="37" t="str">
        <f aca="false">IF(X227="","",AC227*(N(Z227)*IF(AA227="",IFERROR(INDEX(t_Horas,MATCH(X227,t_Cargo,0)),8),AA227)+N(AB227)*(1+p_Extra)))</f>
        <v/>
      </c>
      <c r="AF227" s="15"/>
    </row>
    <row r="228" customFormat="false" ht="16.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83"/>
      <c r="W228" s="15"/>
      <c r="X228" s="15"/>
      <c r="Y228" s="15"/>
      <c r="Z228" s="93"/>
      <c r="AA228" s="93"/>
      <c r="AB228" s="93"/>
      <c r="AC228" s="10" t="str">
        <f aca="false">IF(X228="","",IFERROR(INDEX(t_Hora,MATCH(X228,t_Cargo,0)),0))</f>
        <v/>
      </c>
      <c r="AD228" s="94" t="str">
        <f aca="false">IF(X228="","",N(Z228)*IF(AA228="",IFERROR(INDEX(t_Horas,MATCH(X228,t_Cargo,0)),8),AA228)+N(AB228))</f>
        <v/>
      </c>
      <c r="AE228" s="37" t="str">
        <f aca="false">IF(X228="","",AC228*(N(Z228)*IF(AA228="",IFERROR(INDEX(t_Horas,MATCH(X228,t_Cargo,0)),8),AA228)+N(AB228)*(1+p_Extra)))</f>
        <v/>
      </c>
      <c r="AF228" s="15"/>
    </row>
    <row r="229" customFormat="false" ht="16.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83"/>
      <c r="W229" s="15"/>
      <c r="X229" s="15"/>
      <c r="Y229" s="15"/>
      <c r="Z229" s="93"/>
      <c r="AA229" s="93"/>
      <c r="AB229" s="93"/>
      <c r="AC229" s="10" t="str">
        <f aca="false">IF(X229="","",IFERROR(INDEX(t_Hora,MATCH(X229,t_Cargo,0)),0))</f>
        <v/>
      </c>
      <c r="AD229" s="94" t="str">
        <f aca="false">IF(X229="","",N(Z229)*IF(AA229="",IFERROR(INDEX(t_Horas,MATCH(X229,t_Cargo,0)),8),AA229)+N(AB229))</f>
        <v/>
      </c>
      <c r="AE229" s="37" t="str">
        <f aca="false">IF(X229="","",AC229*(N(Z229)*IF(AA229="",IFERROR(INDEX(t_Horas,MATCH(X229,t_Cargo,0)),8),AA229)+N(AB229)*(1+p_Extra)))</f>
        <v/>
      </c>
      <c r="AF229" s="15"/>
    </row>
    <row r="230" customFormat="false" ht="16.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83"/>
      <c r="W230" s="15"/>
      <c r="X230" s="15"/>
      <c r="Y230" s="15"/>
      <c r="Z230" s="93"/>
      <c r="AA230" s="93"/>
      <c r="AB230" s="93"/>
      <c r="AC230" s="10" t="str">
        <f aca="false">IF(X230="","",IFERROR(INDEX(t_Hora,MATCH(X230,t_Cargo,0)),0))</f>
        <v/>
      </c>
      <c r="AD230" s="94" t="str">
        <f aca="false">IF(X230="","",N(Z230)*IF(AA230="",IFERROR(INDEX(t_Horas,MATCH(X230,t_Cargo,0)),8),AA230)+N(AB230))</f>
        <v/>
      </c>
      <c r="AE230" s="37" t="str">
        <f aca="false">IF(X230="","",AC230*(N(Z230)*IF(AA230="",IFERROR(INDEX(t_Horas,MATCH(X230,t_Cargo,0)),8),AA230)+N(AB230)*(1+p_Extra)))</f>
        <v/>
      </c>
      <c r="AF230" s="15"/>
    </row>
    <row r="231" customFormat="false" ht="16.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83"/>
      <c r="W231" s="15"/>
      <c r="X231" s="15"/>
      <c r="Y231" s="15"/>
      <c r="Z231" s="93"/>
      <c r="AA231" s="93"/>
      <c r="AB231" s="93"/>
      <c r="AC231" s="10" t="str">
        <f aca="false">IF(X231="","",IFERROR(INDEX(t_Hora,MATCH(X231,t_Cargo,0)),0))</f>
        <v/>
      </c>
      <c r="AD231" s="94" t="str">
        <f aca="false">IF(X231="","",N(Z231)*IF(AA231="",IFERROR(INDEX(t_Horas,MATCH(X231,t_Cargo,0)),8),AA231)+N(AB231))</f>
        <v/>
      </c>
      <c r="AE231" s="37" t="str">
        <f aca="false">IF(X231="","",AC231*(N(Z231)*IF(AA231="",IFERROR(INDEX(t_Horas,MATCH(X231,t_Cargo,0)),8),AA231)+N(AB231)*(1+p_Extra)))</f>
        <v/>
      </c>
      <c r="AF231" s="15"/>
    </row>
    <row r="232" customFormat="false" ht="16.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83"/>
      <c r="W232" s="15"/>
      <c r="X232" s="15"/>
      <c r="Y232" s="15"/>
      <c r="Z232" s="93"/>
      <c r="AA232" s="93"/>
      <c r="AB232" s="93"/>
      <c r="AC232" s="10" t="str">
        <f aca="false">IF(X232="","",IFERROR(INDEX(t_Hora,MATCH(X232,t_Cargo,0)),0))</f>
        <v/>
      </c>
      <c r="AD232" s="94" t="str">
        <f aca="false">IF(X232="","",N(Z232)*IF(AA232="",IFERROR(INDEX(t_Horas,MATCH(X232,t_Cargo,0)),8),AA232)+N(AB232))</f>
        <v/>
      </c>
      <c r="AE232" s="37" t="str">
        <f aca="false">IF(X232="","",AC232*(N(Z232)*IF(AA232="",IFERROR(INDEX(t_Horas,MATCH(X232,t_Cargo,0)),8),AA232)+N(AB232)*(1+p_Extra)))</f>
        <v/>
      </c>
      <c r="AF232" s="15"/>
    </row>
    <row r="233" customFormat="false" ht="16.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83"/>
      <c r="W233" s="15"/>
      <c r="X233" s="15"/>
      <c r="Y233" s="15"/>
      <c r="Z233" s="93"/>
      <c r="AA233" s="93"/>
      <c r="AB233" s="93"/>
      <c r="AC233" s="10" t="str">
        <f aca="false">IF(X233="","",IFERROR(INDEX(t_Hora,MATCH(X233,t_Cargo,0)),0))</f>
        <v/>
      </c>
      <c r="AD233" s="94" t="str">
        <f aca="false">IF(X233="","",N(Z233)*IF(AA233="",IFERROR(INDEX(t_Horas,MATCH(X233,t_Cargo,0)),8),AA233)+N(AB233))</f>
        <v/>
      </c>
      <c r="AE233" s="37" t="str">
        <f aca="false">IF(X233="","",AC233*(N(Z233)*IF(AA233="",IFERROR(INDEX(t_Horas,MATCH(X233,t_Cargo,0)),8),AA233)+N(AB233)*(1+p_Extra)))</f>
        <v/>
      </c>
      <c r="AF233" s="15"/>
    </row>
    <row r="234" customFormat="false" ht="16.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83"/>
      <c r="W234" s="15"/>
      <c r="X234" s="15"/>
      <c r="Y234" s="15"/>
      <c r="Z234" s="93"/>
      <c r="AA234" s="93"/>
      <c r="AB234" s="93"/>
      <c r="AC234" s="10" t="str">
        <f aca="false">IF(X234="","",IFERROR(INDEX(t_Hora,MATCH(X234,t_Cargo,0)),0))</f>
        <v/>
      </c>
      <c r="AD234" s="94" t="str">
        <f aca="false">IF(X234="","",N(Z234)*IF(AA234="",IFERROR(INDEX(t_Horas,MATCH(X234,t_Cargo,0)),8),AA234)+N(AB234))</f>
        <v/>
      </c>
      <c r="AE234" s="37" t="str">
        <f aca="false">IF(X234="","",AC234*(N(Z234)*IF(AA234="",IFERROR(INDEX(t_Horas,MATCH(X234,t_Cargo,0)),8),AA234)+N(AB234)*(1+p_Extra)))</f>
        <v/>
      </c>
      <c r="AF234" s="15"/>
    </row>
    <row r="235" customFormat="false" ht="16.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83"/>
      <c r="W235" s="15"/>
      <c r="X235" s="15"/>
      <c r="Y235" s="15"/>
      <c r="Z235" s="93"/>
      <c r="AA235" s="93"/>
      <c r="AB235" s="93"/>
      <c r="AC235" s="10" t="str">
        <f aca="false">IF(X235="","",IFERROR(INDEX(t_Hora,MATCH(X235,t_Cargo,0)),0))</f>
        <v/>
      </c>
      <c r="AD235" s="94" t="str">
        <f aca="false">IF(X235="","",N(Z235)*IF(AA235="",IFERROR(INDEX(t_Horas,MATCH(X235,t_Cargo,0)),8),AA235)+N(AB235))</f>
        <v/>
      </c>
      <c r="AE235" s="37" t="str">
        <f aca="false">IF(X235="","",AC235*(N(Z235)*IF(AA235="",IFERROR(INDEX(t_Horas,MATCH(X235,t_Cargo,0)),8),AA235)+N(AB235)*(1+p_Extra)))</f>
        <v/>
      </c>
      <c r="AF235" s="15"/>
    </row>
    <row r="236" customFormat="false" ht="16.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83"/>
      <c r="W236" s="15"/>
      <c r="X236" s="15"/>
      <c r="Y236" s="15"/>
      <c r="Z236" s="93"/>
      <c r="AA236" s="93"/>
      <c r="AB236" s="93"/>
      <c r="AC236" s="10" t="str">
        <f aca="false">IF(X236="","",IFERROR(INDEX(t_Hora,MATCH(X236,t_Cargo,0)),0))</f>
        <v/>
      </c>
      <c r="AD236" s="94" t="str">
        <f aca="false">IF(X236="","",N(Z236)*IF(AA236="",IFERROR(INDEX(t_Horas,MATCH(X236,t_Cargo,0)),8),AA236)+N(AB236))</f>
        <v/>
      </c>
      <c r="AE236" s="37" t="str">
        <f aca="false">IF(X236="","",AC236*(N(Z236)*IF(AA236="",IFERROR(INDEX(t_Horas,MATCH(X236,t_Cargo,0)),8),AA236)+N(AB236)*(1+p_Extra)))</f>
        <v/>
      </c>
      <c r="AF236" s="15"/>
    </row>
    <row r="237" customFormat="false" ht="16.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83"/>
      <c r="W237" s="15"/>
      <c r="X237" s="15"/>
      <c r="Y237" s="15"/>
      <c r="Z237" s="93"/>
      <c r="AA237" s="93"/>
      <c r="AB237" s="93"/>
      <c r="AC237" s="10" t="str">
        <f aca="false">IF(X237="","",IFERROR(INDEX(t_Hora,MATCH(X237,t_Cargo,0)),0))</f>
        <v/>
      </c>
      <c r="AD237" s="94" t="str">
        <f aca="false">IF(X237="","",N(Z237)*IF(AA237="",IFERROR(INDEX(t_Horas,MATCH(X237,t_Cargo,0)),8),AA237)+N(AB237))</f>
        <v/>
      </c>
      <c r="AE237" s="37" t="str">
        <f aca="false">IF(X237="","",AC237*(N(Z237)*IF(AA237="",IFERROR(INDEX(t_Horas,MATCH(X237,t_Cargo,0)),8),AA237)+N(AB237)*(1+p_Extra)))</f>
        <v/>
      </c>
      <c r="AF237" s="15"/>
    </row>
    <row r="238" customFormat="false" ht="16.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83"/>
      <c r="W238" s="15"/>
      <c r="X238" s="15"/>
      <c r="Y238" s="15"/>
      <c r="Z238" s="93"/>
      <c r="AA238" s="93"/>
      <c r="AB238" s="93"/>
      <c r="AC238" s="10" t="str">
        <f aca="false">IF(X238="","",IFERROR(INDEX(t_Hora,MATCH(X238,t_Cargo,0)),0))</f>
        <v/>
      </c>
      <c r="AD238" s="94" t="str">
        <f aca="false">IF(X238="","",N(Z238)*IF(AA238="",IFERROR(INDEX(t_Horas,MATCH(X238,t_Cargo,0)),8),AA238)+N(AB238))</f>
        <v/>
      </c>
      <c r="AE238" s="37" t="str">
        <f aca="false">IF(X238="","",AC238*(N(Z238)*IF(AA238="",IFERROR(INDEX(t_Horas,MATCH(X238,t_Cargo,0)),8),AA238)+N(AB238)*(1+p_Extra)))</f>
        <v/>
      </c>
      <c r="AF238" s="15"/>
    </row>
    <row r="239" customFormat="false" ht="16.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83"/>
      <c r="W239" s="15"/>
      <c r="X239" s="15"/>
      <c r="Y239" s="15"/>
      <c r="Z239" s="93"/>
      <c r="AA239" s="93"/>
      <c r="AB239" s="93"/>
      <c r="AC239" s="10" t="str">
        <f aca="false">IF(X239="","",IFERROR(INDEX(t_Hora,MATCH(X239,t_Cargo,0)),0))</f>
        <v/>
      </c>
      <c r="AD239" s="94" t="str">
        <f aca="false">IF(X239="","",N(Z239)*IF(AA239="",IFERROR(INDEX(t_Horas,MATCH(X239,t_Cargo,0)),8),AA239)+N(AB239))</f>
        <v/>
      </c>
      <c r="AE239" s="37" t="str">
        <f aca="false">IF(X239="","",AC239*(N(Z239)*IF(AA239="",IFERROR(INDEX(t_Horas,MATCH(X239,t_Cargo,0)),8),AA239)+N(AB239)*(1+p_Extra)))</f>
        <v/>
      </c>
      <c r="AF239" s="15"/>
    </row>
    <row r="240" customFormat="false" ht="16.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83"/>
      <c r="W240" s="15"/>
      <c r="X240" s="15"/>
      <c r="Y240" s="15"/>
      <c r="Z240" s="93"/>
      <c r="AA240" s="93"/>
      <c r="AB240" s="93"/>
      <c r="AC240" s="10" t="str">
        <f aca="false">IF(X240="","",IFERROR(INDEX(t_Hora,MATCH(X240,t_Cargo,0)),0))</f>
        <v/>
      </c>
      <c r="AD240" s="94" t="str">
        <f aca="false">IF(X240="","",N(Z240)*IF(AA240="",IFERROR(INDEX(t_Horas,MATCH(X240,t_Cargo,0)),8),AA240)+N(AB240))</f>
        <v/>
      </c>
      <c r="AE240" s="37" t="str">
        <f aca="false">IF(X240="","",AC240*(N(Z240)*IF(AA240="",IFERROR(INDEX(t_Horas,MATCH(X240,t_Cargo,0)),8),AA240)+N(AB240)*(1+p_Extra)))</f>
        <v/>
      </c>
      <c r="AF240" s="15"/>
    </row>
    <row r="241" customFormat="false" ht="16.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83"/>
      <c r="W241" s="15"/>
      <c r="X241" s="15"/>
      <c r="Y241" s="15"/>
      <c r="Z241" s="93"/>
      <c r="AA241" s="93"/>
      <c r="AB241" s="93"/>
      <c r="AC241" s="10" t="str">
        <f aca="false">IF(X241="","",IFERROR(INDEX(t_Hora,MATCH(X241,t_Cargo,0)),0))</f>
        <v/>
      </c>
      <c r="AD241" s="94" t="str">
        <f aca="false">IF(X241="","",N(Z241)*IF(AA241="",IFERROR(INDEX(t_Horas,MATCH(X241,t_Cargo,0)),8),AA241)+N(AB241))</f>
        <v/>
      </c>
      <c r="AE241" s="37" t="str">
        <f aca="false">IF(X241="","",AC241*(N(Z241)*IF(AA241="",IFERROR(INDEX(t_Horas,MATCH(X241,t_Cargo,0)),8),AA241)+N(AB241)*(1+p_Extra)))</f>
        <v/>
      </c>
      <c r="AF241" s="15"/>
    </row>
    <row r="242" customFormat="false" ht="16.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83"/>
      <c r="W242" s="15"/>
      <c r="X242" s="15"/>
      <c r="Y242" s="15"/>
      <c r="Z242" s="93"/>
      <c r="AA242" s="93"/>
      <c r="AB242" s="93"/>
      <c r="AC242" s="10" t="str">
        <f aca="false">IF(X242="","",IFERROR(INDEX(t_Hora,MATCH(X242,t_Cargo,0)),0))</f>
        <v/>
      </c>
      <c r="AD242" s="94" t="str">
        <f aca="false">IF(X242="","",N(Z242)*IF(AA242="",IFERROR(INDEX(t_Horas,MATCH(X242,t_Cargo,0)),8),AA242)+N(AB242))</f>
        <v/>
      </c>
      <c r="AE242" s="37" t="str">
        <f aca="false">IF(X242="","",AC242*(N(Z242)*IF(AA242="",IFERROR(INDEX(t_Horas,MATCH(X242,t_Cargo,0)),8),AA242)+N(AB242)*(1+p_Extra)))</f>
        <v/>
      </c>
      <c r="AF242" s="15"/>
    </row>
    <row r="243" customFormat="false" ht="16.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83"/>
      <c r="W243" s="15"/>
      <c r="X243" s="15"/>
      <c r="Y243" s="15"/>
      <c r="Z243" s="93"/>
      <c r="AA243" s="93"/>
      <c r="AB243" s="93"/>
      <c r="AC243" s="10" t="str">
        <f aca="false">IF(X243="","",IFERROR(INDEX(t_Hora,MATCH(X243,t_Cargo,0)),0))</f>
        <v/>
      </c>
      <c r="AD243" s="94" t="str">
        <f aca="false">IF(X243="","",N(Z243)*IF(AA243="",IFERROR(INDEX(t_Horas,MATCH(X243,t_Cargo,0)),8),AA243)+N(AB243))</f>
        <v/>
      </c>
      <c r="AE243" s="37" t="str">
        <f aca="false">IF(X243="","",AC243*(N(Z243)*IF(AA243="",IFERROR(INDEX(t_Horas,MATCH(X243,t_Cargo,0)),8),AA243)+N(AB243)*(1+p_Extra)))</f>
        <v/>
      </c>
      <c r="AF243" s="15"/>
    </row>
    <row r="244" customFormat="false" ht="16.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83"/>
      <c r="W244" s="15"/>
      <c r="X244" s="15"/>
      <c r="Y244" s="15"/>
      <c r="Z244" s="93"/>
      <c r="AA244" s="93"/>
      <c r="AB244" s="93"/>
      <c r="AC244" s="10" t="str">
        <f aca="false">IF(X244="","",IFERROR(INDEX(t_Hora,MATCH(X244,t_Cargo,0)),0))</f>
        <v/>
      </c>
      <c r="AD244" s="94" t="str">
        <f aca="false">IF(X244="","",N(Z244)*IF(AA244="",IFERROR(INDEX(t_Horas,MATCH(X244,t_Cargo,0)),8),AA244)+N(AB244))</f>
        <v/>
      </c>
      <c r="AE244" s="37" t="str">
        <f aca="false">IF(X244="","",AC244*(N(Z244)*IF(AA244="",IFERROR(INDEX(t_Horas,MATCH(X244,t_Cargo,0)),8),AA244)+N(AB244)*(1+p_Extra)))</f>
        <v/>
      </c>
      <c r="AF244" s="15"/>
    </row>
    <row r="245" customFormat="false" ht="16.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83"/>
      <c r="W245" s="15"/>
      <c r="X245" s="15"/>
      <c r="Y245" s="15"/>
      <c r="Z245" s="93"/>
      <c r="AA245" s="93"/>
      <c r="AB245" s="93"/>
      <c r="AC245" s="10" t="str">
        <f aca="false">IF(X245="","",IFERROR(INDEX(t_Hora,MATCH(X245,t_Cargo,0)),0))</f>
        <v/>
      </c>
      <c r="AD245" s="94" t="str">
        <f aca="false">IF(X245="","",N(Z245)*IF(AA245="",IFERROR(INDEX(t_Horas,MATCH(X245,t_Cargo,0)),8),AA245)+N(AB245))</f>
        <v/>
      </c>
      <c r="AE245" s="37" t="str">
        <f aca="false">IF(X245="","",AC245*(N(Z245)*IF(AA245="",IFERROR(INDEX(t_Horas,MATCH(X245,t_Cargo,0)),8),AA245)+N(AB245)*(1+p_Extra)))</f>
        <v/>
      </c>
      <c r="AF245" s="15"/>
    </row>
    <row r="246" customFormat="false" ht="16.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83"/>
      <c r="W246" s="15"/>
      <c r="X246" s="15"/>
      <c r="Y246" s="15"/>
      <c r="Z246" s="93"/>
      <c r="AA246" s="93"/>
      <c r="AB246" s="93"/>
      <c r="AC246" s="10" t="str">
        <f aca="false">IF(X246="","",IFERROR(INDEX(t_Hora,MATCH(X246,t_Cargo,0)),0))</f>
        <v/>
      </c>
      <c r="AD246" s="94" t="str">
        <f aca="false">IF(X246="","",N(Z246)*IF(AA246="",IFERROR(INDEX(t_Horas,MATCH(X246,t_Cargo,0)),8),AA246)+N(AB246))</f>
        <v/>
      </c>
      <c r="AE246" s="37" t="str">
        <f aca="false">IF(X246="","",AC246*(N(Z246)*IF(AA246="",IFERROR(INDEX(t_Horas,MATCH(X246,t_Cargo,0)),8),AA246)+N(AB246)*(1+p_Extra)))</f>
        <v/>
      </c>
      <c r="AF246" s="15"/>
    </row>
    <row r="247" customFormat="false" ht="16.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83"/>
      <c r="W247" s="15"/>
      <c r="X247" s="15"/>
      <c r="Y247" s="15"/>
      <c r="Z247" s="93"/>
      <c r="AA247" s="93"/>
      <c r="AB247" s="93"/>
      <c r="AC247" s="10" t="str">
        <f aca="false">IF(X247="","",IFERROR(INDEX(t_Hora,MATCH(X247,t_Cargo,0)),0))</f>
        <v/>
      </c>
      <c r="AD247" s="94" t="str">
        <f aca="false">IF(X247="","",N(Z247)*IF(AA247="",IFERROR(INDEX(t_Horas,MATCH(X247,t_Cargo,0)),8),AA247)+N(AB247))</f>
        <v/>
      </c>
      <c r="AE247" s="37" t="str">
        <f aca="false">IF(X247="","",AC247*(N(Z247)*IF(AA247="",IFERROR(INDEX(t_Horas,MATCH(X247,t_Cargo,0)),8),AA247)+N(AB247)*(1+p_Extra)))</f>
        <v/>
      </c>
      <c r="AF247" s="15"/>
    </row>
    <row r="248" customFormat="false" ht="16.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83"/>
      <c r="W248" s="15"/>
      <c r="X248" s="15"/>
      <c r="Y248" s="15"/>
      <c r="Z248" s="93"/>
      <c r="AA248" s="93"/>
      <c r="AB248" s="93"/>
      <c r="AC248" s="10" t="str">
        <f aca="false">IF(X248="","",IFERROR(INDEX(t_Hora,MATCH(X248,t_Cargo,0)),0))</f>
        <v/>
      </c>
      <c r="AD248" s="94" t="str">
        <f aca="false">IF(X248="","",N(Z248)*IF(AA248="",IFERROR(INDEX(t_Horas,MATCH(X248,t_Cargo,0)),8),AA248)+N(AB248))</f>
        <v/>
      </c>
      <c r="AE248" s="37" t="str">
        <f aca="false">IF(X248="","",AC248*(N(Z248)*IF(AA248="",IFERROR(INDEX(t_Horas,MATCH(X248,t_Cargo,0)),8),AA248)+N(AB248)*(1+p_Extra)))</f>
        <v/>
      </c>
      <c r="AF248" s="15"/>
    </row>
    <row r="249" customFormat="false" ht="16.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83"/>
      <c r="W249" s="15"/>
      <c r="X249" s="15"/>
      <c r="Y249" s="15"/>
      <c r="Z249" s="93"/>
      <c r="AA249" s="93"/>
      <c r="AB249" s="93"/>
      <c r="AC249" s="10" t="str">
        <f aca="false">IF(X249="","",IFERROR(INDEX(t_Hora,MATCH(X249,t_Cargo,0)),0))</f>
        <v/>
      </c>
      <c r="AD249" s="94" t="str">
        <f aca="false">IF(X249="","",N(Z249)*IF(AA249="",IFERROR(INDEX(t_Horas,MATCH(X249,t_Cargo,0)),8),AA249)+N(AB249))</f>
        <v/>
      </c>
      <c r="AE249" s="37" t="str">
        <f aca="false">IF(X249="","",AC249*(N(Z249)*IF(AA249="",IFERROR(INDEX(t_Horas,MATCH(X249,t_Cargo,0)),8),AA249)+N(AB249)*(1+p_Extra)))</f>
        <v/>
      </c>
      <c r="AF249" s="15"/>
    </row>
    <row r="250" customFormat="false" ht="16.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83"/>
      <c r="W250" s="15"/>
      <c r="X250" s="15"/>
      <c r="Y250" s="15"/>
      <c r="Z250" s="93"/>
      <c r="AA250" s="93"/>
      <c r="AB250" s="93"/>
      <c r="AC250" s="10" t="str">
        <f aca="false">IF(X250="","",IFERROR(INDEX(t_Hora,MATCH(X250,t_Cargo,0)),0))</f>
        <v/>
      </c>
      <c r="AD250" s="94" t="str">
        <f aca="false">IF(X250="","",N(Z250)*IF(AA250="",IFERROR(INDEX(t_Horas,MATCH(X250,t_Cargo,0)),8),AA250)+N(AB250))</f>
        <v/>
      </c>
      <c r="AE250" s="37" t="str">
        <f aca="false">IF(X250="","",AC250*(N(Z250)*IF(AA250="",IFERROR(INDEX(t_Horas,MATCH(X250,t_Cargo,0)),8),AA250)+N(AB250)*(1+p_Extra)))</f>
        <v/>
      </c>
      <c r="AF250" s="15"/>
    </row>
    <row r="251" customFormat="false" ht="16.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83"/>
      <c r="W251" s="15"/>
      <c r="X251" s="15"/>
      <c r="Y251" s="15"/>
      <c r="Z251" s="93"/>
      <c r="AA251" s="93"/>
      <c r="AB251" s="93"/>
      <c r="AC251" s="10" t="str">
        <f aca="false">IF(X251="","",IFERROR(INDEX(t_Hora,MATCH(X251,t_Cargo,0)),0))</f>
        <v/>
      </c>
      <c r="AD251" s="94" t="str">
        <f aca="false">IF(X251="","",N(Z251)*IF(AA251="",IFERROR(INDEX(t_Horas,MATCH(X251,t_Cargo,0)),8),AA251)+N(AB251))</f>
        <v/>
      </c>
      <c r="AE251" s="37" t="str">
        <f aca="false">IF(X251="","",AC251*(N(Z251)*IF(AA251="",IFERROR(INDEX(t_Horas,MATCH(X251,t_Cargo,0)),8),AA251)+N(AB251)*(1+p_Extra)))</f>
        <v/>
      </c>
      <c r="AF251" s="15"/>
    </row>
    <row r="252" customFormat="false" ht="16.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83"/>
      <c r="W252" s="15"/>
      <c r="X252" s="15"/>
      <c r="Y252" s="15"/>
      <c r="Z252" s="93"/>
      <c r="AA252" s="93"/>
      <c r="AB252" s="93"/>
      <c r="AC252" s="10" t="str">
        <f aca="false">IF(X252="","",IFERROR(INDEX(t_Hora,MATCH(X252,t_Cargo,0)),0))</f>
        <v/>
      </c>
      <c r="AD252" s="94" t="str">
        <f aca="false">IF(X252="","",N(Z252)*IF(AA252="",IFERROR(INDEX(t_Horas,MATCH(X252,t_Cargo,0)),8),AA252)+N(AB252))</f>
        <v/>
      </c>
      <c r="AE252" s="37" t="str">
        <f aca="false">IF(X252="","",AC252*(N(Z252)*IF(AA252="",IFERROR(INDEX(t_Horas,MATCH(X252,t_Cargo,0)),8),AA252)+N(AB252)*(1+p_Extra)))</f>
        <v/>
      </c>
      <c r="AF252" s="15"/>
    </row>
    <row r="253" customFormat="false" ht="16.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83"/>
      <c r="W253" s="15"/>
      <c r="X253" s="15"/>
      <c r="Y253" s="15"/>
      <c r="Z253" s="93"/>
      <c r="AA253" s="93"/>
      <c r="AB253" s="93"/>
      <c r="AC253" s="10" t="str">
        <f aca="false">IF(X253="","",IFERROR(INDEX(t_Hora,MATCH(X253,t_Cargo,0)),0))</f>
        <v/>
      </c>
      <c r="AD253" s="94" t="str">
        <f aca="false">IF(X253="","",N(Z253)*IF(AA253="",IFERROR(INDEX(t_Horas,MATCH(X253,t_Cargo,0)),8),AA253)+N(AB253))</f>
        <v/>
      </c>
      <c r="AE253" s="37" t="str">
        <f aca="false">IF(X253="","",AC253*(N(Z253)*IF(AA253="",IFERROR(INDEX(t_Horas,MATCH(X253,t_Cargo,0)),8),AA253)+N(AB253)*(1+p_Extra)))</f>
        <v/>
      </c>
      <c r="AF253" s="15"/>
    </row>
    <row r="254" customFormat="false" ht="16.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83"/>
      <c r="W254" s="15"/>
      <c r="X254" s="15"/>
      <c r="Y254" s="15"/>
      <c r="Z254" s="93"/>
      <c r="AA254" s="93"/>
      <c r="AB254" s="93"/>
      <c r="AC254" s="10" t="str">
        <f aca="false">IF(X254="","",IFERROR(INDEX(t_Hora,MATCH(X254,t_Cargo,0)),0))</f>
        <v/>
      </c>
      <c r="AD254" s="94" t="str">
        <f aca="false">IF(X254="","",N(Z254)*IF(AA254="",IFERROR(INDEX(t_Horas,MATCH(X254,t_Cargo,0)),8),AA254)+N(AB254))</f>
        <v/>
      </c>
      <c r="AE254" s="37" t="str">
        <f aca="false">IF(X254="","",AC254*(N(Z254)*IF(AA254="",IFERROR(INDEX(t_Horas,MATCH(X254,t_Cargo,0)),8),AA254)+N(AB254)*(1+p_Extra)))</f>
        <v/>
      </c>
      <c r="AF254" s="15"/>
    </row>
    <row r="255" customFormat="false" ht="16.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83"/>
      <c r="W255" s="15"/>
      <c r="X255" s="15"/>
      <c r="Y255" s="15"/>
      <c r="Z255" s="93"/>
      <c r="AA255" s="93"/>
      <c r="AB255" s="93"/>
      <c r="AC255" s="10" t="str">
        <f aca="false">IF(X255="","",IFERROR(INDEX(t_Hora,MATCH(X255,t_Cargo,0)),0))</f>
        <v/>
      </c>
      <c r="AD255" s="94" t="str">
        <f aca="false">IF(X255="","",N(Z255)*IF(AA255="",IFERROR(INDEX(t_Horas,MATCH(X255,t_Cargo,0)),8),AA255)+N(AB255))</f>
        <v/>
      </c>
      <c r="AE255" s="37" t="str">
        <f aca="false">IF(X255="","",AC255*(N(Z255)*IF(AA255="",IFERROR(INDEX(t_Horas,MATCH(X255,t_Cargo,0)),8),AA255)+N(AB255)*(1+p_Extra)))</f>
        <v/>
      </c>
      <c r="AF255" s="15"/>
    </row>
    <row r="256" customFormat="false" ht="16.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83"/>
      <c r="W256" s="15"/>
      <c r="X256" s="15"/>
      <c r="Y256" s="15"/>
      <c r="Z256" s="93"/>
      <c r="AA256" s="93"/>
      <c r="AB256" s="93"/>
      <c r="AC256" s="10" t="str">
        <f aca="false">IF(X256="","",IFERROR(INDEX(t_Hora,MATCH(X256,t_Cargo,0)),0))</f>
        <v/>
      </c>
      <c r="AD256" s="94" t="str">
        <f aca="false">IF(X256="","",N(Z256)*IF(AA256="",IFERROR(INDEX(t_Horas,MATCH(X256,t_Cargo,0)),8),AA256)+N(AB256))</f>
        <v/>
      </c>
      <c r="AE256" s="37" t="str">
        <f aca="false">IF(X256="","",AC256*(N(Z256)*IF(AA256="",IFERROR(INDEX(t_Horas,MATCH(X256,t_Cargo,0)),8),AA256)+N(AB256)*(1+p_Extra)))</f>
        <v/>
      </c>
      <c r="AF256" s="15"/>
    </row>
    <row r="257" customFormat="false" ht="16.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83"/>
      <c r="W257" s="15"/>
      <c r="X257" s="15"/>
      <c r="Y257" s="15"/>
      <c r="Z257" s="93"/>
      <c r="AA257" s="93"/>
      <c r="AB257" s="93"/>
      <c r="AC257" s="10" t="str">
        <f aca="false">IF(X257="","",IFERROR(INDEX(t_Hora,MATCH(X257,t_Cargo,0)),0))</f>
        <v/>
      </c>
      <c r="AD257" s="94" t="str">
        <f aca="false">IF(X257="","",N(Z257)*IF(AA257="",IFERROR(INDEX(t_Horas,MATCH(X257,t_Cargo,0)),8),AA257)+N(AB257))</f>
        <v/>
      </c>
      <c r="AE257" s="37" t="str">
        <f aca="false">IF(X257="","",AC257*(N(Z257)*IF(AA257="",IFERROR(INDEX(t_Horas,MATCH(X257,t_Cargo,0)),8),AA257)+N(AB257)*(1+p_Extra)))</f>
        <v/>
      </c>
      <c r="AF257" s="15"/>
    </row>
    <row r="258" customFormat="false" ht="16.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83"/>
      <c r="W258" s="15"/>
      <c r="X258" s="15"/>
      <c r="Y258" s="15"/>
      <c r="Z258" s="93"/>
      <c r="AA258" s="93"/>
      <c r="AB258" s="93"/>
      <c r="AC258" s="10" t="str">
        <f aca="false">IF(X258="","",IFERROR(INDEX(t_Hora,MATCH(X258,t_Cargo,0)),0))</f>
        <v/>
      </c>
      <c r="AD258" s="94" t="str">
        <f aca="false">IF(X258="","",N(Z258)*IF(AA258="",IFERROR(INDEX(t_Horas,MATCH(X258,t_Cargo,0)),8),AA258)+N(AB258))</f>
        <v/>
      </c>
      <c r="AE258" s="37" t="str">
        <f aca="false">IF(X258="","",AC258*(N(Z258)*IF(AA258="",IFERROR(INDEX(t_Horas,MATCH(X258,t_Cargo,0)),8),AA258)+N(AB258)*(1+p_Extra)))</f>
        <v/>
      </c>
      <c r="AF258" s="15"/>
    </row>
    <row r="259" customFormat="false" ht="16.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83"/>
      <c r="W259" s="15"/>
      <c r="X259" s="15"/>
      <c r="Y259" s="15"/>
      <c r="Z259" s="93"/>
      <c r="AA259" s="93"/>
      <c r="AB259" s="93"/>
      <c r="AC259" s="10" t="str">
        <f aca="false">IF(X259="","",IFERROR(INDEX(t_Hora,MATCH(X259,t_Cargo,0)),0))</f>
        <v/>
      </c>
      <c r="AD259" s="94" t="str">
        <f aca="false">IF(X259="","",N(Z259)*IF(AA259="",IFERROR(INDEX(t_Horas,MATCH(X259,t_Cargo,0)),8),AA259)+N(AB259))</f>
        <v/>
      </c>
      <c r="AE259" s="37" t="str">
        <f aca="false">IF(X259="","",AC259*(N(Z259)*IF(AA259="",IFERROR(INDEX(t_Horas,MATCH(X259,t_Cargo,0)),8),AA259)+N(AB259)*(1+p_Extra)))</f>
        <v/>
      </c>
      <c r="AF259" s="15"/>
    </row>
    <row r="260" customFormat="false" ht="16.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83"/>
      <c r="W260" s="15"/>
      <c r="X260" s="15"/>
      <c r="Y260" s="15"/>
      <c r="Z260" s="93"/>
      <c r="AA260" s="93"/>
      <c r="AB260" s="93"/>
      <c r="AC260" s="10" t="str">
        <f aca="false">IF(X260="","",IFERROR(INDEX(t_Hora,MATCH(X260,t_Cargo,0)),0))</f>
        <v/>
      </c>
      <c r="AD260" s="94" t="str">
        <f aca="false">IF(X260="","",N(Z260)*IF(AA260="",IFERROR(INDEX(t_Horas,MATCH(X260,t_Cargo,0)),8),AA260)+N(AB260))</f>
        <v/>
      </c>
      <c r="AE260" s="37" t="str">
        <f aca="false">IF(X260="","",AC260*(N(Z260)*IF(AA260="",IFERROR(INDEX(t_Horas,MATCH(X260,t_Cargo,0)),8),AA260)+N(AB260)*(1+p_Extra)))</f>
        <v/>
      </c>
      <c r="AF260" s="15"/>
    </row>
    <row r="261" customFormat="false" ht="16.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83"/>
      <c r="W261" s="15"/>
      <c r="X261" s="15"/>
      <c r="Y261" s="15"/>
      <c r="Z261" s="93"/>
      <c r="AA261" s="93"/>
      <c r="AB261" s="93"/>
      <c r="AC261" s="10" t="str">
        <f aca="false">IF(X261="","",IFERROR(INDEX(t_Hora,MATCH(X261,t_Cargo,0)),0))</f>
        <v/>
      </c>
      <c r="AD261" s="94" t="str">
        <f aca="false">IF(X261="","",N(Z261)*IF(AA261="",IFERROR(INDEX(t_Horas,MATCH(X261,t_Cargo,0)),8),AA261)+N(AB261))</f>
        <v/>
      </c>
      <c r="AE261" s="37" t="str">
        <f aca="false">IF(X261="","",AC261*(N(Z261)*IF(AA261="",IFERROR(INDEX(t_Horas,MATCH(X261,t_Cargo,0)),8),AA261)+N(AB261)*(1+p_Extra)))</f>
        <v/>
      </c>
      <c r="AF261" s="15"/>
    </row>
    <row r="262" customFormat="false" ht="16.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83"/>
      <c r="W262" s="15"/>
      <c r="X262" s="15"/>
      <c r="Y262" s="15"/>
      <c r="Z262" s="93"/>
      <c r="AA262" s="93"/>
      <c r="AB262" s="93"/>
      <c r="AC262" s="10" t="str">
        <f aca="false">IF(X262="","",IFERROR(INDEX(t_Hora,MATCH(X262,t_Cargo,0)),0))</f>
        <v/>
      </c>
      <c r="AD262" s="94" t="str">
        <f aca="false">IF(X262="","",N(Z262)*IF(AA262="",IFERROR(INDEX(t_Horas,MATCH(X262,t_Cargo,0)),8),AA262)+N(AB262))</f>
        <v/>
      </c>
      <c r="AE262" s="37" t="str">
        <f aca="false">IF(X262="","",AC262*(N(Z262)*IF(AA262="",IFERROR(INDEX(t_Horas,MATCH(X262,t_Cargo,0)),8),AA262)+N(AB262)*(1+p_Extra)))</f>
        <v/>
      </c>
      <c r="AF262" s="15"/>
    </row>
    <row r="263" customFormat="false" ht="16.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83"/>
      <c r="W263" s="15"/>
      <c r="X263" s="15"/>
      <c r="Y263" s="15"/>
      <c r="Z263" s="93"/>
      <c r="AA263" s="93"/>
      <c r="AB263" s="93"/>
      <c r="AC263" s="10" t="str">
        <f aca="false">IF(X263="","",IFERROR(INDEX(t_Hora,MATCH(X263,t_Cargo,0)),0))</f>
        <v/>
      </c>
      <c r="AD263" s="94" t="str">
        <f aca="false">IF(X263="","",N(Z263)*IF(AA263="",IFERROR(INDEX(t_Horas,MATCH(X263,t_Cargo,0)),8),AA263)+N(AB263))</f>
        <v/>
      </c>
      <c r="AE263" s="37" t="str">
        <f aca="false">IF(X263="","",AC263*(N(Z263)*IF(AA263="",IFERROR(INDEX(t_Horas,MATCH(X263,t_Cargo,0)),8),AA263)+N(AB263)*(1+p_Extra)))</f>
        <v/>
      </c>
      <c r="AF263" s="15"/>
    </row>
    <row r="264" customFormat="false" ht="16.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83"/>
      <c r="W264" s="15"/>
      <c r="X264" s="15"/>
      <c r="Y264" s="15"/>
      <c r="Z264" s="93"/>
      <c r="AA264" s="93"/>
      <c r="AB264" s="93"/>
      <c r="AC264" s="10" t="str">
        <f aca="false">IF(X264="","",IFERROR(INDEX(t_Hora,MATCH(X264,t_Cargo,0)),0))</f>
        <v/>
      </c>
      <c r="AD264" s="94" t="str">
        <f aca="false">IF(X264="","",N(Z264)*IF(AA264="",IFERROR(INDEX(t_Horas,MATCH(X264,t_Cargo,0)),8),AA264)+N(AB264))</f>
        <v/>
      </c>
      <c r="AE264" s="37" t="str">
        <f aca="false">IF(X264="","",AC264*(N(Z264)*IF(AA264="",IFERROR(INDEX(t_Horas,MATCH(X264,t_Cargo,0)),8),AA264)+N(AB264)*(1+p_Extra)))</f>
        <v/>
      </c>
      <c r="AF264" s="15"/>
    </row>
    <row r="265" customFormat="false" ht="16.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83"/>
      <c r="W265" s="15"/>
      <c r="X265" s="15"/>
      <c r="Y265" s="15"/>
      <c r="Z265" s="93"/>
      <c r="AA265" s="93"/>
      <c r="AB265" s="93"/>
      <c r="AC265" s="10" t="str">
        <f aca="false">IF(X265="","",IFERROR(INDEX(t_Hora,MATCH(X265,t_Cargo,0)),0))</f>
        <v/>
      </c>
      <c r="AD265" s="94" t="str">
        <f aca="false">IF(X265="","",N(Z265)*IF(AA265="",IFERROR(INDEX(t_Horas,MATCH(X265,t_Cargo,0)),8),AA265)+N(AB265))</f>
        <v/>
      </c>
      <c r="AE265" s="37" t="str">
        <f aca="false">IF(X265="","",AC265*(N(Z265)*IF(AA265="",IFERROR(INDEX(t_Horas,MATCH(X265,t_Cargo,0)),8),AA265)+N(AB265)*(1+p_Extra)))</f>
        <v/>
      </c>
      <c r="AF265" s="15"/>
    </row>
    <row r="266" customFormat="false" ht="16.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83"/>
      <c r="W266" s="15"/>
      <c r="X266" s="15"/>
      <c r="Y266" s="15"/>
      <c r="Z266" s="93"/>
      <c r="AA266" s="93"/>
      <c r="AB266" s="93"/>
      <c r="AC266" s="10" t="str">
        <f aca="false">IF(X266="","",IFERROR(INDEX(t_Hora,MATCH(X266,t_Cargo,0)),0))</f>
        <v/>
      </c>
      <c r="AD266" s="94" t="str">
        <f aca="false">IF(X266="","",N(Z266)*IF(AA266="",IFERROR(INDEX(t_Horas,MATCH(X266,t_Cargo,0)),8),AA266)+N(AB266))</f>
        <v/>
      </c>
      <c r="AE266" s="37" t="str">
        <f aca="false">IF(X266="","",AC266*(N(Z266)*IF(AA266="",IFERROR(INDEX(t_Horas,MATCH(X266,t_Cargo,0)),8),AA266)+N(AB266)*(1+p_Extra)))</f>
        <v/>
      </c>
      <c r="AF266" s="15"/>
    </row>
    <row r="267" customFormat="false" ht="16.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83"/>
      <c r="W267" s="15"/>
      <c r="X267" s="15"/>
      <c r="Y267" s="15"/>
      <c r="Z267" s="93"/>
      <c r="AA267" s="93"/>
      <c r="AB267" s="93"/>
      <c r="AC267" s="10" t="str">
        <f aca="false">IF(X267="","",IFERROR(INDEX(t_Hora,MATCH(X267,t_Cargo,0)),0))</f>
        <v/>
      </c>
      <c r="AD267" s="94" t="str">
        <f aca="false">IF(X267="","",N(Z267)*IF(AA267="",IFERROR(INDEX(t_Horas,MATCH(X267,t_Cargo,0)),8),AA267)+N(AB267))</f>
        <v/>
      </c>
      <c r="AE267" s="37" t="str">
        <f aca="false">IF(X267="","",AC267*(N(Z267)*IF(AA267="",IFERROR(INDEX(t_Horas,MATCH(X267,t_Cargo,0)),8),AA267)+N(AB267)*(1+p_Extra)))</f>
        <v/>
      </c>
      <c r="AF267" s="15"/>
    </row>
    <row r="268" customFormat="false" ht="16.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83"/>
      <c r="W268" s="15"/>
      <c r="X268" s="15"/>
      <c r="Y268" s="15"/>
      <c r="Z268" s="93"/>
      <c r="AA268" s="93"/>
      <c r="AB268" s="93"/>
      <c r="AC268" s="10" t="str">
        <f aca="false">IF(X268="","",IFERROR(INDEX(t_Hora,MATCH(X268,t_Cargo,0)),0))</f>
        <v/>
      </c>
      <c r="AD268" s="94" t="str">
        <f aca="false">IF(X268="","",N(Z268)*IF(AA268="",IFERROR(INDEX(t_Horas,MATCH(X268,t_Cargo,0)),8),AA268)+N(AB268))</f>
        <v/>
      </c>
      <c r="AE268" s="37" t="str">
        <f aca="false">IF(X268="","",AC268*(N(Z268)*IF(AA268="",IFERROR(INDEX(t_Horas,MATCH(X268,t_Cargo,0)),8),AA268)+N(AB268)*(1+p_Extra)))</f>
        <v/>
      </c>
      <c r="AF268" s="15"/>
    </row>
    <row r="269" customFormat="false" ht="16.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83"/>
      <c r="W269" s="15"/>
      <c r="X269" s="15"/>
      <c r="Y269" s="15"/>
      <c r="Z269" s="93"/>
      <c r="AA269" s="93"/>
      <c r="AB269" s="93"/>
      <c r="AC269" s="10" t="str">
        <f aca="false">IF(X269="","",IFERROR(INDEX(t_Hora,MATCH(X269,t_Cargo,0)),0))</f>
        <v/>
      </c>
      <c r="AD269" s="94" t="str">
        <f aca="false">IF(X269="","",N(Z269)*IF(AA269="",IFERROR(INDEX(t_Horas,MATCH(X269,t_Cargo,0)),8),AA269)+N(AB269))</f>
        <v/>
      </c>
      <c r="AE269" s="37" t="str">
        <f aca="false">IF(X269="","",AC269*(N(Z269)*IF(AA269="",IFERROR(INDEX(t_Horas,MATCH(X269,t_Cargo,0)),8),AA269)+N(AB269)*(1+p_Extra)))</f>
        <v/>
      </c>
      <c r="AF269" s="15"/>
    </row>
    <row r="270" customFormat="false" ht="16.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83"/>
      <c r="W270" s="15"/>
      <c r="X270" s="15"/>
      <c r="Y270" s="15"/>
      <c r="Z270" s="93"/>
      <c r="AA270" s="93"/>
      <c r="AB270" s="93"/>
      <c r="AC270" s="10" t="str">
        <f aca="false">IF(X270="","",IFERROR(INDEX(t_Hora,MATCH(X270,t_Cargo,0)),0))</f>
        <v/>
      </c>
      <c r="AD270" s="94" t="str">
        <f aca="false">IF(X270="","",N(Z270)*IF(AA270="",IFERROR(INDEX(t_Horas,MATCH(X270,t_Cargo,0)),8),AA270)+N(AB270))</f>
        <v/>
      </c>
      <c r="AE270" s="37" t="str">
        <f aca="false">IF(X270="","",AC270*(N(Z270)*IF(AA270="",IFERROR(INDEX(t_Horas,MATCH(X270,t_Cargo,0)),8),AA270)+N(AB270)*(1+p_Extra)))</f>
        <v/>
      </c>
      <c r="AF270" s="15"/>
    </row>
    <row r="271" customFormat="false" ht="16.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83"/>
      <c r="W271" s="15"/>
      <c r="X271" s="15"/>
      <c r="Y271" s="15"/>
      <c r="Z271" s="93"/>
      <c r="AA271" s="93"/>
      <c r="AB271" s="93"/>
      <c r="AC271" s="10" t="str">
        <f aca="false">IF(X271="","",IFERROR(INDEX(t_Hora,MATCH(X271,t_Cargo,0)),0))</f>
        <v/>
      </c>
      <c r="AD271" s="94" t="str">
        <f aca="false">IF(X271="","",N(Z271)*IF(AA271="",IFERROR(INDEX(t_Horas,MATCH(X271,t_Cargo,0)),8),AA271)+N(AB271))</f>
        <v/>
      </c>
      <c r="AE271" s="37" t="str">
        <f aca="false">IF(X271="","",AC271*(N(Z271)*IF(AA271="",IFERROR(INDEX(t_Horas,MATCH(X271,t_Cargo,0)),8),AA271)+N(AB271)*(1+p_Extra)))</f>
        <v/>
      </c>
      <c r="AF271" s="15"/>
    </row>
    <row r="272" customFormat="false" ht="16.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83"/>
      <c r="W272" s="15"/>
      <c r="X272" s="15"/>
      <c r="Y272" s="15"/>
      <c r="Z272" s="93"/>
      <c r="AA272" s="93"/>
      <c r="AB272" s="93"/>
      <c r="AC272" s="10" t="str">
        <f aca="false">IF(X272="","",IFERROR(INDEX(t_Hora,MATCH(X272,t_Cargo,0)),0))</f>
        <v/>
      </c>
      <c r="AD272" s="94" t="str">
        <f aca="false">IF(X272="","",N(Z272)*IF(AA272="",IFERROR(INDEX(t_Horas,MATCH(X272,t_Cargo,0)),8),AA272)+N(AB272))</f>
        <v/>
      </c>
      <c r="AE272" s="37" t="str">
        <f aca="false">IF(X272="","",AC272*(N(Z272)*IF(AA272="",IFERROR(INDEX(t_Horas,MATCH(X272,t_Cargo,0)),8),AA272)+N(AB272)*(1+p_Extra)))</f>
        <v/>
      </c>
      <c r="AF272" s="15"/>
    </row>
    <row r="273" customFormat="false" ht="16.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83"/>
      <c r="W273" s="15"/>
      <c r="X273" s="15"/>
      <c r="Y273" s="15"/>
      <c r="Z273" s="93"/>
      <c r="AA273" s="93"/>
      <c r="AB273" s="93"/>
      <c r="AC273" s="10" t="str">
        <f aca="false">IF(X273="","",IFERROR(INDEX(t_Hora,MATCH(X273,t_Cargo,0)),0))</f>
        <v/>
      </c>
      <c r="AD273" s="94" t="str">
        <f aca="false">IF(X273="","",N(Z273)*IF(AA273="",IFERROR(INDEX(t_Horas,MATCH(X273,t_Cargo,0)),8),AA273)+N(AB273))</f>
        <v/>
      </c>
      <c r="AE273" s="37" t="str">
        <f aca="false">IF(X273="","",AC273*(N(Z273)*IF(AA273="",IFERROR(INDEX(t_Horas,MATCH(X273,t_Cargo,0)),8),AA273)+N(AB273)*(1+p_Extra)))</f>
        <v/>
      </c>
      <c r="AF273" s="15"/>
    </row>
    <row r="274" customFormat="false" ht="16.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83"/>
      <c r="W274" s="15"/>
      <c r="X274" s="15"/>
      <c r="Y274" s="15"/>
      <c r="Z274" s="93"/>
      <c r="AA274" s="93"/>
      <c r="AB274" s="93"/>
      <c r="AC274" s="10" t="str">
        <f aca="false">IF(X274="","",IFERROR(INDEX(t_Hora,MATCH(X274,t_Cargo,0)),0))</f>
        <v/>
      </c>
      <c r="AD274" s="94" t="str">
        <f aca="false">IF(X274="","",N(Z274)*IF(AA274="",IFERROR(INDEX(t_Horas,MATCH(X274,t_Cargo,0)),8),AA274)+N(AB274))</f>
        <v/>
      </c>
      <c r="AE274" s="37" t="str">
        <f aca="false">IF(X274="","",AC274*(N(Z274)*IF(AA274="",IFERROR(INDEX(t_Horas,MATCH(X274,t_Cargo,0)),8),AA274)+N(AB274)*(1+p_Extra)))</f>
        <v/>
      </c>
      <c r="AF274" s="15"/>
    </row>
    <row r="275" customFormat="false" ht="16.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83"/>
      <c r="W275" s="15"/>
      <c r="X275" s="15"/>
      <c r="Y275" s="15"/>
      <c r="Z275" s="93"/>
      <c r="AA275" s="93"/>
      <c r="AB275" s="93"/>
      <c r="AC275" s="10" t="str">
        <f aca="false">IF(X275="","",IFERROR(INDEX(t_Hora,MATCH(X275,t_Cargo,0)),0))</f>
        <v/>
      </c>
      <c r="AD275" s="94" t="str">
        <f aca="false">IF(X275="","",N(Z275)*IF(AA275="",IFERROR(INDEX(t_Horas,MATCH(X275,t_Cargo,0)),8),AA275)+N(AB275))</f>
        <v/>
      </c>
      <c r="AE275" s="37" t="str">
        <f aca="false">IF(X275="","",AC275*(N(Z275)*IF(AA275="",IFERROR(INDEX(t_Horas,MATCH(X275,t_Cargo,0)),8),AA275)+N(AB275)*(1+p_Extra)))</f>
        <v/>
      </c>
      <c r="AF275" s="15"/>
    </row>
    <row r="276" customFormat="false" ht="16.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83"/>
      <c r="W276" s="15"/>
      <c r="X276" s="15"/>
      <c r="Y276" s="15"/>
      <c r="Z276" s="93"/>
      <c r="AA276" s="93"/>
      <c r="AB276" s="93"/>
      <c r="AC276" s="10" t="str">
        <f aca="false">IF(X276="","",IFERROR(INDEX(t_Hora,MATCH(X276,t_Cargo,0)),0))</f>
        <v/>
      </c>
      <c r="AD276" s="94" t="str">
        <f aca="false">IF(X276="","",N(Z276)*IF(AA276="",IFERROR(INDEX(t_Horas,MATCH(X276,t_Cargo,0)),8),AA276)+N(AB276))</f>
        <v/>
      </c>
      <c r="AE276" s="37" t="str">
        <f aca="false">IF(X276="","",AC276*(N(Z276)*IF(AA276="",IFERROR(INDEX(t_Horas,MATCH(X276,t_Cargo,0)),8),AA276)+N(AB276)*(1+p_Extra)))</f>
        <v/>
      </c>
      <c r="AF276" s="15"/>
    </row>
    <row r="277" customFormat="false" ht="16.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83"/>
      <c r="W277" s="15"/>
      <c r="X277" s="15"/>
      <c r="Y277" s="15"/>
      <c r="Z277" s="93"/>
      <c r="AA277" s="93"/>
      <c r="AB277" s="93"/>
      <c r="AC277" s="10" t="str">
        <f aca="false">IF(X277="","",IFERROR(INDEX(t_Hora,MATCH(X277,t_Cargo,0)),0))</f>
        <v/>
      </c>
      <c r="AD277" s="94" t="str">
        <f aca="false">IF(X277="","",N(Z277)*IF(AA277="",IFERROR(INDEX(t_Horas,MATCH(X277,t_Cargo,0)),8),AA277)+N(AB277))</f>
        <v/>
      </c>
      <c r="AE277" s="37" t="str">
        <f aca="false">IF(X277="","",AC277*(N(Z277)*IF(AA277="",IFERROR(INDEX(t_Horas,MATCH(X277,t_Cargo,0)),8),AA277)+N(AB277)*(1+p_Extra)))</f>
        <v/>
      </c>
      <c r="AF277" s="15"/>
    </row>
    <row r="278" customFormat="false" ht="16.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83"/>
      <c r="W278" s="15"/>
      <c r="X278" s="15"/>
      <c r="Y278" s="15"/>
      <c r="Z278" s="93"/>
      <c r="AA278" s="93"/>
      <c r="AB278" s="93"/>
      <c r="AC278" s="10" t="str">
        <f aca="false">IF(X278="","",IFERROR(INDEX(t_Hora,MATCH(X278,t_Cargo,0)),0))</f>
        <v/>
      </c>
      <c r="AD278" s="94" t="str">
        <f aca="false">IF(X278="","",N(Z278)*IF(AA278="",IFERROR(INDEX(t_Horas,MATCH(X278,t_Cargo,0)),8),AA278)+N(AB278))</f>
        <v/>
      </c>
      <c r="AE278" s="37" t="str">
        <f aca="false">IF(X278="","",AC278*(N(Z278)*IF(AA278="",IFERROR(INDEX(t_Horas,MATCH(X278,t_Cargo,0)),8),AA278)+N(AB278)*(1+p_Extra)))</f>
        <v/>
      </c>
      <c r="AF278" s="15"/>
    </row>
    <row r="279" customFormat="false" ht="16.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83"/>
      <c r="W279" s="15"/>
      <c r="X279" s="15"/>
      <c r="Y279" s="15"/>
      <c r="Z279" s="93"/>
      <c r="AA279" s="93"/>
      <c r="AB279" s="93"/>
      <c r="AC279" s="10" t="str">
        <f aca="false">IF(X279="","",IFERROR(INDEX(t_Hora,MATCH(X279,t_Cargo,0)),0))</f>
        <v/>
      </c>
      <c r="AD279" s="94" t="str">
        <f aca="false">IF(X279="","",N(Z279)*IF(AA279="",IFERROR(INDEX(t_Horas,MATCH(X279,t_Cargo,0)),8),AA279)+N(AB279))</f>
        <v/>
      </c>
      <c r="AE279" s="37" t="str">
        <f aca="false">IF(X279="","",AC279*(N(Z279)*IF(AA279="",IFERROR(INDEX(t_Horas,MATCH(X279,t_Cargo,0)),8),AA279)+N(AB279)*(1+p_Extra)))</f>
        <v/>
      </c>
      <c r="AF279" s="15"/>
    </row>
    <row r="280" customFormat="false" ht="16.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83"/>
      <c r="W280" s="15"/>
      <c r="X280" s="15"/>
      <c r="Y280" s="15"/>
      <c r="Z280" s="93"/>
      <c r="AA280" s="93"/>
      <c r="AB280" s="93"/>
      <c r="AC280" s="10" t="str">
        <f aca="false">IF(X280="","",IFERROR(INDEX(t_Hora,MATCH(X280,t_Cargo,0)),0))</f>
        <v/>
      </c>
      <c r="AD280" s="94" t="str">
        <f aca="false">IF(X280="","",N(Z280)*IF(AA280="",IFERROR(INDEX(t_Horas,MATCH(X280,t_Cargo,0)),8),AA280)+N(AB280))</f>
        <v/>
      </c>
      <c r="AE280" s="37" t="str">
        <f aca="false">IF(X280="","",AC280*(N(Z280)*IF(AA280="",IFERROR(INDEX(t_Horas,MATCH(X280,t_Cargo,0)),8),AA280)+N(AB280)*(1+p_Extra)))</f>
        <v/>
      </c>
      <c r="AF280" s="15"/>
    </row>
    <row r="281" customFormat="false" ht="16.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83"/>
      <c r="W281" s="15"/>
      <c r="X281" s="15"/>
      <c r="Y281" s="15"/>
      <c r="Z281" s="93"/>
      <c r="AA281" s="93"/>
      <c r="AB281" s="93"/>
      <c r="AC281" s="10" t="str">
        <f aca="false">IF(X281="","",IFERROR(INDEX(t_Hora,MATCH(X281,t_Cargo,0)),0))</f>
        <v/>
      </c>
      <c r="AD281" s="94" t="str">
        <f aca="false">IF(X281="","",N(Z281)*IF(AA281="",IFERROR(INDEX(t_Horas,MATCH(X281,t_Cargo,0)),8),AA281)+N(AB281))</f>
        <v/>
      </c>
      <c r="AE281" s="37" t="str">
        <f aca="false">IF(X281="","",AC281*(N(Z281)*IF(AA281="",IFERROR(INDEX(t_Horas,MATCH(X281,t_Cargo,0)),8),AA281)+N(AB281)*(1+p_Extra)))</f>
        <v/>
      </c>
      <c r="AF281" s="15"/>
    </row>
    <row r="282" customFormat="false" ht="16.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83"/>
      <c r="W282" s="15"/>
      <c r="X282" s="15"/>
      <c r="Y282" s="15"/>
      <c r="Z282" s="93"/>
      <c r="AA282" s="93"/>
      <c r="AB282" s="93"/>
      <c r="AC282" s="10" t="str">
        <f aca="false">IF(X282="","",IFERROR(INDEX(t_Hora,MATCH(X282,t_Cargo,0)),0))</f>
        <v/>
      </c>
      <c r="AD282" s="94" t="str">
        <f aca="false">IF(X282="","",N(Z282)*IF(AA282="",IFERROR(INDEX(t_Horas,MATCH(X282,t_Cargo,0)),8),AA282)+N(AB282))</f>
        <v/>
      </c>
      <c r="AE282" s="37" t="str">
        <f aca="false">IF(X282="","",AC282*(N(Z282)*IF(AA282="",IFERROR(INDEX(t_Horas,MATCH(X282,t_Cargo,0)),8),AA282)+N(AB282)*(1+p_Extra)))</f>
        <v/>
      </c>
      <c r="AF282" s="15"/>
    </row>
    <row r="283" customFormat="false" ht="16.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83"/>
      <c r="W283" s="15"/>
      <c r="X283" s="15"/>
      <c r="Y283" s="15"/>
      <c r="Z283" s="93"/>
      <c r="AA283" s="93"/>
      <c r="AB283" s="93"/>
      <c r="AC283" s="10" t="str">
        <f aca="false">IF(X283="","",IFERROR(INDEX(t_Hora,MATCH(X283,t_Cargo,0)),0))</f>
        <v/>
      </c>
      <c r="AD283" s="94" t="str">
        <f aca="false">IF(X283="","",N(Z283)*IF(AA283="",IFERROR(INDEX(t_Horas,MATCH(X283,t_Cargo,0)),8),AA283)+N(AB283))</f>
        <v/>
      </c>
      <c r="AE283" s="37" t="str">
        <f aca="false">IF(X283="","",AC283*(N(Z283)*IF(AA283="",IFERROR(INDEX(t_Horas,MATCH(X283,t_Cargo,0)),8),AA283)+N(AB283)*(1+p_Extra)))</f>
        <v/>
      </c>
      <c r="AF283" s="15"/>
    </row>
    <row r="284" customFormat="false" ht="16.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83"/>
      <c r="W284" s="15"/>
      <c r="X284" s="15"/>
      <c r="Y284" s="15"/>
      <c r="Z284" s="93"/>
      <c r="AA284" s="93"/>
      <c r="AB284" s="93"/>
      <c r="AC284" s="10" t="str">
        <f aca="false">IF(X284="","",IFERROR(INDEX(t_Hora,MATCH(X284,t_Cargo,0)),0))</f>
        <v/>
      </c>
      <c r="AD284" s="94" t="str">
        <f aca="false">IF(X284="","",N(Z284)*IF(AA284="",IFERROR(INDEX(t_Horas,MATCH(X284,t_Cargo,0)),8),AA284)+N(AB284))</f>
        <v/>
      </c>
      <c r="AE284" s="37" t="str">
        <f aca="false">IF(X284="","",AC284*(N(Z284)*IF(AA284="",IFERROR(INDEX(t_Horas,MATCH(X284,t_Cargo,0)),8),AA284)+N(AB284)*(1+p_Extra)))</f>
        <v/>
      </c>
      <c r="AF284" s="15"/>
    </row>
    <row r="285" customFormat="false" ht="16.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83"/>
      <c r="W285" s="15"/>
      <c r="X285" s="15"/>
      <c r="Y285" s="15"/>
      <c r="Z285" s="93"/>
      <c r="AA285" s="93"/>
      <c r="AB285" s="93"/>
      <c r="AC285" s="10" t="str">
        <f aca="false">IF(X285="","",IFERROR(INDEX(t_Hora,MATCH(X285,t_Cargo,0)),0))</f>
        <v/>
      </c>
      <c r="AD285" s="94" t="str">
        <f aca="false">IF(X285="","",N(Z285)*IF(AA285="",IFERROR(INDEX(t_Horas,MATCH(X285,t_Cargo,0)),8),AA285)+N(AB285))</f>
        <v/>
      </c>
      <c r="AE285" s="37" t="str">
        <f aca="false">IF(X285="","",AC285*(N(Z285)*IF(AA285="",IFERROR(INDEX(t_Horas,MATCH(X285,t_Cargo,0)),8),AA285)+N(AB285)*(1+p_Extra)))</f>
        <v/>
      </c>
      <c r="AF285" s="15"/>
    </row>
    <row r="286" customFormat="false" ht="16.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83"/>
      <c r="W286" s="15"/>
      <c r="X286" s="15"/>
      <c r="Y286" s="15"/>
      <c r="Z286" s="93"/>
      <c r="AA286" s="93"/>
      <c r="AB286" s="93"/>
      <c r="AC286" s="10" t="str">
        <f aca="false">IF(X286="","",IFERROR(INDEX(t_Hora,MATCH(X286,t_Cargo,0)),0))</f>
        <v/>
      </c>
      <c r="AD286" s="94" t="str">
        <f aca="false">IF(X286="","",N(Z286)*IF(AA286="",IFERROR(INDEX(t_Horas,MATCH(X286,t_Cargo,0)),8),AA286)+N(AB286))</f>
        <v/>
      </c>
      <c r="AE286" s="37" t="str">
        <f aca="false">IF(X286="","",AC286*(N(Z286)*IF(AA286="",IFERROR(INDEX(t_Horas,MATCH(X286,t_Cargo,0)),8),AA286)+N(AB286)*(1+p_Extra)))</f>
        <v/>
      </c>
      <c r="AF286" s="15"/>
    </row>
    <row r="287" customFormat="false" ht="16.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83"/>
      <c r="W287" s="15"/>
      <c r="X287" s="15"/>
      <c r="Y287" s="15"/>
      <c r="Z287" s="93"/>
      <c r="AA287" s="93"/>
      <c r="AB287" s="93"/>
      <c r="AC287" s="10" t="str">
        <f aca="false">IF(X287="","",IFERROR(INDEX(t_Hora,MATCH(X287,t_Cargo,0)),0))</f>
        <v/>
      </c>
      <c r="AD287" s="94" t="str">
        <f aca="false">IF(X287="","",N(Z287)*IF(AA287="",IFERROR(INDEX(t_Horas,MATCH(X287,t_Cargo,0)),8),AA287)+N(AB287))</f>
        <v/>
      </c>
      <c r="AE287" s="37" t="str">
        <f aca="false">IF(X287="","",AC287*(N(Z287)*IF(AA287="",IFERROR(INDEX(t_Horas,MATCH(X287,t_Cargo,0)),8),AA287)+N(AB287)*(1+p_Extra)))</f>
        <v/>
      </c>
      <c r="AF287" s="15"/>
    </row>
    <row r="288" customFormat="false" ht="16.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83"/>
      <c r="W288" s="15"/>
      <c r="X288" s="15"/>
      <c r="Y288" s="15"/>
      <c r="Z288" s="93"/>
      <c r="AA288" s="93"/>
      <c r="AB288" s="93"/>
      <c r="AC288" s="10" t="str">
        <f aca="false">IF(X288="","",IFERROR(INDEX(t_Hora,MATCH(X288,t_Cargo,0)),0))</f>
        <v/>
      </c>
      <c r="AD288" s="94" t="str">
        <f aca="false">IF(X288="","",N(Z288)*IF(AA288="",IFERROR(INDEX(t_Horas,MATCH(X288,t_Cargo,0)),8),AA288)+N(AB288))</f>
        <v/>
      </c>
      <c r="AE288" s="37" t="str">
        <f aca="false">IF(X288="","",AC288*(N(Z288)*IF(AA288="",IFERROR(INDEX(t_Horas,MATCH(X288,t_Cargo,0)),8),AA288)+N(AB288)*(1+p_Extra)))</f>
        <v/>
      </c>
      <c r="AF288" s="15"/>
    </row>
    <row r="289" customFormat="false" ht="16.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83"/>
      <c r="W289" s="15"/>
      <c r="X289" s="15"/>
      <c r="Y289" s="15"/>
      <c r="Z289" s="93"/>
      <c r="AA289" s="93"/>
      <c r="AB289" s="93"/>
      <c r="AC289" s="10" t="str">
        <f aca="false">IF(X289="","",IFERROR(INDEX(t_Hora,MATCH(X289,t_Cargo,0)),0))</f>
        <v/>
      </c>
      <c r="AD289" s="94" t="str">
        <f aca="false">IF(X289="","",N(Z289)*IF(AA289="",IFERROR(INDEX(t_Horas,MATCH(X289,t_Cargo,0)),8),AA289)+N(AB289))</f>
        <v/>
      </c>
      <c r="AE289" s="37" t="str">
        <f aca="false">IF(X289="","",AC289*(N(Z289)*IF(AA289="",IFERROR(INDEX(t_Horas,MATCH(X289,t_Cargo,0)),8),AA289)+N(AB289)*(1+p_Extra)))</f>
        <v/>
      </c>
      <c r="AF289" s="15"/>
    </row>
    <row r="290" customFormat="false" ht="16.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83"/>
      <c r="W290" s="15"/>
      <c r="X290" s="15"/>
      <c r="Y290" s="15"/>
      <c r="Z290" s="93"/>
      <c r="AA290" s="93"/>
      <c r="AB290" s="93"/>
      <c r="AC290" s="10" t="str">
        <f aca="false">IF(X290="","",IFERROR(INDEX(t_Hora,MATCH(X290,t_Cargo,0)),0))</f>
        <v/>
      </c>
      <c r="AD290" s="94" t="str">
        <f aca="false">IF(X290="","",N(Z290)*IF(AA290="",IFERROR(INDEX(t_Horas,MATCH(X290,t_Cargo,0)),8),AA290)+N(AB290))</f>
        <v/>
      </c>
      <c r="AE290" s="37" t="str">
        <f aca="false">IF(X290="","",AC290*(N(Z290)*IF(AA290="",IFERROR(INDEX(t_Horas,MATCH(X290,t_Cargo,0)),8),AA290)+N(AB290)*(1+p_Extra)))</f>
        <v/>
      </c>
      <c r="AF290" s="15"/>
    </row>
    <row r="291" customFormat="false" ht="16.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83"/>
      <c r="W291" s="15"/>
      <c r="X291" s="15"/>
      <c r="Y291" s="15"/>
      <c r="Z291" s="93"/>
      <c r="AA291" s="93"/>
      <c r="AB291" s="93"/>
      <c r="AC291" s="10" t="str">
        <f aca="false">IF(X291="","",IFERROR(INDEX(t_Hora,MATCH(X291,t_Cargo,0)),0))</f>
        <v/>
      </c>
      <c r="AD291" s="94" t="str">
        <f aca="false">IF(X291="","",N(Z291)*IF(AA291="",IFERROR(INDEX(t_Horas,MATCH(X291,t_Cargo,0)),8),AA291)+N(AB291))</f>
        <v/>
      </c>
      <c r="AE291" s="37" t="str">
        <f aca="false">IF(X291="","",AC291*(N(Z291)*IF(AA291="",IFERROR(INDEX(t_Horas,MATCH(X291,t_Cargo,0)),8),AA291)+N(AB291)*(1+p_Extra)))</f>
        <v/>
      </c>
      <c r="AF291" s="15"/>
    </row>
    <row r="292" customFormat="false" ht="16.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83"/>
      <c r="W292" s="15"/>
      <c r="X292" s="15"/>
      <c r="Y292" s="15"/>
      <c r="Z292" s="93"/>
      <c r="AA292" s="93"/>
      <c r="AB292" s="93"/>
      <c r="AC292" s="10" t="str">
        <f aca="false">IF(X292="","",IFERROR(INDEX(t_Hora,MATCH(X292,t_Cargo,0)),0))</f>
        <v/>
      </c>
      <c r="AD292" s="94" t="str">
        <f aca="false">IF(X292="","",N(Z292)*IF(AA292="",IFERROR(INDEX(t_Horas,MATCH(X292,t_Cargo,0)),8),AA292)+N(AB292))</f>
        <v/>
      </c>
      <c r="AE292" s="37" t="str">
        <f aca="false">IF(X292="","",AC292*(N(Z292)*IF(AA292="",IFERROR(INDEX(t_Horas,MATCH(X292,t_Cargo,0)),8),AA292)+N(AB292)*(1+p_Extra)))</f>
        <v/>
      </c>
      <c r="AF292" s="15"/>
    </row>
    <row r="293" customFormat="false" ht="16.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83"/>
      <c r="W293" s="15"/>
      <c r="X293" s="15"/>
      <c r="Y293" s="15"/>
      <c r="Z293" s="93"/>
      <c r="AA293" s="93"/>
      <c r="AB293" s="93"/>
      <c r="AC293" s="10" t="str">
        <f aca="false">IF(X293="","",IFERROR(INDEX(t_Hora,MATCH(X293,t_Cargo,0)),0))</f>
        <v/>
      </c>
      <c r="AD293" s="94" t="str">
        <f aca="false">IF(X293="","",N(Z293)*IF(AA293="",IFERROR(INDEX(t_Horas,MATCH(X293,t_Cargo,0)),8),AA293)+N(AB293))</f>
        <v/>
      </c>
      <c r="AE293" s="37" t="str">
        <f aca="false">IF(X293="","",AC293*(N(Z293)*IF(AA293="",IFERROR(INDEX(t_Horas,MATCH(X293,t_Cargo,0)),8),AA293)+N(AB293)*(1+p_Extra)))</f>
        <v/>
      </c>
      <c r="AF293" s="15"/>
    </row>
    <row r="294" customFormat="false" ht="16.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83"/>
      <c r="W294" s="15"/>
      <c r="X294" s="15"/>
      <c r="Y294" s="15"/>
      <c r="Z294" s="93"/>
      <c r="AA294" s="93"/>
      <c r="AB294" s="93"/>
      <c r="AC294" s="10" t="str">
        <f aca="false">IF(X294="","",IFERROR(INDEX(t_Hora,MATCH(X294,t_Cargo,0)),0))</f>
        <v/>
      </c>
      <c r="AD294" s="94" t="str">
        <f aca="false">IF(X294="","",N(Z294)*IF(AA294="",IFERROR(INDEX(t_Horas,MATCH(X294,t_Cargo,0)),8),AA294)+N(AB294))</f>
        <v/>
      </c>
      <c r="AE294" s="37" t="str">
        <f aca="false">IF(X294="","",AC294*(N(Z294)*IF(AA294="",IFERROR(INDEX(t_Horas,MATCH(X294,t_Cargo,0)),8),AA294)+N(AB294)*(1+p_Extra)))</f>
        <v/>
      </c>
      <c r="AF294" s="15"/>
    </row>
    <row r="295" customFormat="false" ht="16.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83"/>
      <c r="W295" s="15"/>
      <c r="X295" s="15"/>
      <c r="Y295" s="15"/>
      <c r="Z295" s="93"/>
      <c r="AA295" s="93"/>
      <c r="AB295" s="93"/>
      <c r="AC295" s="10" t="str">
        <f aca="false">IF(X295="","",IFERROR(INDEX(t_Hora,MATCH(X295,t_Cargo,0)),0))</f>
        <v/>
      </c>
      <c r="AD295" s="94" t="str">
        <f aca="false">IF(X295="","",N(Z295)*IF(AA295="",IFERROR(INDEX(t_Horas,MATCH(X295,t_Cargo,0)),8),AA295)+N(AB295))</f>
        <v/>
      </c>
      <c r="AE295" s="37" t="str">
        <f aca="false">IF(X295="","",AC295*(N(Z295)*IF(AA295="",IFERROR(INDEX(t_Horas,MATCH(X295,t_Cargo,0)),8),AA295)+N(AB295)*(1+p_Extra)))</f>
        <v/>
      </c>
      <c r="AF295" s="15"/>
    </row>
    <row r="296" customFormat="false" ht="16.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83"/>
      <c r="W296" s="15"/>
      <c r="X296" s="15"/>
      <c r="Y296" s="15"/>
      <c r="Z296" s="93"/>
      <c r="AA296" s="93"/>
      <c r="AB296" s="93"/>
      <c r="AC296" s="10" t="str">
        <f aca="false">IF(X296="","",IFERROR(INDEX(t_Hora,MATCH(X296,t_Cargo,0)),0))</f>
        <v/>
      </c>
      <c r="AD296" s="94" t="str">
        <f aca="false">IF(X296="","",N(Z296)*IF(AA296="",IFERROR(INDEX(t_Horas,MATCH(X296,t_Cargo,0)),8),AA296)+N(AB296))</f>
        <v/>
      </c>
      <c r="AE296" s="37" t="str">
        <f aca="false">IF(X296="","",AC296*(N(Z296)*IF(AA296="",IFERROR(INDEX(t_Horas,MATCH(X296,t_Cargo,0)),8),AA296)+N(AB296)*(1+p_Extra)))</f>
        <v/>
      </c>
      <c r="AF296" s="15"/>
    </row>
    <row r="297" customFormat="false" ht="16.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83"/>
      <c r="W297" s="15"/>
      <c r="X297" s="15"/>
      <c r="Y297" s="15"/>
      <c r="Z297" s="93"/>
      <c r="AA297" s="93"/>
      <c r="AB297" s="93"/>
      <c r="AC297" s="10" t="str">
        <f aca="false">IF(X297="","",IFERROR(INDEX(t_Hora,MATCH(X297,t_Cargo,0)),0))</f>
        <v/>
      </c>
      <c r="AD297" s="94" t="str">
        <f aca="false">IF(X297="","",N(Z297)*IF(AA297="",IFERROR(INDEX(t_Horas,MATCH(X297,t_Cargo,0)),8),AA297)+N(AB297))</f>
        <v/>
      </c>
      <c r="AE297" s="37" t="str">
        <f aca="false">IF(X297="","",AC297*(N(Z297)*IF(AA297="",IFERROR(INDEX(t_Horas,MATCH(X297,t_Cargo,0)),8),AA297)+N(AB297)*(1+p_Extra)))</f>
        <v/>
      </c>
      <c r="AF297" s="15"/>
    </row>
    <row r="298" customFormat="false" ht="16.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83"/>
      <c r="W298" s="15"/>
      <c r="X298" s="15"/>
      <c r="Y298" s="15"/>
      <c r="Z298" s="93"/>
      <c r="AA298" s="93"/>
      <c r="AB298" s="93"/>
      <c r="AC298" s="10" t="str">
        <f aca="false">IF(X298="","",IFERROR(INDEX(t_Hora,MATCH(X298,t_Cargo,0)),0))</f>
        <v/>
      </c>
      <c r="AD298" s="94" t="str">
        <f aca="false">IF(X298="","",N(Z298)*IF(AA298="",IFERROR(INDEX(t_Horas,MATCH(X298,t_Cargo,0)),8),AA298)+N(AB298))</f>
        <v/>
      </c>
      <c r="AE298" s="37" t="str">
        <f aca="false">IF(X298="","",AC298*(N(Z298)*IF(AA298="",IFERROR(INDEX(t_Horas,MATCH(X298,t_Cargo,0)),8),AA298)+N(AB298)*(1+p_Extra)))</f>
        <v/>
      </c>
      <c r="AF298" s="15"/>
    </row>
    <row r="299" customFormat="false" ht="16.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83"/>
      <c r="W299" s="15"/>
      <c r="X299" s="15"/>
      <c r="Y299" s="15"/>
      <c r="Z299" s="93"/>
      <c r="AA299" s="93"/>
      <c r="AB299" s="93"/>
      <c r="AC299" s="10" t="str">
        <f aca="false">IF(X299="","",IFERROR(INDEX(t_Hora,MATCH(X299,t_Cargo,0)),0))</f>
        <v/>
      </c>
      <c r="AD299" s="94" t="str">
        <f aca="false">IF(X299="","",N(Z299)*IF(AA299="",IFERROR(INDEX(t_Horas,MATCH(X299,t_Cargo,0)),8),AA299)+N(AB299))</f>
        <v/>
      </c>
      <c r="AE299" s="37" t="str">
        <f aca="false">IF(X299="","",AC299*(N(Z299)*IF(AA299="",IFERROR(INDEX(t_Horas,MATCH(X299,t_Cargo,0)),8),AA299)+N(AB299)*(1+p_Extra)))</f>
        <v/>
      </c>
      <c r="AF299" s="15"/>
    </row>
    <row r="300" customFormat="false" ht="16.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83"/>
      <c r="W300" s="15"/>
      <c r="X300" s="15"/>
      <c r="Y300" s="15"/>
      <c r="Z300" s="93"/>
      <c r="AA300" s="93"/>
      <c r="AB300" s="93"/>
      <c r="AC300" s="10" t="str">
        <f aca="false">IF(X300="","",IFERROR(INDEX(t_Hora,MATCH(X300,t_Cargo,0)),0))</f>
        <v/>
      </c>
      <c r="AD300" s="94" t="str">
        <f aca="false">IF(X300="","",N(Z300)*IF(AA300="",IFERROR(INDEX(t_Horas,MATCH(X300,t_Cargo,0)),8),AA300)+N(AB300))</f>
        <v/>
      </c>
      <c r="AE300" s="37" t="str">
        <f aca="false">IF(X300="","",AC300*(N(Z300)*IF(AA300="",IFERROR(INDEX(t_Horas,MATCH(X300,t_Cargo,0)),8),AA300)+N(AB300)*(1+p_Extra)))</f>
        <v/>
      </c>
      <c r="AF300" s="15"/>
    </row>
    <row r="301" customFormat="false" ht="16.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83"/>
      <c r="W301" s="15"/>
      <c r="X301" s="15"/>
      <c r="Y301" s="15"/>
      <c r="Z301" s="93"/>
      <c r="AA301" s="93"/>
      <c r="AB301" s="93"/>
      <c r="AC301" s="10" t="str">
        <f aca="false">IF(X301="","",IFERROR(INDEX(t_Hora,MATCH(X301,t_Cargo,0)),0))</f>
        <v/>
      </c>
      <c r="AD301" s="94" t="str">
        <f aca="false">IF(X301="","",N(Z301)*IF(AA301="",IFERROR(INDEX(t_Horas,MATCH(X301,t_Cargo,0)),8),AA301)+N(AB301))</f>
        <v/>
      </c>
      <c r="AE301" s="37" t="str">
        <f aca="false">IF(X301="","",AC301*(N(Z301)*IF(AA301="",IFERROR(INDEX(t_Horas,MATCH(X301,t_Cargo,0)),8),AA301)+N(AB301)*(1+p_Extra)))</f>
        <v/>
      </c>
      <c r="AF301" s="15"/>
    </row>
    <row r="302" customFormat="false" ht="16.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83"/>
      <c r="W302" s="15"/>
      <c r="X302" s="15"/>
      <c r="Y302" s="15"/>
      <c r="Z302" s="93"/>
      <c r="AA302" s="93"/>
      <c r="AB302" s="93"/>
      <c r="AC302" s="10" t="str">
        <f aca="false">IF(X302="","",IFERROR(INDEX(t_Hora,MATCH(X302,t_Cargo,0)),0))</f>
        <v/>
      </c>
      <c r="AD302" s="94" t="str">
        <f aca="false">IF(X302="","",N(Z302)*IF(AA302="",IFERROR(INDEX(t_Horas,MATCH(X302,t_Cargo,0)),8),AA302)+N(AB302))</f>
        <v/>
      </c>
      <c r="AE302" s="37" t="str">
        <f aca="false">IF(X302="","",AC302*(N(Z302)*IF(AA302="",IFERROR(INDEX(t_Horas,MATCH(X302,t_Cargo,0)),8),AA302)+N(AB302)*(1+p_Extra)))</f>
        <v/>
      </c>
      <c r="AF302" s="15"/>
    </row>
    <row r="303" customFormat="false" ht="16.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83"/>
      <c r="W303" s="15"/>
      <c r="X303" s="15"/>
      <c r="Y303" s="15"/>
      <c r="Z303" s="93"/>
      <c r="AA303" s="93"/>
      <c r="AB303" s="93"/>
      <c r="AC303" s="10" t="str">
        <f aca="false">IF(X303="","",IFERROR(INDEX(t_Hora,MATCH(X303,t_Cargo,0)),0))</f>
        <v/>
      </c>
      <c r="AD303" s="94" t="str">
        <f aca="false">IF(X303="","",N(Z303)*IF(AA303="",IFERROR(INDEX(t_Horas,MATCH(X303,t_Cargo,0)),8),AA303)+N(AB303))</f>
        <v/>
      </c>
      <c r="AE303" s="37" t="str">
        <f aca="false">IF(X303="","",AC303*(N(Z303)*IF(AA303="",IFERROR(INDEX(t_Horas,MATCH(X303,t_Cargo,0)),8),AA303)+N(AB303)*(1+p_Extra)))</f>
        <v/>
      </c>
      <c r="AF303" s="15"/>
    </row>
    <row r="304" customFormat="false" ht="16.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83"/>
      <c r="W304" s="15"/>
      <c r="X304" s="15"/>
      <c r="Y304" s="15"/>
      <c r="Z304" s="93"/>
      <c r="AA304" s="93"/>
      <c r="AB304" s="93"/>
      <c r="AC304" s="10" t="str">
        <f aca="false">IF(X304="","",IFERROR(INDEX(t_Hora,MATCH(X304,t_Cargo,0)),0))</f>
        <v/>
      </c>
      <c r="AD304" s="94" t="str">
        <f aca="false">IF(X304="","",N(Z304)*IF(AA304="",IFERROR(INDEX(t_Horas,MATCH(X304,t_Cargo,0)),8),AA304)+N(AB304))</f>
        <v/>
      </c>
      <c r="AE304" s="37" t="str">
        <f aca="false">IF(X304="","",AC304*(N(Z304)*IF(AA304="",IFERROR(INDEX(t_Horas,MATCH(X304,t_Cargo,0)),8),AA304)+N(AB304)*(1+p_Extra)))</f>
        <v/>
      </c>
      <c r="AF304" s="15"/>
    </row>
    <row r="305" customFormat="false" ht="16.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83"/>
      <c r="W305" s="15"/>
      <c r="X305" s="15"/>
      <c r="Y305" s="15"/>
      <c r="Z305" s="93"/>
      <c r="AA305" s="93"/>
      <c r="AB305" s="93"/>
      <c r="AC305" s="10" t="str">
        <f aca="false">IF(X305="","",IFERROR(INDEX(t_Hora,MATCH(X305,t_Cargo,0)),0))</f>
        <v/>
      </c>
      <c r="AD305" s="94" t="str">
        <f aca="false">IF(X305="","",N(Z305)*IF(AA305="",IFERROR(INDEX(t_Horas,MATCH(X305,t_Cargo,0)),8),AA305)+N(AB305))</f>
        <v/>
      </c>
      <c r="AE305" s="37" t="str">
        <f aca="false">IF(X305="","",AC305*(N(Z305)*IF(AA305="",IFERROR(INDEX(t_Horas,MATCH(X305,t_Cargo,0)),8),AA305)+N(AB305)*(1+p_Extra)))</f>
        <v/>
      </c>
      <c r="AF305" s="15"/>
    </row>
    <row r="306" customFormat="false" ht="16.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83"/>
      <c r="W306" s="15"/>
      <c r="X306" s="15"/>
      <c r="Y306" s="15"/>
      <c r="Z306" s="93"/>
      <c r="AA306" s="93"/>
      <c r="AB306" s="93"/>
      <c r="AC306" s="10" t="str">
        <f aca="false">IF(X306="","",IFERROR(INDEX(t_Hora,MATCH(X306,t_Cargo,0)),0))</f>
        <v/>
      </c>
      <c r="AD306" s="94" t="str">
        <f aca="false">IF(X306="","",N(Z306)*IF(AA306="",IFERROR(INDEX(t_Horas,MATCH(X306,t_Cargo,0)),8),AA306)+N(AB306))</f>
        <v/>
      </c>
      <c r="AE306" s="37" t="str">
        <f aca="false">IF(X306="","",AC306*(N(Z306)*IF(AA306="",IFERROR(INDEX(t_Horas,MATCH(X306,t_Cargo,0)),8),AA306)+N(AB306)*(1+p_Extra)))</f>
        <v/>
      </c>
      <c r="AF306" s="15"/>
    </row>
    <row r="307" customFormat="false" ht="16.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83"/>
      <c r="W307" s="15"/>
      <c r="X307" s="15"/>
      <c r="Y307" s="15"/>
      <c r="Z307" s="93"/>
      <c r="AA307" s="93"/>
      <c r="AB307" s="93"/>
      <c r="AC307" s="10" t="str">
        <f aca="false">IF(X307="","",IFERROR(INDEX(t_Hora,MATCH(X307,t_Cargo,0)),0))</f>
        <v/>
      </c>
      <c r="AD307" s="94" t="str">
        <f aca="false">IF(X307="","",N(Z307)*IF(AA307="",IFERROR(INDEX(t_Horas,MATCH(X307,t_Cargo,0)),8),AA307)+N(AB307))</f>
        <v/>
      </c>
      <c r="AE307" s="37" t="str">
        <f aca="false">IF(X307="","",AC307*(N(Z307)*IF(AA307="",IFERROR(INDEX(t_Horas,MATCH(X307,t_Cargo,0)),8),AA307)+N(AB307)*(1+p_Extra)))</f>
        <v/>
      </c>
      <c r="AF307" s="15"/>
    </row>
    <row r="308" customFormat="false" ht="16.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83"/>
      <c r="W308" s="15"/>
      <c r="X308" s="15"/>
      <c r="Y308" s="15"/>
      <c r="Z308" s="93"/>
      <c r="AA308" s="93"/>
      <c r="AB308" s="93"/>
      <c r="AC308" s="10" t="str">
        <f aca="false">IF(X308="","",IFERROR(INDEX(t_Hora,MATCH(X308,t_Cargo,0)),0))</f>
        <v/>
      </c>
      <c r="AD308" s="94" t="str">
        <f aca="false">IF(X308="","",N(Z308)*IF(AA308="",IFERROR(INDEX(t_Horas,MATCH(X308,t_Cargo,0)),8),AA308)+N(AB308))</f>
        <v/>
      </c>
      <c r="AE308" s="37" t="str">
        <f aca="false">IF(X308="","",AC308*(N(Z308)*IF(AA308="",IFERROR(INDEX(t_Horas,MATCH(X308,t_Cargo,0)),8),AA308)+N(AB308)*(1+p_Extra)))</f>
        <v/>
      </c>
      <c r="AF308" s="15"/>
    </row>
    <row r="309" customFormat="false" ht="16.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83"/>
      <c r="W309" s="15"/>
      <c r="X309" s="15"/>
      <c r="Y309" s="15"/>
      <c r="Z309" s="93"/>
      <c r="AA309" s="93"/>
      <c r="AB309" s="93"/>
      <c r="AC309" s="10" t="str">
        <f aca="false">IF(X309="","",IFERROR(INDEX(t_Hora,MATCH(X309,t_Cargo,0)),0))</f>
        <v/>
      </c>
      <c r="AD309" s="94" t="str">
        <f aca="false">IF(X309="","",N(Z309)*IF(AA309="",IFERROR(INDEX(t_Horas,MATCH(X309,t_Cargo,0)),8),AA309)+N(AB309))</f>
        <v/>
      </c>
      <c r="AE309" s="37" t="str">
        <f aca="false">IF(X309="","",AC309*(N(Z309)*IF(AA309="",IFERROR(INDEX(t_Horas,MATCH(X309,t_Cargo,0)),8),AA309)+N(AB309)*(1+p_Extra)))</f>
        <v/>
      </c>
      <c r="AF309" s="15"/>
    </row>
    <row r="310" customFormat="false" ht="16.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83"/>
      <c r="W310" s="15"/>
      <c r="X310" s="15"/>
      <c r="Y310" s="15"/>
      <c r="Z310" s="93"/>
      <c r="AA310" s="93"/>
      <c r="AB310" s="93"/>
      <c r="AC310" s="10" t="str">
        <f aca="false">IF(X310="","",IFERROR(INDEX(t_Hora,MATCH(X310,t_Cargo,0)),0))</f>
        <v/>
      </c>
      <c r="AD310" s="94" t="str">
        <f aca="false">IF(X310="","",N(Z310)*IF(AA310="",IFERROR(INDEX(t_Horas,MATCH(X310,t_Cargo,0)),8),AA310)+N(AB310))</f>
        <v/>
      </c>
      <c r="AE310" s="37" t="str">
        <f aca="false">IF(X310="","",AC310*(N(Z310)*IF(AA310="",IFERROR(INDEX(t_Horas,MATCH(X310,t_Cargo,0)),8),AA310)+N(AB310)*(1+p_Extra)))</f>
        <v/>
      </c>
      <c r="AF310" s="15"/>
    </row>
    <row r="311" customFormat="false" ht="16.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83"/>
      <c r="W311" s="15"/>
      <c r="X311" s="15"/>
      <c r="Y311" s="15"/>
      <c r="Z311" s="93"/>
      <c r="AA311" s="93"/>
      <c r="AB311" s="93"/>
      <c r="AC311" s="10" t="str">
        <f aca="false">IF(X311="","",IFERROR(INDEX(t_Hora,MATCH(X311,t_Cargo,0)),0))</f>
        <v/>
      </c>
      <c r="AD311" s="94" t="str">
        <f aca="false">IF(X311="","",N(Z311)*IF(AA311="",IFERROR(INDEX(t_Horas,MATCH(X311,t_Cargo,0)),8),AA311)+N(AB311))</f>
        <v/>
      </c>
      <c r="AE311" s="37" t="str">
        <f aca="false">IF(X311="","",AC311*(N(Z311)*IF(AA311="",IFERROR(INDEX(t_Horas,MATCH(X311,t_Cargo,0)),8),AA311)+N(AB311)*(1+p_Extra)))</f>
        <v/>
      </c>
      <c r="AF311" s="15"/>
    </row>
    <row r="312" customFormat="false" ht="16.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83"/>
      <c r="W312" s="15"/>
      <c r="X312" s="15"/>
      <c r="Y312" s="15"/>
      <c r="Z312" s="93"/>
      <c r="AA312" s="93"/>
      <c r="AB312" s="93"/>
      <c r="AC312" s="10" t="str">
        <f aca="false">IF(X312="","",IFERROR(INDEX(t_Hora,MATCH(X312,t_Cargo,0)),0))</f>
        <v/>
      </c>
      <c r="AD312" s="94" t="str">
        <f aca="false">IF(X312="","",N(Z312)*IF(AA312="",IFERROR(INDEX(t_Horas,MATCH(X312,t_Cargo,0)),8),AA312)+N(AB312))</f>
        <v/>
      </c>
      <c r="AE312" s="37" t="str">
        <f aca="false">IF(X312="","",AC312*(N(Z312)*IF(AA312="",IFERROR(INDEX(t_Horas,MATCH(X312,t_Cargo,0)),8),AA312)+N(AB312)*(1+p_Extra)))</f>
        <v/>
      </c>
      <c r="AF312" s="15"/>
    </row>
    <row r="313" customFormat="false" ht="12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</sheetData>
  <mergeCells count="15">
    <mergeCell ref="C1:G1"/>
    <mergeCell ref="H1:AF1"/>
    <mergeCell ref="A2:B2"/>
    <mergeCell ref="C2:D2"/>
    <mergeCell ref="E2:F2"/>
    <mergeCell ref="A4:I4"/>
    <mergeCell ref="V4:AC4"/>
    <mergeCell ref="A5:I5"/>
    <mergeCell ref="A6:I6"/>
    <mergeCell ref="V6:AF6"/>
    <mergeCell ref="A7:I7"/>
    <mergeCell ref="A8:I8"/>
    <mergeCell ref="A9:I9"/>
    <mergeCell ref="A10:I10"/>
    <mergeCell ref="A11:F11"/>
  </mergeCells>
  <conditionalFormatting sqref="A13:T212">
    <cfRule type="expression" priority="2" aboveAverage="0" equalAverage="0" bottom="0" percent="0" rank="0" text="" dxfId="47">
      <formula>AND($B13&lt;&gt;"",$D13="")</formula>
    </cfRule>
  </conditionalFormatting>
  <conditionalFormatting sqref="I13:I212">
    <cfRule type="expression" priority="3" aboveAverage="0" equalAverage="0" bottom="0" percent="0" rank="0" text="" dxfId="0">
      <formula>AND(ISNUMBER(I13),I13&lt;0)</formula>
    </cfRule>
  </conditionalFormatting>
  <conditionalFormatting sqref="Q13:Q212">
    <cfRule type="expression" priority="4" aboveAverage="0" equalAverage="0" bottom="0" percent="0" rank="0" text="" dxfId="0">
      <formula>AND(ISNUMBER(Q13),Q13&lt;0)</formula>
    </cfRule>
  </conditionalFormatting>
  <conditionalFormatting sqref="R13:R212">
    <cfRule type="dataBar" priority="5">
      <dataBar showValue="1" minLength="10" maxLength="90">
        <cfvo type="num" val="0"/>
        <cfvo type="num" val="1"/>
        <color rgb="FF00BBF2"/>
      </dataBar>
      <extLst>
        <ext xmlns:x14="http://schemas.microsoft.com/office/spreadsheetml/2009/9/main" uri="{B025F937-C7B1-47D3-B67F-A62EFF666E3E}">
          <x14:id>{F85CA0C1-B77A-41DC-97BA-99CCEAA2166D}</x14:id>
        </ext>
      </extLst>
    </cfRule>
  </conditionalFormatting>
  <dataValidations count="2">
    <dataValidation allowBlank="true" error="Seleccione un valor de la lista" errorStyle="stop" operator="between" showDropDown="false" showErrorMessage="true" showInputMessage="false" sqref="X13:X312" type="list">
      <formula1>t_Cargo</formula1>
      <formula2>0</formula2>
    </dataValidation>
    <dataValidation allowBlank="true" error="Seleccione un valor de la lista" errorStyle="stop" operator="between" showDropDown="false" showErrorMessage="true" showInputMessage="false" sqref="Y13:Y312" type="list">
      <formula1>lst_Items</formula1>
      <formula2>0</formula2>
    </dataValidation>
  </dataValidations>
  <hyperlinks>
    <hyperlink ref="A2" r:id="rId1" location="'INICIO'!A1" display="INICIO"/>
    <hyperlink ref="C2" r:id="rId2" location="'TABLERO'!A1" display="TABLERO"/>
    <hyperlink ref="E2" r:id="rId3" location="'CRONOGRAMA'!A1" display="CRONOGRAMA"/>
    <hyperlink ref="G2" r:id="rId4" location="'PRESUPUESTO'!A1" display="PRESUPUESTO"/>
    <hyperlink ref="H2" r:id="rId5" location="'CORTES%20CLIENTE'!A1" display="CORTES CLIENTE"/>
    <hyperlink ref="I2" r:id="rId6" location="'MANO%20DE%20OBRA'!A1" display="● MANO DE OBRA"/>
    <hyperlink ref="J2" r:id="rId7" location="'GASTOS'!A1" display="GASTOS"/>
    <hyperlink ref="K2" r:id="rId8" location="'CONTROL%20DE%20MATERIALES'!A1" display="MATERIALES"/>
    <hyperlink ref="L2" r:id="rId9" location="'GUÍA%20APP'!A1" display="GUÍ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5CA0C1-B77A-41DC-97BA-99CCEAA2166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0BBF2"/>
              <x14:axisColor rgb="FF000000"/>
            </x14:dataBar>
          </x14:cfRule>
          <xm:sqref>R13:R212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5C7A"/>
    <pageSetUpPr fitToPage="true"/>
  </sheetPr>
  <dimension ref="A1:M1507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13.0039062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34"/>
    <col collapsed="false" customWidth="true" hidden="true" outlineLevel="0" max="12" min="12" style="0" width="4"/>
    <col collapsed="false" customWidth="false" hidden="true" outlineLevel="1" max="16384" min="14" style="0" width="13"/>
  </cols>
  <sheetData>
    <row r="1" customFormat="false" ht="54" hidden="false" customHeight="true" outlineLevel="0" collapsed="false">
      <c r="A1" s="1"/>
      <c r="B1" s="1"/>
      <c r="C1" s="1"/>
      <c r="D1" s="2" t="s">
        <v>284</v>
      </c>
      <c r="E1" s="2"/>
      <c r="F1" s="3" t="s">
        <v>285</v>
      </c>
      <c r="G1" s="3"/>
      <c r="H1" s="3"/>
      <c r="I1" s="3"/>
      <c r="J1" s="3"/>
      <c r="K1" s="3"/>
      <c r="L1" s="3"/>
      <c r="M1" s="3"/>
    </row>
    <row r="2" customFormat="false" ht="24" hidden="false" customHeight="true" outlineLevel="0" collapsed="false">
      <c r="A2" s="5" t="s">
        <v>88</v>
      </c>
      <c r="B2" s="5"/>
      <c r="C2" s="5" t="s">
        <v>3</v>
      </c>
      <c r="D2" s="5" t="s">
        <v>4</v>
      </c>
      <c r="E2" s="5" t="s">
        <v>5</v>
      </c>
      <c r="F2" s="5" t="s">
        <v>6</v>
      </c>
      <c r="G2" s="5"/>
      <c r="H2" s="5" t="s">
        <v>7</v>
      </c>
      <c r="I2" s="5"/>
      <c r="J2" s="4" t="s">
        <v>286</v>
      </c>
      <c r="K2" s="5" t="s">
        <v>9</v>
      </c>
      <c r="L2" s="5" t="s">
        <v>10</v>
      </c>
      <c r="M2" s="5"/>
    </row>
    <row r="3" customFormat="false" ht="16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6.5" hidden="false" customHeight="true" outlineLevel="0" collapsed="false">
      <c r="A4" s="84" t="s">
        <v>287</v>
      </c>
      <c r="B4" s="84"/>
      <c r="C4" s="84"/>
      <c r="D4" s="84"/>
      <c r="E4" s="84"/>
      <c r="F4" s="84"/>
      <c r="G4" s="84"/>
      <c r="H4" s="84"/>
      <c r="I4" s="84"/>
      <c r="J4" s="13" t="n">
        <f aca="false">SUM(J7:J5000)</f>
        <v>0</v>
      </c>
      <c r="K4" s="6"/>
      <c r="L4" s="6"/>
      <c r="M4" s="6"/>
    </row>
    <row r="5" customFormat="false" ht="16.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33.75" hidden="false" customHeight="true" outlineLevel="0" collapsed="false">
      <c r="A6" s="35" t="s">
        <v>288</v>
      </c>
      <c r="B6" s="35" t="s">
        <v>276</v>
      </c>
      <c r="C6" s="35" t="s">
        <v>289</v>
      </c>
      <c r="D6" s="35" t="s">
        <v>290</v>
      </c>
      <c r="E6" s="35" t="s">
        <v>291</v>
      </c>
      <c r="F6" s="35" t="s">
        <v>292</v>
      </c>
      <c r="G6" s="35" t="s">
        <v>207</v>
      </c>
      <c r="H6" s="35" t="s">
        <v>293</v>
      </c>
      <c r="I6" s="35" t="s">
        <v>294</v>
      </c>
      <c r="J6" s="35" t="s">
        <v>282</v>
      </c>
      <c r="K6" s="35" t="s">
        <v>283</v>
      </c>
      <c r="L6" s="78" t="s">
        <v>295</v>
      </c>
      <c r="M6" s="6"/>
    </row>
    <row r="7" customFormat="false" ht="16.5" hidden="false" customHeight="true" outlineLevel="0" collapsed="false">
      <c r="A7" s="95" t="str">
        <f aca="false">IF(AND(B7="",C7=""),"",ROW()-6)</f>
        <v/>
      </c>
      <c r="B7" s="83"/>
      <c r="C7" s="15"/>
      <c r="D7" s="15"/>
      <c r="E7" s="85"/>
      <c r="F7" s="15"/>
      <c r="G7" s="15"/>
      <c r="H7" s="96"/>
      <c r="I7" s="16"/>
      <c r="J7" s="37" t="str">
        <f aca="false">IF(I7="","",IF(H7="",1,H7)*I7)</f>
        <v/>
      </c>
      <c r="K7" s="15"/>
      <c r="L7" s="97" t="str">
        <f aca="false">IF(C7="","",IF(OR(C7="Material",C7="Equipo",C7="Suministro"),"Materiales y equipos",IF(C7="Mano de obra contratista","Mano de obra contratista",IF(C7="Transporte","Transporte y otros","Alquileres"))))</f>
        <v/>
      </c>
      <c r="M7" s="6"/>
    </row>
    <row r="8" customFormat="false" ht="16.5" hidden="false" customHeight="true" outlineLevel="0" collapsed="false">
      <c r="A8" s="95" t="str">
        <f aca="false">IF(AND(B8="",C8=""),"",ROW()-6)</f>
        <v/>
      </c>
      <c r="B8" s="83"/>
      <c r="C8" s="15"/>
      <c r="D8" s="15"/>
      <c r="E8" s="85"/>
      <c r="F8" s="15"/>
      <c r="G8" s="15"/>
      <c r="H8" s="96"/>
      <c r="I8" s="16"/>
      <c r="J8" s="37" t="str">
        <f aca="false">IF(I8="","",IF(H8="",1,H8)*I8)</f>
        <v/>
      </c>
      <c r="K8" s="15"/>
      <c r="L8" s="97" t="str">
        <f aca="false">IF(C8="","",IF(OR(C8="Material",C8="Equipo",C8="Suministro"),"Materiales y equipos",IF(C8="Mano de obra contratista","Mano de obra contratista",IF(C8="Transporte","Transporte y otros","Alquileres"))))</f>
        <v/>
      </c>
      <c r="M8" s="6"/>
    </row>
    <row r="9" customFormat="false" ht="16.5" hidden="false" customHeight="true" outlineLevel="0" collapsed="false">
      <c r="A9" s="95" t="str">
        <f aca="false">IF(AND(B9="",C9=""),"",ROW()-6)</f>
        <v/>
      </c>
      <c r="B9" s="83"/>
      <c r="C9" s="15"/>
      <c r="D9" s="15"/>
      <c r="E9" s="85"/>
      <c r="F9" s="15"/>
      <c r="G9" s="15"/>
      <c r="H9" s="96"/>
      <c r="I9" s="16"/>
      <c r="J9" s="37" t="str">
        <f aca="false">IF(I9="","",IF(H9="",1,H9)*I9)</f>
        <v/>
      </c>
      <c r="K9" s="15"/>
      <c r="L9" s="97" t="str">
        <f aca="false">IF(C9="","",IF(OR(C9="Material",C9="Equipo",C9="Suministro"),"Materiales y equipos",IF(C9="Mano de obra contratista","Mano de obra contratista",IF(C9="Transporte","Transporte y otros","Alquileres"))))</f>
        <v/>
      </c>
      <c r="M9" s="6"/>
    </row>
    <row r="10" customFormat="false" ht="16.5" hidden="false" customHeight="true" outlineLevel="0" collapsed="false">
      <c r="A10" s="95" t="str">
        <f aca="false">IF(AND(B10="",C10=""),"",ROW()-6)</f>
        <v/>
      </c>
      <c r="B10" s="83"/>
      <c r="C10" s="15"/>
      <c r="D10" s="15"/>
      <c r="E10" s="85"/>
      <c r="F10" s="15"/>
      <c r="G10" s="15"/>
      <c r="H10" s="96"/>
      <c r="I10" s="16"/>
      <c r="J10" s="37" t="str">
        <f aca="false">IF(I10="","",IF(H10="",1,H10)*I10)</f>
        <v/>
      </c>
      <c r="K10" s="15"/>
      <c r="L10" s="97" t="str">
        <f aca="false">IF(C10="","",IF(OR(C10="Material",C10="Equipo",C10="Suministro"),"Materiales y equipos",IF(C10="Mano de obra contratista","Mano de obra contratista",IF(C10="Transporte","Transporte y otros","Alquileres"))))</f>
        <v/>
      </c>
      <c r="M10" s="6"/>
    </row>
    <row r="11" customFormat="false" ht="16.5" hidden="false" customHeight="true" outlineLevel="0" collapsed="false">
      <c r="A11" s="95" t="str">
        <f aca="false">IF(AND(B11="",C11=""),"",ROW()-6)</f>
        <v/>
      </c>
      <c r="B11" s="83"/>
      <c r="C11" s="15"/>
      <c r="D11" s="15"/>
      <c r="E11" s="85"/>
      <c r="F11" s="15"/>
      <c r="G11" s="15"/>
      <c r="H11" s="96"/>
      <c r="I11" s="16"/>
      <c r="J11" s="37" t="str">
        <f aca="false">IF(I11="","",IF(H11="",1,H11)*I11)</f>
        <v/>
      </c>
      <c r="K11" s="15"/>
      <c r="L11" s="97" t="str">
        <f aca="false">IF(C11="","",IF(OR(C11="Material",C11="Equipo",C11="Suministro"),"Materiales y equipos",IF(C11="Mano de obra contratista","Mano de obra contratista",IF(C11="Transporte","Transporte y otros","Alquileres"))))</f>
        <v/>
      </c>
      <c r="M11" s="6"/>
    </row>
    <row r="12" customFormat="false" ht="16.5" hidden="false" customHeight="true" outlineLevel="0" collapsed="false">
      <c r="A12" s="95" t="str">
        <f aca="false">IF(AND(B12="",C12=""),"",ROW()-6)</f>
        <v/>
      </c>
      <c r="B12" s="83"/>
      <c r="C12" s="15"/>
      <c r="D12" s="15"/>
      <c r="E12" s="85"/>
      <c r="F12" s="15"/>
      <c r="G12" s="15"/>
      <c r="H12" s="96"/>
      <c r="I12" s="16"/>
      <c r="J12" s="37" t="str">
        <f aca="false">IF(I12="","",IF(H12="",1,H12)*I12)</f>
        <v/>
      </c>
      <c r="K12" s="15"/>
      <c r="L12" s="97" t="str">
        <f aca="false">IF(C12="","",IF(OR(C12="Material",C12="Equipo",C12="Suministro"),"Materiales y equipos",IF(C12="Mano de obra contratista","Mano de obra contratista",IF(C12="Transporte","Transporte y otros","Alquileres"))))</f>
        <v/>
      </c>
      <c r="M12" s="6"/>
    </row>
    <row r="13" customFormat="false" ht="16.5" hidden="false" customHeight="true" outlineLevel="0" collapsed="false">
      <c r="A13" s="95" t="str">
        <f aca="false">IF(AND(B13="",C13=""),"",ROW()-6)</f>
        <v/>
      </c>
      <c r="B13" s="83"/>
      <c r="C13" s="15"/>
      <c r="D13" s="15"/>
      <c r="E13" s="85"/>
      <c r="F13" s="15"/>
      <c r="G13" s="15"/>
      <c r="H13" s="96"/>
      <c r="I13" s="16"/>
      <c r="J13" s="37" t="str">
        <f aca="false">IF(I13="","",IF(H13="",1,H13)*I13)</f>
        <v/>
      </c>
      <c r="K13" s="15"/>
      <c r="L13" s="97" t="str">
        <f aca="false">IF(C13="","",IF(OR(C13="Material",C13="Equipo",C13="Suministro"),"Materiales y equipos",IF(C13="Mano de obra contratista","Mano de obra contratista",IF(C13="Transporte","Transporte y otros","Alquileres"))))</f>
        <v/>
      </c>
      <c r="M13" s="6"/>
    </row>
    <row r="14" customFormat="false" ht="16.5" hidden="false" customHeight="true" outlineLevel="0" collapsed="false">
      <c r="A14" s="95" t="str">
        <f aca="false">IF(AND(B14="",C14=""),"",ROW()-6)</f>
        <v/>
      </c>
      <c r="B14" s="83"/>
      <c r="C14" s="15"/>
      <c r="D14" s="15"/>
      <c r="E14" s="85"/>
      <c r="F14" s="15"/>
      <c r="G14" s="15"/>
      <c r="H14" s="96"/>
      <c r="I14" s="16"/>
      <c r="J14" s="37" t="str">
        <f aca="false">IF(I14="","",IF(H14="",1,H14)*I14)</f>
        <v/>
      </c>
      <c r="K14" s="15"/>
      <c r="L14" s="97" t="str">
        <f aca="false">IF(C14="","",IF(OR(C14="Material",C14="Equipo",C14="Suministro"),"Materiales y equipos",IF(C14="Mano de obra contratista","Mano de obra contratista",IF(C14="Transporte","Transporte y otros","Alquileres"))))</f>
        <v/>
      </c>
      <c r="M14" s="6"/>
    </row>
    <row r="15" customFormat="false" ht="16.5" hidden="false" customHeight="true" outlineLevel="0" collapsed="false">
      <c r="A15" s="95" t="str">
        <f aca="false">IF(AND(B15="",C15=""),"",ROW()-6)</f>
        <v/>
      </c>
      <c r="B15" s="83"/>
      <c r="C15" s="15"/>
      <c r="D15" s="15"/>
      <c r="E15" s="85"/>
      <c r="F15" s="15"/>
      <c r="G15" s="15"/>
      <c r="H15" s="96"/>
      <c r="I15" s="16"/>
      <c r="J15" s="37" t="str">
        <f aca="false">IF(I15="","",IF(H15="",1,H15)*I15)</f>
        <v/>
      </c>
      <c r="K15" s="15"/>
      <c r="L15" s="97" t="str">
        <f aca="false">IF(C15="","",IF(OR(C15="Material",C15="Equipo",C15="Suministro"),"Materiales y equipos",IF(C15="Mano de obra contratista","Mano de obra contratista",IF(C15="Transporte","Transporte y otros","Alquileres"))))</f>
        <v/>
      </c>
      <c r="M15" s="6"/>
    </row>
    <row r="16" customFormat="false" ht="16.5" hidden="false" customHeight="true" outlineLevel="0" collapsed="false">
      <c r="A16" s="95" t="str">
        <f aca="false">IF(AND(B16="",C16=""),"",ROW()-6)</f>
        <v/>
      </c>
      <c r="B16" s="83"/>
      <c r="C16" s="15"/>
      <c r="D16" s="15"/>
      <c r="E16" s="85"/>
      <c r="F16" s="15"/>
      <c r="G16" s="15"/>
      <c r="H16" s="96"/>
      <c r="I16" s="16"/>
      <c r="J16" s="37" t="str">
        <f aca="false">IF(I16="","",IF(H16="",1,H16)*I16)</f>
        <v/>
      </c>
      <c r="K16" s="15"/>
      <c r="L16" s="97" t="str">
        <f aca="false">IF(C16="","",IF(OR(C16="Material",C16="Equipo",C16="Suministro"),"Materiales y equipos",IF(C16="Mano de obra contratista","Mano de obra contratista",IF(C16="Transporte","Transporte y otros","Alquileres"))))</f>
        <v/>
      </c>
      <c r="M16" s="6"/>
    </row>
    <row r="17" customFormat="false" ht="16.5" hidden="false" customHeight="true" outlineLevel="0" collapsed="false">
      <c r="A17" s="95" t="str">
        <f aca="false">IF(AND(B17="",C17=""),"",ROW()-6)</f>
        <v/>
      </c>
      <c r="B17" s="83"/>
      <c r="C17" s="15"/>
      <c r="D17" s="15"/>
      <c r="E17" s="85"/>
      <c r="F17" s="15"/>
      <c r="G17" s="15"/>
      <c r="H17" s="96"/>
      <c r="I17" s="16"/>
      <c r="J17" s="37" t="str">
        <f aca="false">IF(I17="","",IF(H17="",1,H17)*I17)</f>
        <v/>
      </c>
      <c r="K17" s="15"/>
      <c r="L17" s="97" t="str">
        <f aca="false">IF(C17="","",IF(OR(C17="Material",C17="Equipo",C17="Suministro"),"Materiales y equipos",IF(C17="Mano de obra contratista","Mano de obra contratista",IF(C17="Transporte","Transporte y otros","Alquileres"))))</f>
        <v/>
      </c>
      <c r="M17" s="6"/>
    </row>
    <row r="18" customFormat="false" ht="16.5" hidden="false" customHeight="true" outlineLevel="0" collapsed="false">
      <c r="A18" s="95" t="str">
        <f aca="false">IF(AND(B18="",C18=""),"",ROW()-6)</f>
        <v/>
      </c>
      <c r="B18" s="83"/>
      <c r="C18" s="15"/>
      <c r="D18" s="15"/>
      <c r="E18" s="85"/>
      <c r="F18" s="15"/>
      <c r="G18" s="15"/>
      <c r="H18" s="96"/>
      <c r="I18" s="16"/>
      <c r="J18" s="37" t="str">
        <f aca="false">IF(I18="","",IF(H18="",1,H18)*I18)</f>
        <v/>
      </c>
      <c r="K18" s="15"/>
      <c r="L18" s="97" t="str">
        <f aca="false">IF(C18="","",IF(OR(C18="Material",C18="Equipo",C18="Suministro"),"Materiales y equipos",IF(C18="Mano de obra contratista","Mano de obra contratista",IF(C18="Transporte","Transporte y otros","Alquileres"))))</f>
        <v/>
      </c>
      <c r="M18" s="6"/>
    </row>
    <row r="19" customFormat="false" ht="16.5" hidden="false" customHeight="true" outlineLevel="0" collapsed="false">
      <c r="A19" s="95" t="str">
        <f aca="false">IF(AND(B19="",C19=""),"",ROW()-6)</f>
        <v/>
      </c>
      <c r="B19" s="83"/>
      <c r="C19" s="15"/>
      <c r="D19" s="15"/>
      <c r="E19" s="85"/>
      <c r="F19" s="15"/>
      <c r="G19" s="15"/>
      <c r="H19" s="96"/>
      <c r="I19" s="16"/>
      <c r="J19" s="37" t="str">
        <f aca="false">IF(I19="","",IF(H19="",1,H19)*I19)</f>
        <v/>
      </c>
      <c r="K19" s="15"/>
      <c r="L19" s="97" t="str">
        <f aca="false">IF(C19="","",IF(OR(C19="Material",C19="Equipo",C19="Suministro"),"Materiales y equipos",IF(C19="Mano de obra contratista","Mano de obra contratista",IF(C19="Transporte","Transporte y otros","Alquileres"))))</f>
        <v/>
      </c>
      <c r="M19" s="6"/>
    </row>
    <row r="20" customFormat="false" ht="16.5" hidden="false" customHeight="true" outlineLevel="0" collapsed="false">
      <c r="A20" s="95" t="str">
        <f aca="false">IF(AND(B20="",C20=""),"",ROW()-6)</f>
        <v/>
      </c>
      <c r="B20" s="83"/>
      <c r="C20" s="15"/>
      <c r="D20" s="15"/>
      <c r="E20" s="85"/>
      <c r="F20" s="15"/>
      <c r="G20" s="15"/>
      <c r="H20" s="96"/>
      <c r="I20" s="16"/>
      <c r="J20" s="37" t="str">
        <f aca="false">IF(I20="","",IF(H20="",1,H20)*I20)</f>
        <v/>
      </c>
      <c r="K20" s="15"/>
      <c r="L20" s="97" t="str">
        <f aca="false">IF(C20="","",IF(OR(C20="Material",C20="Equipo",C20="Suministro"),"Materiales y equipos",IF(C20="Mano de obra contratista","Mano de obra contratista",IF(C20="Transporte","Transporte y otros","Alquileres"))))</f>
        <v/>
      </c>
      <c r="M20" s="6"/>
    </row>
    <row r="21" customFormat="false" ht="16.5" hidden="false" customHeight="true" outlineLevel="0" collapsed="false">
      <c r="A21" s="95" t="str">
        <f aca="false">IF(AND(B21="",C21=""),"",ROW()-6)</f>
        <v/>
      </c>
      <c r="B21" s="83"/>
      <c r="C21" s="15"/>
      <c r="D21" s="15"/>
      <c r="E21" s="85"/>
      <c r="F21" s="15"/>
      <c r="G21" s="15"/>
      <c r="H21" s="96"/>
      <c r="I21" s="16"/>
      <c r="J21" s="37" t="str">
        <f aca="false">IF(I21="","",IF(H21="",1,H21)*I21)</f>
        <v/>
      </c>
      <c r="K21" s="15"/>
      <c r="L21" s="97" t="str">
        <f aca="false">IF(C21="","",IF(OR(C21="Material",C21="Equipo",C21="Suministro"),"Materiales y equipos",IF(C21="Mano de obra contratista","Mano de obra contratista",IF(C21="Transporte","Transporte y otros","Alquileres"))))</f>
        <v/>
      </c>
      <c r="M21" s="6"/>
    </row>
    <row r="22" customFormat="false" ht="16.5" hidden="false" customHeight="true" outlineLevel="0" collapsed="false">
      <c r="A22" s="95" t="str">
        <f aca="false">IF(AND(B22="",C22=""),"",ROW()-6)</f>
        <v/>
      </c>
      <c r="B22" s="83"/>
      <c r="C22" s="15"/>
      <c r="D22" s="15"/>
      <c r="E22" s="85"/>
      <c r="F22" s="15"/>
      <c r="G22" s="15"/>
      <c r="H22" s="96"/>
      <c r="I22" s="16"/>
      <c r="J22" s="37" t="str">
        <f aca="false">IF(I22="","",IF(H22="",1,H22)*I22)</f>
        <v/>
      </c>
      <c r="K22" s="15"/>
      <c r="L22" s="97" t="str">
        <f aca="false">IF(C22="","",IF(OR(C22="Material",C22="Equipo",C22="Suministro"),"Materiales y equipos",IF(C22="Mano de obra contratista","Mano de obra contratista",IF(C22="Transporte","Transporte y otros","Alquileres"))))</f>
        <v/>
      </c>
      <c r="M22" s="6"/>
    </row>
    <row r="23" customFormat="false" ht="16.5" hidden="false" customHeight="true" outlineLevel="0" collapsed="false">
      <c r="A23" s="95" t="str">
        <f aca="false">IF(AND(B23="",C23=""),"",ROW()-6)</f>
        <v/>
      </c>
      <c r="B23" s="83"/>
      <c r="C23" s="15"/>
      <c r="D23" s="15"/>
      <c r="E23" s="85"/>
      <c r="F23" s="15"/>
      <c r="G23" s="15"/>
      <c r="H23" s="96"/>
      <c r="I23" s="16"/>
      <c r="J23" s="37" t="str">
        <f aca="false">IF(I23="","",IF(H23="",1,H23)*I23)</f>
        <v/>
      </c>
      <c r="K23" s="15"/>
      <c r="L23" s="97" t="str">
        <f aca="false">IF(C23="","",IF(OR(C23="Material",C23="Equipo",C23="Suministro"),"Materiales y equipos",IF(C23="Mano de obra contratista","Mano de obra contratista",IF(C23="Transporte","Transporte y otros","Alquileres"))))</f>
        <v/>
      </c>
      <c r="M23" s="6"/>
    </row>
    <row r="24" customFormat="false" ht="16.5" hidden="false" customHeight="true" outlineLevel="0" collapsed="false">
      <c r="A24" s="95" t="str">
        <f aca="false">IF(AND(B24="",C24=""),"",ROW()-6)</f>
        <v/>
      </c>
      <c r="B24" s="83"/>
      <c r="C24" s="15"/>
      <c r="D24" s="15"/>
      <c r="E24" s="85"/>
      <c r="F24" s="15"/>
      <c r="G24" s="15"/>
      <c r="H24" s="96"/>
      <c r="I24" s="16"/>
      <c r="J24" s="37" t="str">
        <f aca="false">IF(I24="","",IF(H24="",1,H24)*I24)</f>
        <v/>
      </c>
      <c r="K24" s="15"/>
      <c r="L24" s="97" t="str">
        <f aca="false">IF(C24="","",IF(OR(C24="Material",C24="Equipo",C24="Suministro"),"Materiales y equipos",IF(C24="Mano de obra contratista","Mano de obra contratista",IF(C24="Transporte","Transporte y otros","Alquileres"))))</f>
        <v/>
      </c>
      <c r="M24" s="6"/>
    </row>
    <row r="25" customFormat="false" ht="16.5" hidden="false" customHeight="true" outlineLevel="0" collapsed="false">
      <c r="A25" s="95" t="str">
        <f aca="false">IF(AND(B25="",C25=""),"",ROW()-6)</f>
        <v/>
      </c>
      <c r="B25" s="83"/>
      <c r="C25" s="15"/>
      <c r="D25" s="15"/>
      <c r="E25" s="85"/>
      <c r="F25" s="15"/>
      <c r="G25" s="15"/>
      <c r="H25" s="96"/>
      <c r="I25" s="16"/>
      <c r="J25" s="37" t="str">
        <f aca="false">IF(I25="","",IF(H25="",1,H25)*I25)</f>
        <v/>
      </c>
      <c r="K25" s="15"/>
      <c r="L25" s="97" t="str">
        <f aca="false">IF(C25="","",IF(OR(C25="Material",C25="Equipo",C25="Suministro"),"Materiales y equipos",IF(C25="Mano de obra contratista","Mano de obra contratista",IF(C25="Transporte","Transporte y otros","Alquileres"))))</f>
        <v/>
      </c>
      <c r="M25" s="6"/>
    </row>
    <row r="26" customFormat="false" ht="16.5" hidden="false" customHeight="true" outlineLevel="0" collapsed="false">
      <c r="A26" s="95" t="str">
        <f aca="false">IF(AND(B26="",C26=""),"",ROW()-6)</f>
        <v/>
      </c>
      <c r="B26" s="83"/>
      <c r="C26" s="15"/>
      <c r="D26" s="15"/>
      <c r="E26" s="85"/>
      <c r="F26" s="15"/>
      <c r="G26" s="15"/>
      <c r="H26" s="96"/>
      <c r="I26" s="16"/>
      <c r="J26" s="37" t="str">
        <f aca="false">IF(I26="","",IF(H26="",1,H26)*I26)</f>
        <v/>
      </c>
      <c r="K26" s="15"/>
      <c r="L26" s="97" t="str">
        <f aca="false">IF(C26="","",IF(OR(C26="Material",C26="Equipo",C26="Suministro"),"Materiales y equipos",IF(C26="Mano de obra contratista","Mano de obra contratista",IF(C26="Transporte","Transporte y otros","Alquileres"))))</f>
        <v/>
      </c>
      <c r="M26" s="6"/>
    </row>
    <row r="27" customFormat="false" ht="16.5" hidden="false" customHeight="true" outlineLevel="0" collapsed="false">
      <c r="A27" s="95" t="str">
        <f aca="false">IF(AND(B27="",C27=""),"",ROW()-6)</f>
        <v/>
      </c>
      <c r="B27" s="83"/>
      <c r="C27" s="15"/>
      <c r="D27" s="15"/>
      <c r="E27" s="85"/>
      <c r="F27" s="15"/>
      <c r="G27" s="15"/>
      <c r="H27" s="96"/>
      <c r="I27" s="16"/>
      <c r="J27" s="37" t="str">
        <f aca="false">IF(I27="","",IF(H27="",1,H27)*I27)</f>
        <v/>
      </c>
      <c r="K27" s="15"/>
      <c r="L27" s="97" t="str">
        <f aca="false">IF(C27="","",IF(OR(C27="Material",C27="Equipo",C27="Suministro"),"Materiales y equipos",IF(C27="Mano de obra contratista","Mano de obra contratista",IF(C27="Transporte","Transporte y otros","Alquileres"))))</f>
        <v/>
      </c>
      <c r="M27" s="6"/>
    </row>
    <row r="28" customFormat="false" ht="16.5" hidden="false" customHeight="true" outlineLevel="0" collapsed="false">
      <c r="A28" s="95" t="str">
        <f aca="false">IF(AND(B28="",C28=""),"",ROW()-6)</f>
        <v/>
      </c>
      <c r="B28" s="83"/>
      <c r="C28" s="15"/>
      <c r="D28" s="15"/>
      <c r="E28" s="85"/>
      <c r="F28" s="15"/>
      <c r="G28" s="15"/>
      <c r="H28" s="96"/>
      <c r="I28" s="16"/>
      <c r="J28" s="37" t="str">
        <f aca="false">IF(I28="","",IF(H28="",1,H28)*I28)</f>
        <v/>
      </c>
      <c r="K28" s="15"/>
      <c r="L28" s="97" t="str">
        <f aca="false">IF(C28="","",IF(OR(C28="Material",C28="Equipo",C28="Suministro"),"Materiales y equipos",IF(C28="Mano de obra contratista","Mano de obra contratista",IF(C28="Transporte","Transporte y otros","Alquileres"))))</f>
        <v/>
      </c>
      <c r="M28" s="6"/>
    </row>
    <row r="29" customFormat="false" ht="16.5" hidden="false" customHeight="true" outlineLevel="0" collapsed="false">
      <c r="A29" s="95" t="str">
        <f aca="false">IF(AND(B29="",C29=""),"",ROW()-6)</f>
        <v/>
      </c>
      <c r="B29" s="83"/>
      <c r="C29" s="15"/>
      <c r="D29" s="15"/>
      <c r="E29" s="85"/>
      <c r="F29" s="15"/>
      <c r="G29" s="15"/>
      <c r="H29" s="96"/>
      <c r="I29" s="16"/>
      <c r="J29" s="37" t="str">
        <f aca="false">IF(I29="","",IF(H29="",1,H29)*I29)</f>
        <v/>
      </c>
      <c r="K29" s="15"/>
      <c r="L29" s="97" t="str">
        <f aca="false">IF(C29="","",IF(OR(C29="Material",C29="Equipo",C29="Suministro"),"Materiales y equipos",IF(C29="Mano de obra contratista","Mano de obra contratista",IF(C29="Transporte","Transporte y otros","Alquileres"))))</f>
        <v/>
      </c>
      <c r="M29" s="6"/>
    </row>
    <row r="30" customFormat="false" ht="16.5" hidden="false" customHeight="true" outlineLevel="0" collapsed="false">
      <c r="A30" s="95" t="str">
        <f aca="false">IF(AND(B30="",C30=""),"",ROW()-6)</f>
        <v/>
      </c>
      <c r="B30" s="83"/>
      <c r="C30" s="15"/>
      <c r="D30" s="15"/>
      <c r="E30" s="85"/>
      <c r="F30" s="15"/>
      <c r="G30" s="15"/>
      <c r="H30" s="96"/>
      <c r="I30" s="16"/>
      <c r="J30" s="37" t="str">
        <f aca="false">IF(I30="","",IF(H30="",1,H30)*I30)</f>
        <v/>
      </c>
      <c r="K30" s="15"/>
      <c r="L30" s="97" t="str">
        <f aca="false">IF(C30="","",IF(OR(C30="Material",C30="Equipo",C30="Suministro"),"Materiales y equipos",IF(C30="Mano de obra contratista","Mano de obra contratista",IF(C30="Transporte","Transporte y otros","Alquileres"))))</f>
        <v/>
      </c>
      <c r="M30" s="6"/>
    </row>
    <row r="31" customFormat="false" ht="16.5" hidden="false" customHeight="true" outlineLevel="0" collapsed="false">
      <c r="A31" s="95" t="str">
        <f aca="false">IF(AND(B31="",C31=""),"",ROW()-6)</f>
        <v/>
      </c>
      <c r="B31" s="83"/>
      <c r="C31" s="15"/>
      <c r="D31" s="15"/>
      <c r="E31" s="85"/>
      <c r="F31" s="15"/>
      <c r="G31" s="15"/>
      <c r="H31" s="96"/>
      <c r="I31" s="16"/>
      <c r="J31" s="37" t="str">
        <f aca="false">IF(I31="","",IF(H31="",1,H31)*I31)</f>
        <v/>
      </c>
      <c r="K31" s="15"/>
      <c r="L31" s="97" t="str">
        <f aca="false">IF(C31="","",IF(OR(C31="Material",C31="Equipo",C31="Suministro"),"Materiales y equipos",IF(C31="Mano de obra contratista","Mano de obra contratista",IF(C31="Transporte","Transporte y otros","Alquileres"))))</f>
        <v/>
      </c>
      <c r="M31" s="6"/>
    </row>
    <row r="32" customFormat="false" ht="16.5" hidden="false" customHeight="true" outlineLevel="0" collapsed="false">
      <c r="A32" s="95" t="str">
        <f aca="false">IF(AND(B32="",C32=""),"",ROW()-6)</f>
        <v/>
      </c>
      <c r="B32" s="83"/>
      <c r="C32" s="15"/>
      <c r="D32" s="15"/>
      <c r="E32" s="85"/>
      <c r="F32" s="15"/>
      <c r="G32" s="15"/>
      <c r="H32" s="96"/>
      <c r="I32" s="16"/>
      <c r="J32" s="37" t="str">
        <f aca="false">IF(I32="","",IF(H32="",1,H32)*I32)</f>
        <v/>
      </c>
      <c r="K32" s="15"/>
      <c r="L32" s="97" t="str">
        <f aca="false">IF(C32="","",IF(OR(C32="Material",C32="Equipo",C32="Suministro"),"Materiales y equipos",IF(C32="Mano de obra contratista","Mano de obra contratista",IF(C32="Transporte","Transporte y otros","Alquileres"))))</f>
        <v/>
      </c>
      <c r="M32" s="6"/>
    </row>
    <row r="33" customFormat="false" ht="16.5" hidden="false" customHeight="true" outlineLevel="0" collapsed="false">
      <c r="A33" s="95" t="str">
        <f aca="false">IF(AND(B33="",C33=""),"",ROW()-6)</f>
        <v/>
      </c>
      <c r="B33" s="83"/>
      <c r="C33" s="15"/>
      <c r="D33" s="15"/>
      <c r="E33" s="85"/>
      <c r="F33" s="15"/>
      <c r="G33" s="15"/>
      <c r="H33" s="96"/>
      <c r="I33" s="16"/>
      <c r="J33" s="37" t="str">
        <f aca="false">IF(I33="","",IF(H33="",1,H33)*I33)</f>
        <v/>
      </c>
      <c r="K33" s="15"/>
      <c r="L33" s="97" t="str">
        <f aca="false">IF(C33="","",IF(OR(C33="Material",C33="Equipo",C33="Suministro"),"Materiales y equipos",IF(C33="Mano de obra contratista","Mano de obra contratista",IF(C33="Transporte","Transporte y otros","Alquileres"))))</f>
        <v/>
      </c>
      <c r="M33" s="6"/>
    </row>
    <row r="34" customFormat="false" ht="16.5" hidden="false" customHeight="true" outlineLevel="0" collapsed="false">
      <c r="A34" s="95" t="str">
        <f aca="false">IF(AND(B34="",C34=""),"",ROW()-6)</f>
        <v/>
      </c>
      <c r="B34" s="83"/>
      <c r="C34" s="15"/>
      <c r="D34" s="15"/>
      <c r="E34" s="85"/>
      <c r="F34" s="15"/>
      <c r="G34" s="15"/>
      <c r="H34" s="96"/>
      <c r="I34" s="16"/>
      <c r="J34" s="37" t="str">
        <f aca="false">IF(I34="","",IF(H34="",1,H34)*I34)</f>
        <v/>
      </c>
      <c r="K34" s="15"/>
      <c r="L34" s="97" t="str">
        <f aca="false">IF(C34="","",IF(OR(C34="Material",C34="Equipo",C34="Suministro"),"Materiales y equipos",IF(C34="Mano de obra contratista","Mano de obra contratista",IF(C34="Transporte","Transporte y otros","Alquileres"))))</f>
        <v/>
      </c>
      <c r="M34" s="6"/>
    </row>
    <row r="35" customFormat="false" ht="16.5" hidden="false" customHeight="true" outlineLevel="0" collapsed="false">
      <c r="A35" s="95" t="str">
        <f aca="false">IF(AND(B35="",C35=""),"",ROW()-6)</f>
        <v/>
      </c>
      <c r="B35" s="83"/>
      <c r="C35" s="15"/>
      <c r="D35" s="15"/>
      <c r="E35" s="85"/>
      <c r="F35" s="15"/>
      <c r="G35" s="15"/>
      <c r="H35" s="96"/>
      <c r="I35" s="16"/>
      <c r="J35" s="37" t="str">
        <f aca="false">IF(I35="","",IF(H35="",1,H35)*I35)</f>
        <v/>
      </c>
      <c r="K35" s="15"/>
      <c r="L35" s="97" t="str">
        <f aca="false">IF(C35="","",IF(OR(C35="Material",C35="Equipo",C35="Suministro"),"Materiales y equipos",IF(C35="Mano de obra contratista","Mano de obra contratista",IF(C35="Transporte","Transporte y otros","Alquileres"))))</f>
        <v/>
      </c>
      <c r="M35" s="6"/>
    </row>
    <row r="36" customFormat="false" ht="16.5" hidden="false" customHeight="true" outlineLevel="0" collapsed="false">
      <c r="A36" s="95" t="str">
        <f aca="false">IF(AND(B36="",C36=""),"",ROW()-6)</f>
        <v/>
      </c>
      <c r="B36" s="83"/>
      <c r="C36" s="15"/>
      <c r="D36" s="15"/>
      <c r="E36" s="85"/>
      <c r="F36" s="15"/>
      <c r="G36" s="15"/>
      <c r="H36" s="96"/>
      <c r="I36" s="16"/>
      <c r="J36" s="37" t="str">
        <f aca="false">IF(I36="","",IF(H36="",1,H36)*I36)</f>
        <v/>
      </c>
      <c r="K36" s="15"/>
      <c r="L36" s="97" t="str">
        <f aca="false">IF(C36="","",IF(OR(C36="Material",C36="Equipo",C36="Suministro"),"Materiales y equipos",IF(C36="Mano de obra contratista","Mano de obra contratista",IF(C36="Transporte","Transporte y otros","Alquileres"))))</f>
        <v/>
      </c>
      <c r="M36" s="6"/>
    </row>
    <row r="37" customFormat="false" ht="16.5" hidden="false" customHeight="true" outlineLevel="0" collapsed="false">
      <c r="A37" s="95" t="str">
        <f aca="false">IF(AND(B37="",C37=""),"",ROW()-6)</f>
        <v/>
      </c>
      <c r="B37" s="83"/>
      <c r="C37" s="15"/>
      <c r="D37" s="15"/>
      <c r="E37" s="85"/>
      <c r="F37" s="15"/>
      <c r="G37" s="15"/>
      <c r="H37" s="96"/>
      <c r="I37" s="16"/>
      <c r="J37" s="37" t="str">
        <f aca="false">IF(I37="","",IF(H37="",1,H37)*I37)</f>
        <v/>
      </c>
      <c r="K37" s="15"/>
      <c r="L37" s="97" t="str">
        <f aca="false">IF(C37="","",IF(OR(C37="Material",C37="Equipo",C37="Suministro"),"Materiales y equipos",IF(C37="Mano de obra contratista","Mano de obra contratista",IF(C37="Transporte","Transporte y otros","Alquileres"))))</f>
        <v/>
      </c>
      <c r="M37" s="6"/>
    </row>
    <row r="38" customFormat="false" ht="16.5" hidden="false" customHeight="true" outlineLevel="0" collapsed="false">
      <c r="A38" s="95" t="str">
        <f aca="false">IF(AND(B38="",C38=""),"",ROW()-6)</f>
        <v/>
      </c>
      <c r="B38" s="83"/>
      <c r="C38" s="15"/>
      <c r="D38" s="15"/>
      <c r="E38" s="85"/>
      <c r="F38" s="15"/>
      <c r="G38" s="15"/>
      <c r="H38" s="96"/>
      <c r="I38" s="16"/>
      <c r="J38" s="37" t="str">
        <f aca="false">IF(I38="","",IF(H38="",1,H38)*I38)</f>
        <v/>
      </c>
      <c r="K38" s="15"/>
      <c r="L38" s="97" t="str">
        <f aca="false">IF(C38="","",IF(OR(C38="Material",C38="Equipo",C38="Suministro"),"Materiales y equipos",IF(C38="Mano de obra contratista","Mano de obra contratista",IF(C38="Transporte","Transporte y otros","Alquileres"))))</f>
        <v/>
      </c>
      <c r="M38" s="6"/>
    </row>
    <row r="39" customFormat="false" ht="16.5" hidden="false" customHeight="true" outlineLevel="0" collapsed="false">
      <c r="A39" s="95" t="str">
        <f aca="false">IF(AND(B39="",C39=""),"",ROW()-6)</f>
        <v/>
      </c>
      <c r="B39" s="83"/>
      <c r="C39" s="15"/>
      <c r="D39" s="15"/>
      <c r="E39" s="85"/>
      <c r="F39" s="15"/>
      <c r="G39" s="15"/>
      <c r="H39" s="96"/>
      <c r="I39" s="16"/>
      <c r="J39" s="37" t="str">
        <f aca="false">IF(I39="","",IF(H39="",1,H39)*I39)</f>
        <v/>
      </c>
      <c r="K39" s="15"/>
      <c r="L39" s="97" t="str">
        <f aca="false">IF(C39="","",IF(OR(C39="Material",C39="Equipo",C39="Suministro"),"Materiales y equipos",IF(C39="Mano de obra contratista","Mano de obra contratista",IF(C39="Transporte","Transporte y otros","Alquileres"))))</f>
        <v/>
      </c>
      <c r="M39" s="6"/>
    </row>
    <row r="40" customFormat="false" ht="16.5" hidden="false" customHeight="true" outlineLevel="0" collapsed="false">
      <c r="A40" s="95" t="str">
        <f aca="false">IF(AND(B40="",C40=""),"",ROW()-6)</f>
        <v/>
      </c>
      <c r="B40" s="83"/>
      <c r="C40" s="15"/>
      <c r="D40" s="15"/>
      <c r="E40" s="85"/>
      <c r="F40" s="15"/>
      <c r="G40" s="15"/>
      <c r="H40" s="96"/>
      <c r="I40" s="16"/>
      <c r="J40" s="37" t="str">
        <f aca="false">IF(I40="","",IF(H40="",1,H40)*I40)</f>
        <v/>
      </c>
      <c r="K40" s="15"/>
      <c r="L40" s="97" t="str">
        <f aca="false">IF(C40="","",IF(OR(C40="Material",C40="Equipo",C40="Suministro"),"Materiales y equipos",IF(C40="Mano de obra contratista","Mano de obra contratista",IF(C40="Transporte","Transporte y otros","Alquileres"))))</f>
        <v/>
      </c>
      <c r="M40" s="6"/>
    </row>
    <row r="41" customFormat="false" ht="16.5" hidden="false" customHeight="true" outlineLevel="0" collapsed="false">
      <c r="A41" s="95" t="str">
        <f aca="false">IF(AND(B41="",C41=""),"",ROW()-6)</f>
        <v/>
      </c>
      <c r="B41" s="83"/>
      <c r="C41" s="15"/>
      <c r="D41" s="15"/>
      <c r="E41" s="85"/>
      <c r="F41" s="15"/>
      <c r="G41" s="15"/>
      <c r="H41" s="96"/>
      <c r="I41" s="16"/>
      <c r="J41" s="37" t="str">
        <f aca="false">IF(I41="","",IF(H41="",1,H41)*I41)</f>
        <v/>
      </c>
      <c r="K41" s="15"/>
      <c r="L41" s="97" t="str">
        <f aca="false">IF(C41="","",IF(OR(C41="Material",C41="Equipo",C41="Suministro"),"Materiales y equipos",IF(C41="Mano de obra contratista","Mano de obra contratista",IF(C41="Transporte","Transporte y otros","Alquileres"))))</f>
        <v/>
      </c>
      <c r="M41" s="6"/>
    </row>
    <row r="42" customFormat="false" ht="16.5" hidden="false" customHeight="true" outlineLevel="0" collapsed="false">
      <c r="A42" s="95" t="str">
        <f aca="false">IF(AND(B42="",C42=""),"",ROW()-6)</f>
        <v/>
      </c>
      <c r="B42" s="83"/>
      <c r="C42" s="15"/>
      <c r="D42" s="15"/>
      <c r="E42" s="85"/>
      <c r="F42" s="15"/>
      <c r="G42" s="15"/>
      <c r="H42" s="96"/>
      <c r="I42" s="16"/>
      <c r="J42" s="37" t="str">
        <f aca="false">IF(I42="","",IF(H42="",1,H42)*I42)</f>
        <v/>
      </c>
      <c r="K42" s="15"/>
      <c r="L42" s="97" t="str">
        <f aca="false">IF(C42="","",IF(OR(C42="Material",C42="Equipo",C42="Suministro"),"Materiales y equipos",IF(C42="Mano de obra contratista","Mano de obra contratista",IF(C42="Transporte","Transporte y otros","Alquileres"))))</f>
        <v/>
      </c>
      <c r="M42" s="6"/>
    </row>
    <row r="43" customFormat="false" ht="16.5" hidden="false" customHeight="true" outlineLevel="0" collapsed="false">
      <c r="A43" s="95" t="str">
        <f aca="false">IF(AND(B43="",C43=""),"",ROW()-6)</f>
        <v/>
      </c>
      <c r="B43" s="83"/>
      <c r="C43" s="15"/>
      <c r="D43" s="15"/>
      <c r="E43" s="85"/>
      <c r="F43" s="15"/>
      <c r="G43" s="15"/>
      <c r="H43" s="96"/>
      <c r="I43" s="16"/>
      <c r="J43" s="37" t="str">
        <f aca="false">IF(I43="","",IF(H43="",1,H43)*I43)</f>
        <v/>
      </c>
      <c r="K43" s="15"/>
      <c r="L43" s="97" t="str">
        <f aca="false">IF(C43="","",IF(OR(C43="Material",C43="Equipo",C43="Suministro"),"Materiales y equipos",IF(C43="Mano de obra contratista","Mano de obra contratista",IF(C43="Transporte","Transporte y otros","Alquileres"))))</f>
        <v/>
      </c>
      <c r="M43" s="6"/>
    </row>
    <row r="44" customFormat="false" ht="16.5" hidden="false" customHeight="true" outlineLevel="0" collapsed="false">
      <c r="A44" s="95" t="str">
        <f aca="false">IF(AND(B44="",C44=""),"",ROW()-6)</f>
        <v/>
      </c>
      <c r="B44" s="83"/>
      <c r="C44" s="15"/>
      <c r="D44" s="15"/>
      <c r="E44" s="85"/>
      <c r="F44" s="15"/>
      <c r="G44" s="15"/>
      <c r="H44" s="96"/>
      <c r="I44" s="16"/>
      <c r="J44" s="37" t="str">
        <f aca="false">IF(I44="","",IF(H44="",1,H44)*I44)</f>
        <v/>
      </c>
      <c r="K44" s="15"/>
      <c r="L44" s="97" t="str">
        <f aca="false">IF(C44="","",IF(OR(C44="Material",C44="Equipo",C44="Suministro"),"Materiales y equipos",IF(C44="Mano de obra contratista","Mano de obra contratista",IF(C44="Transporte","Transporte y otros","Alquileres"))))</f>
        <v/>
      </c>
      <c r="M44" s="6"/>
    </row>
    <row r="45" customFormat="false" ht="16.5" hidden="false" customHeight="true" outlineLevel="0" collapsed="false">
      <c r="A45" s="95" t="str">
        <f aca="false">IF(AND(B45="",C45=""),"",ROW()-6)</f>
        <v/>
      </c>
      <c r="B45" s="83"/>
      <c r="C45" s="15"/>
      <c r="D45" s="15"/>
      <c r="E45" s="85"/>
      <c r="F45" s="15"/>
      <c r="G45" s="15"/>
      <c r="H45" s="96"/>
      <c r="I45" s="16"/>
      <c r="J45" s="37" t="str">
        <f aca="false">IF(I45="","",IF(H45="",1,H45)*I45)</f>
        <v/>
      </c>
      <c r="K45" s="15"/>
      <c r="L45" s="97" t="str">
        <f aca="false">IF(C45="","",IF(OR(C45="Material",C45="Equipo",C45="Suministro"),"Materiales y equipos",IF(C45="Mano de obra contratista","Mano de obra contratista",IF(C45="Transporte","Transporte y otros","Alquileres"))))</f>
        <v/>
      </c>
      <c r="M45" s="6"/>
    </row>
    <row r="46" customFormat="false" ht="16.5" hidden="false" customHeight="true" outlineLevel="0" collapsed="false">
      <c r="A46" s="95" t="str">
        <f aca="false">IF(AND(B46="",C46=""),"",ROW()-6)</f>
        <v/>
      </c>
      <c r="B46" s="83"/>
      <c r="C46" s="15"/>
      <c r="D46" s="15"/>
      <c r="E46" s="85"/>
      <c r="F46" s="15"/>
      <c r="G46" s="15"/>
      <c r="H46" s="96"/>
      <c r="I46" s="16"/>
      <c r="J46" s="37" t="str">
        <f aca="false">IF(I46="","",IF(H46="",1,H46)*I46)</f>
        <v/>
      </c>
      <c r="K46" s="15"/>
      <c r="L46" s="97" t="str">
        <f aca="false">IF(C46="","",IF(OR(C46="Material",C46="Equipo",C46="Suministro"),"Materiales y equipos",IF(C46="Mano de obra contratista","Mano de obra contratista",IF(C46="Transporte","Transporte y otros","Alquileres"))))</f>
        <v/>
      </c>
      <c r="M46" s="6"/>
    </row>
    <row r="47" customFormat="false" ht="16.5" hidden="false" customHeight="true" outlineLevel="0" collapsed="false">
      <c r="A47" s="95" t="str">
        <f aca="false">IF(AND(B47="",C47=""),"",ROW()-6)</f>
        <v/>
      </c>
      <c r="B47" s="83"/>
      <c r="C47" s="15"/>
      <c r="D47" s="15"/>
      <c r="E47" s="85"/>
      <c r="F47" s="15"/>
      <c r="G47" s="15"/>
      <c r="H47" s="96"/>
      <c r="I47" s="16"/>
      <c r="J47" s="37" t="str">
        <f aca="false">IF(I47="","",IF(H47="",1,H47)*I47)</f>
        <v/>
      </c>
      <c r="K47" s="15"/>
      <c r="L47" s="97" t="str">
        <f aca="false">IF(C47="","",IF(OR(C47="Material",C47="Equipo",C47="Suministro"),"Materiales y equipos",IF(C47="Mano de obra contratista","Mano de obra contratista",IF(C47="Transporte","Transporte y otros","Alquileres"))))</f>
        <v/>
      </c>
      <c r="M47" s="6"/>
    </row>
    <row r="48" customFormat="false" ht="16.5" hidden="false" customHeight="true" outlineLevel="0" collapsed="false">
      <c r="A48" s="95" t="str">
        <f aca="false">IF(AND(B48="",C48=""),"",ROW()-6)</f>
        <v/>
      </c>
      <c r="B48" s="83"/>
      <c r="C48" s="15"/>
      <c r="D48" s="15"/>
      <c r="E48" s="85"/>
      <c r="F48" s="15"/>
      <c r="G48" s="15"/>
      <c r="H48" s="96"/>
      <c r="I48" s="16"/>
      <c r="J48" s="37" t="str">
        <f aca="false">IF(I48="","",IF(H48="",1,H48)*I48)</f>
        <v/>
      </c>
      <c r="K48" s="15"/>
      <c r="L48" s="97" t="str">
        <f aca="false">IF(C48="","",IF(OR(C48="Material",C48="Equipo",C48="Suministro"),"Materiales y equipos",IF(C48="Mano de obra contratista","Mano de obra contratista",IF(C48="Transporte","Transporte y otros","Alquileres"))))</f>
        <v/>
      </c>
      <c r="M48" s="6"/>
    </row>
    <row r="49" customFormat="false" ht="16.5" hidden="false" customHeight="true" outlineLevel="0" collapsed="false">
      <c r="A49" s="95" t="str">
        <f aca="false">IF(AND(B49="",C49=""),"",ROW()-6)</f>
        <v/>
      </c>
      <c r="B49" s="83"/>
      <c r="C49" s="15"/>
      <c r="D49" s="15"/>
      <c r="E49" s="85"/>
      <c r="F49" s="15"/>
      <c r="G49" s="15"/>
      <c r="H49" s="96"/>
      <c r="I49" s="16"/>
      <c r="J49" s="37" t="str">
        <f aca="false">IF(I49="","",IF(H49="",1,H49)*I49)</f>
        <v/>
      </c>
      <c r="K49" s="15"/>
      <c r="L49" s="97" t="str">
        <f aca="false">IF(C49="","",IF(OR(C49="Material",C49="Equipo",C49="Suministro"),"Materiales y equipos",IF(C49="Mano de obra contratista","Mano de obra contratista",IF(C49="Transporte","Transporte y otros","Alquileres"))))</f>
        <v/>
      </c>
      <c r="M49" s="6"/>
    </row>
    <row r="50" customFormat="false" ht="16.5" hidden="false" customHeight="true" outlineLevel="0" collapsed="false">
      <c r="A50" s="95" t="str">
        <f aca="false">IF(AND(B50="",C50=""),"",ROW()-6)</f>
        <v/>
      </c>
      <c r="B50" s="83"/>
      <c r="C50" s="15"/>
      <c r="D50" s="15"/>
      <c r="E50" s="85"/>
      <c r="F50" s="15"/>
      <c r="G50" s="15"/>
      <c r="H50" s="96"/>
      <c r="I50" s="16"/>
      <c r="J50" s="37" t="str">
        <f aca="false">IF(I50="","",IF(H50="",1,H50)*I50)</f>
        <v/>
      </c>
      <c r="K50" s="15"/>
      <c r="L50" s="97" t="str">
        <f aca="false">IF(C50="","",IF(OR(C50="Material",C50="Equipo",C50="Suministro"),"Materiales y equipos",IF(C50="Mano de obra contratista","Mano de obra contratista",IF(C50="Transporte","Transporte y otros","Alquileres"))))</f>
        <v/>
      </c>
      <c r="M50" s="6"/>
    </row>
    <row r="51" customFormat="false" ht="16.5" hidden="false" customHeight="true" outlineLevel="0" collapsed="false">
      <c r="A51" s="95" t="str">
        <f aca="false">IF(AND(B51="",C51=""),"",ROW()-6)</f>
        <v/>
      </c>
      <c r="B51" s="83"/>
      <c r="C51" s="15"/>
      <c r="D51" s="15"/>
      <c r="E51" s="85"/>
      <c r="F51" s="15"/>
      <c r="G51" s="15"/>
      <c r="H51" s="96"/>
      <c r="I51" s="16"/>
      <c r="J51" s="37" t="str">
        <f aca="false">IF(I51="","",IF(H51="",1,H51)*I51)</f>
        <v/>
      </c>
      <c r="K51" s="15"/>
      <c r="L51" s="97" t="str">
        <f aca="false">IF(C51="","",IF(OR(C51="Material",C51="Equipo",C51="Suministro"),"Materiales y equipos",IF(C51="Mano de obra contratista","Mano de obra contratista",IF(C51="Transporte","Transporte y otros","Alquileres"))))</f>
        <v/>
      </c>
      <c r="M51" s="6"/>
    </row>
    <row r="52" customFormat="false" ht="16.5" hidden="false" customHeight="true" outlineLevel="0" collapsed="false">
      <c r="A52" s="95" t="str">
        <f aca="false">IF(AND(B52="",C52=""),"",ROW()-6)</f>
        <v/>
      </c>
      <c r="B52" s="83"/>
      <c r="C52" s="15"/>
      <c r="D52" s="15"/>
      <c r="E52" s="85"/>
      <c r="F52" s="15"/>
      <c r="G52" s="15"/>
      <c r="H52" s="96"/>
      <c r="I52" s="16"/>
      <c r="J52" s="37" t="str">
        <f aca="false">IF(I52="","",IF(H52="",1,H52)*I52)</f>
        <v/>
      </c>
      <c r="K52" s="15"/>
      <c r="L52" s="97" t="str">
        <f aca="false">IF(C52="","",IF(OR(C52="Material",C52="Equipo",C52="Suministro"),"Materiales y equipos",IF(C52="Mano de obra contratista","Mano de obra contratista",IF(C52="Transporte","Transporte y otros","Alquileres"))))</f>
        <v/>
      </c>
      <c r="M52" s="6"/>
    </row>
    <row r="53" customFormat="false" ht="16.5" hidden="false" customHeight="true" outlineLevel="0" collapsed="false">
      <c r="A53" s="95" t="str">
        <f aca="false">IF(AND(B53="",C53=""),"",ROW()-6)</f>
        <v/>
      </c>
      <c r="B53" s="83"/>
      <c r="C53" s="15"/>
      <c r="D53" s="15"/>
      <c r="E53" s="85"/>
      <c r="F53" s="15"/>
      <c r="G53" s="15"/>
      <c r="H53" s="96"/>
      <c r="I53" s="16"/>
      <c r="J53" s="37" t="str">
        <f aca="false">IF(I53="","",IF(H53="",1,H53)*I53)</f>
        <v/>
      </c>
      <c r="K53" s="15"/>
      <c r="L53" s="97" t="str">
        <f aca="false">IF(C53="","",IF(OR(C53="Material",C53="Equipo",C53="Suministro"),"Materiales y equipos",IF(C53="Mano de obra contratista","Mano de obra contratista",IF(C53="Transporte","Transporte y otros","Alquileres"))))</f>
        <v/>
      </c>
      <c r="M53" s="6"/>
    </row>
    <row r="54" customFormat="false" ht="16.5" hidden="false" customHeight="true" outlineLevel="0" collapsed="false">
      <c r="A54" s="95" t="str">
        <f aca="false">IF(AND(B54="",C54=""),"",ROW()-6)</f>
        <v/>
      </c>
      <c r="B54" s="83"/>
      <c r="C54" s="15"/>
      <c r="D54" s="15"/>
      <c r="E54" s="85"/>
      <c r="F54" s="15"/>
      <c r="G54" s="15"/>
      <c r="H54" s="96"/>
      <c r="I54" s="16"/>
      <c r="J54" s="37" t="str">
        <f aca="false">IF(I54="","",IF(H54="",1,H54)*I54)</f>
        <v/>
      </c>
      <c r="K54" s="15"/>
      <c r="L54" s="97" t="str">
        <f aca="false">IF(C54="","",IF(OR(C54="Material",C54="Equipo",C54="Suministro"),"Materiales y equipos",IF(C54="Mano de obra contratista","Mano de obra contratista",IF(C54="Transporte","Transporte y otros","Alquileres"))))</f>
        <v/>
      </c>
      <c r="M54" s="6"/>
    </row>
    <row r="55" customFormat="false" ht="16.5" hidden="false" customHeight="true" outlineLevel="0" collapsed="false">
      <c r="A55" s="95" t="str">
        <f aca="false">IF(AND(B55="",C55=""),"",ROW()-6)</f>
        <v/>
      </c>
      <c r="B55" s="83"/>
      <c r="C55" s="15"/>
      <c r="D55" s="15"/>
      <c r="E55" s="85"/>
      <c r="F55" s="15"/>
      <c r="G55" s="15"/>
      <c r="H55" s="96"/>
      <c r="I55" s="16"/>
      <c r="J55" s="37" t="str">
        <f aca="false">IF(I55="","",IF(H55="",1,H55)*I55)</f>
        <v/>
      </c>
      <c r="K55" s="15"/>
      <c r="L55" s="97" t="str">
        <f aca="false">IF(C55="","",IF(OR(C55="Material",C55="Equipo",C55="Suministro"),"Materiales y equipos",IF(C55="Mano de obra contratista","Mano de obra contratista",IF(C55="Transporte","Transporte y otros","Alquileres"))))</f>
        <v/>
      </c>
      <c r="M55" s="6"/>
    </row>
    <row r="56" customFormat="false" ht="16.5" hidden="false" customHeight="true" outlineLevel="0" collapsed="false">
      <c r="A56" s="95" t="str">
        <f aca="false">IF(AND(B56="",C56=""),"",ROW()-6)</f>
        <v/>
      </c>
      <c r="B56" s="83"/>
      <c r="C56" s="15"/>
      <c r="D56" s="15"/>
      <c r="E56" s="85"/>
      <c r="F56" s="15"/>
      <c r="G56" s="15"/>
      <c r="H56" s="96"/>
      <c r="I56" s="16"/>
      <c r="J56" s="37" t="str">
        <f aca="false">IF(I56="","",IF(H56="",1,H56)*I56)</f>
        <v/>
      </c>
      <c r="K56" s="15"/>
      <c r="L56" s="97" t="str">
        <f aca="false">IF(C56="","",IF(OR(C56="Material",C56="Equipo",C56="Suministro"),"Materiales y equipos",IF(C56="Mano de obra contratista","Mano de obra contratista",IF(C56="Transporte","Transporte y otros","Alquileres"))))</f>
        <v/>
      </c>
      <c r="M56" s="6"/>
    </row>
    <row r="57" customFormat="false" ht="16.5" hidden="false" customHeight="true" outlineLevel="0" collapsed="false">
      <c r="A57" s="95" t="str">
        <f aca="false">IF(AND(B57="",C57=""),"",ROW()-6)</f>
        <v/>
      </c>
      <c r="B57" s="83"/>
      <c r="C57" s="15"/>
      <c r="D57" s="15"/>
      <c r="E57" s="85"/>
      <c r="F57" s="15"/>
      <c r="G57" s="15"/>
      <c r="H57" s="96"/>
      <c r="I57" s="16"/>
      <c r="J57" s="37" t="str">
        <f aca="false">IF(I57="","",IF(H57="",1,H57)*I57)</f>
        <v/>
      </c>
      <c r="K57" s="15"/>
      <c r="L57" s="97" t="str">
        <f aca="false">IF(C57="","",IF(OR(C57="Material",C57="Equipo",C57="Suministro"),"Materiales y equipos",IF(C57="Mano de obra contratista","Mano de obra contratista",IF(C57="Transporte","Transporte y otros","Alquileres"))))</f>
        <v/>
      </c>
      <c r="M57" s="6"/>
    </row>
    <row r="58" customFormat="false" ht="16.5" hidden="false" customHeight="true" outlineLevel="0" collapsed="false">
      <c r="A58" s="95" t="str">
        <f aca="false">IF(AND(B58="",C58=""),"",ROW()-6)</f>
        <v/>
      </c>
      <c r="B58" s="83"/>
      <c r="C58" s="15"/>
      <c r="D58" s="15"/>
      <c r="E58" s="85"/>
      <c r="F58" s="15"/>
      <c r="G58" s="15"/>
      <c r="H58" s="96"/>
      <c r="I58" s="16"/>
      <c r="J58" s="37" t="str">
        <f aca="false">IF(I58="","",IF(H58="",1,H58)*I58)</f>
        <v/>
      </c>
      <c r="K58" s="15"/>
      <c r="L58" s="97" t="str">
        <f aca="false">IF(C58="","",IF(OR(C58="Material",C58="Equipo",C58="Suministro"),"Materiales y equipos",IF(C58="Mano de obra contratista","Mano de obra contratista",IF(C58="Transporte","Transporte y otros","Alquileres"))))</f>
        <v/>
      </c>
      <c r="M58" s="6"/>
    </row>
    <row r="59" customFormat="false" ht="16.5" hidden="false" customHeight="true" outlineLevel="0" collapsed="false">
      <c r="A59" s="95" t="str">
        <f aca="false">IF(AND(B59="",C59=""),"",ROW()-6)</f>
        <v/>
      </c>
      <c r="B59" s="83"/>
      <c r="C59" s="15"/>
      <c r="D59" s="15"/>
      <c r="E59" s="85"/>
      <c r="F59" s="15"/>
      <c r="G59" s="15"/>
      <c r="H59" s="96"/>
      <c r="I59" s="16"/>
      <c r="J59" s="37" t="str">
        <f aca="false">IF(I59="","",IF(H59="",1,H59)*I59)</f>
        <v/>
      </c>
      <c r="K59" s="15"/>
      <c r="L59" s="97" t="str">
        <f aca="false">IF(C59="","",IF(OR(C59="Material",C59="Equipo",C59="Suministro"),"Materiales y equipos",IF(C59="Mano de obra contratista","Mano de obra contratista",IF(C59="Transporte","Transporte y otros","Alquileres"))))</f>
        <v/>
      </c>
      <c r="M59" s="6"/>
    </row>
    <row r="60" customFormat="false" ht="16.5" hidden="false" customHeight="true" outlineLevel="0" collapsed="false">
      <c r="A60" s="95" t="str">
        <f aca="false">IF(AND(B60="",C60=""),"",ROW()-6)</f>
        <v/>
      </c>
      <c r="B60" s="83"/>
      <c r="C60" s="15"/>
      <c r="D60" s="15"/>
      <c r="E60" s="85"/>
      <c r="F60" s="15"/>
      <c r="G60" s="15"/>
      <c r="H60" s="96"/>
      <c r="I60" s="16"/>
      <c r="J60" s="37" t="str">
        <f aca="false">IF(I60="","",IF(H60="",1,H60)*I60)</f>
        <v/>
      </c>
      <c r="K60" s="15"/>
      <c r="L60" s="97" t="str">
        <f aca="false">IF(C60="","",IF(OR(C60="Material",C60="Equipo",C60="Suministro"),"Materiales y equipos",IF(C60="Mano de obra contratista","Mano de obra contratista",IF(C60="Transporte","Transporte y otros","Alquileres"))))</f>
        <v/>
      </c>
      <c r="M60" s="6"/>
    </row>
    <row r="61" customFormat="false" ht="16.5" hidden="false" customHeight="true" outlineLevel="0" collapsed="false">
      <c r="A61" s="95" t="str">
        <f aca="false">IF(AND(B61="",C61=""),"",ROW()-6)</f>
        <v/>
      </c>
      <c r="B61" s="83"/>
      <c r="C61" s="15"/>
      <c r="D61" s="15"/>
      <c r="E61" s="85"/>
      <c r="F61" s="15"/>
      <c r="G61" s="15"/>
      <c r="H61" s="96"/>
      <c r="I61" s="16"/>
      <c r="J61" s="37" t="str">
        <f aca="false">IF(I61="","",IF(H61="",1,H61)*I61)</f>
        <v/>
      </c>
      <c r="K61" s="15"/>
      <c r="L61" s="97" t="str">
        <f aca="false">IF(C61="","",IF(OR(C61="Material",C61="Equipo",C61="Suministro"),"Materiales y equipos",IF(C61="Mano de obra contratista","Mano de obra contratista",IF(C61="Transporte","Transporte y otros","Alquileres"))))</f>
        <v/>
      </c>
      <c r="M61" s="6"/>
    </row>
    <row r="62" customFormat="false" ht="16.5" hidden="false" customHeight="true" outlineLevel="0" collapsed="false">
      <c r="A62" s="95" t="str">
        <f aca="false">IF(AND(B62="",C62=""),"",ROW()-6)</f>
        <v/>
      </c>
      <c r="B62" s="83"/>
      <c r="C62" s="15"/>
      <c r="D62" s="15"/>
      <c r="E62" s="85"/>
      <c r="F62" s="15"/>
      <c r="G62" s="15"/>
      <c r="H62" s="96"/>
      <c r="I62" s="16"/>
      <c r="J62" s="37" t="str">
        <f aca="false">IF(I62="","",IF(H62="",1,H62)*I62)</f>
        <v/>
      </c>
      <c r="K62" s="15"/>
      <c r="L62" s="97" t="str">
        <f aca="false">IF(C62="","",IF(OR(C62="Material",C62="Equipo",C62="Suministro"),"Materiales y equipos",IF(C62="Mano de obra contratista","Mano de obra contratista",IF(C62="Transporte","Transporte y otros","Alquileres"))))</f>
        <v/>
      </c>
      <c r="M62" s="6"/>
    </row>
    <row r="63" customFormat="false" ht="16.5" hidden="false" customHeight="true" outlineLevel="0" collapsed="false">
      <c r="A63" s="95" t="str">
        <f aca="false">IF(AND(B63="",C63=""),"",ROW()-6)</f>
        <v/>
      </c>
      <c r="B63" s="83"/>
      <c r="C63" s="15"/>
      <c r="D63" s="15"/>
      <c r="E63" s="85"/>
      <c r="F63" s="15"/>
      <c r="G63" s="15"/>
      <c r="H63" s="96"/>
      <c r="I63" s="16"/>
      <c r="J63" s="37" t="str">
        <f aca="false">IF(I63="","",IF(H63="",1,H63)*I63)</f>
        <v/>
      </c>
      <c r="K63" s="15"/>
      <c r="L63" s="97" t="str">
        <f aca="false">IF(C63="","",IF(OR(C63="Material",C63="Equipo",C63="Suministro"),"Materiales y equipos",IF(C63="Mano de obra contratista","Mano de obra contratista",IF(C63="Transporte","Transporte y otros","Alquileres"))))</f>
        <v/>
      </c>
      <c r="M63" s="6"/>
    </row>
    <row r="64" customFormat="false" ht="16.5" hidden="false" customHeight="true" outlineLevel="0" collapsed="false">
      <c r="A64" s="95" t="str">
        <f aca="false">IF(AND(B64="",C64=""),"",ROW()-6)</f>
        <v/>
      </c>
      <c r="B64" s="83"/>
      <c r="C64" s="15"/>
      <c r="D64" s="15"/>
      <c r="E64" s="85"/>
      <c r="F64" s="15"/>
      <c r="G64" s="15"/>
      <c r="H64" s="96"/>
      <c r="I64" s="16"/>
      <c r="J64" s="37" t="str">
        <f aca="false">IF(I64="","",IF(H64="",1,H64)*I64)</f>
        <v/>
      </c>
      <c r="K64" s="15"/>
      <c r="L64" s="97" t="str">
        <f aca="false">IF(C64="","",IF(OR(C64="Material",C64="Equipo",C64="Suministro"),"Materiales y equipos",IF(C64="Mano de obra contratista","Mano de obra contratista",IF(C64="Transporte","Transporte y otros","Alquileres"))))</f>
        <v/>
      </c>
      <c r="M64" s="6"/>
    </row>
    <row r="65" customFormat="false" ht="16.5" hidden="false" customHeight="true" outlineLevel="0" collapsed="false">
      <c r="A65" s="95" t="str">
        <f aca="false">IF(AND(B65="",C65=""),"",ROW()-6)</f>
        <v/>
      </c>
      <c r="B65" s="83"/>
      <c r="C65" s="15"/>
      <c r="D65" s="15"/>
      <c r="E65" s="85"/>
      <c r="F65" s="15"/>
      <c r="G65" s="15"/>
      <c r="H65" s="96"/>
      <c r="I65" s="16"/>
      <c r="J65" s="37" t="str">
        <f aca="false">IF(I65="","",IF(H65="",1,H65)*I65)</f>
        <v/>
      </c>
      <c r="K65" s="15"/>
      <c r="L65" s="97" t="str">
        <f aca="false">IF(C65="","",IF(OR(C65="Material",C65="Equipo",C65="Suministro"),"Materiales y equipos",IF(C65="Mano de obra contratista","Mano de obra contratista",IF(C65="Transporte","Transporte y otros","Alquileres"))))</f>
        <v/>
      </c>
      <c r="M65" s="6"/>
    </row>
    <row r="66" customFormat="false" ht="16.5" hidden="false" customHeight="true" outlineLevel="0" collapsed="false">
      <c r="A66" s="95" t="str">
        <f aca="false">IF(AND(B66="",C66=""),"",ROW()-6)</f>
        <v/>
      </c>
      <c r="B66" s="83"/>
      <c r="C66" s="15"/>
      <c r="D66" s="15"/>
      <c r="E66" s="85"/>
      <c r="F66" s="15"/>
      <c r="G66" s="15"/>
      <c r="H66" s="96"/>
      <c r="I66" s="16"/>
      <c r="J66" s="37" t="str">
        <f aca="false">IF(I66="","",IF(H66="",1,H66)*I66)</f>
        <v/>
      </c>
      <c r="K66" s="15"/>
      <c r="L66" s="97" t="str">
        <f aca="false">IF(C66="","",IF(OR(C66="Material",C66="Equipo",C66="Suministro"),"Materiales y equipos",IF(C66="Mano de obra contratista","Mano de obra contratista",IF(C66="Transporte","Transporte y otros","Alquileres"))))</f>
        <v/>
      </c>
      <c r="M66" s="6"/>
    </row>
    <row r="67" customFormat="false" ht="16.5" hidden="false" customHeight="true" outlineLevel="0" collapsed="false">
      <c r="A67" s="95" t="str">
        <f aca="false">IF(AND(B67="",C67=""),"",ROW()-6)</f>
        <v/>
      </c>
      <c r="B67" s="83"/>
      <c r="C67" s="15"/>
      <c r="D67" s="15"/>
      <c r="E67" s="85"/>
      <c r="F67" s="15"/>
      <c r="G67" s="15"/>
      <c r="H67" s="96"/>
      <c r="I67" s="16"/>
      <c r="J67" s="37" t="str">
        <f aca="false">IF(I67="","",IF(H67="",1,H67)*I67)</f>
        <v/>
      </c>
      <c r="K67" s="15"/>
      <c r="L67" s="97" t="str">
        <f aca="false">IF(C67="","",IF(OR(C67="Material",C67="Equipo",C67="Suministro"),"Materiales y equipos",IF(C67="Mano de obra contratista","Mano de obra contratista",IF(C67="Transporte","Transporte y otros","Alquileres"))))</f>
        <v/>
      </c>
      <c r="M67" s="6"/>
    </row>
    <row r="68" customFormat="false" ht="16.5" hidden="false" customHeight="true" outlineLevel="0" collapsed="false">
      <c r="A68" s="95" t="str">
        <f aca="false">IF(AND(B68="",C68=""),"",ROW()-6)</f>
        <v/>
      </c>
      <c r="B68" s="83"/>
      <c r="C68" s="15"/>
      <c r="D68" s="15"/>
      <c r="E68" s="85"/>
      <c r="F68" s="15"/>
      <c r="G68" s="15"/>
      <c r="H68" s="96"/>
      <c r="I68" s="16"/>
      <c r="J68" s="37" t="str">
        <f aca="false">IF(I68="","",IF(H68="",1,H68)*I68)</f>
        <v/>
      </c>
      <c r="K68" s="15"/>
      <c r="L68" s="97" t="str">
        <f aca="false">IF(C68="","",IF(OR(C68="Material",C68="Equipo",C68="Suministro"),"Materiales y equipos",IF(C68="Mano de obra contratista","Mano de obra contratista",IF(C68="Transporte","Transporte y otros","Alquileres"))))</f>
        <v/>
      </c>
      <c r="M68" s="6"/>
    </row>
    <row r="69" customFormat="false" ht="16.5" hidden="false" customHeight="true" outlineLevel="0" collapsed="false">
      <c r="A69" s="95" t="str">
        <f aca="false">IF(AND(B69="",C69=""),"",ROW()-6)</f>
        <v/>
      </c>
      <c r="B69" s="83"/>
      <c r="C69" s="15"/>
      <c r="D69" s="15"/>
      <c r="E69" s="85"/>
      <c r="F69" s="15"/>
      <c r="G69" s="15"/>
      <c r="H69" s="96"/>
      <c r="I69" s="16"/>
      <c r="J69" s="37" t="str">
        <f aca="false">IF(I69="","",IF(H69="",1,H69)*I69)</f>
        <v/>
      </c>
      <c r="K69" s="15"/>
      <c r="L69" s="97" t="str">
        <f aca="false">IF(C69="","",IF(OR(C69="Material",C69="Equipo",C69="Suministro"),"Materiales y equipos",IF(C69="Mano de obra contratista","Mano de obra contratista",IF(C69="Transporte","Transporte y otros","Alquileres"))))</f>
        <v/>
      </c>
      <c r="M69" s="6"/>
    </row>
    <row r="70" customFormat="false" ht="16.5" hidden="false" customHeight="true" outlineLevel="0" collapsed="false">
      <c r="A70" s="95" t="str">
        <f aca="false">IF(AND(B70="",C70=""),"",ROW()-6)</f>
        <v/>
      </c>
      <c r="B70" s="83"/>
      <c r="C70" s="15"/>
      <c r="D70" s="15"/>
      <c r="E70" s="85"/>
      <c r="F70" s="15"/>
      <c r="G70" s="15"/>
      <c r="H70" s="96"/>
      <c r="I70" s="16"/>
      <c r="J70" s="37" t="str">
        <f aca="false">IF(I70="","",IF(H70="",1,H70)*I70)</f>
        <v/>
      </c>
      <c r="K70" s="15"/>
      <c r="L70" s="97" t="str">
        <f aca="false">IF(C70="","",IF(OR(C70="Material",C70="Equipo",C70="Suministro"),"Materiales y equipos",IF(C70="Mano de obra contratista","Mano de obra contratista",IF(C70="Transporte","Transporte y otros","Alquileres"))))</f>
        <v/>
      </c>
      <c r="M70" s="6"/>
    </row>
    <row r="71" customFormat="false" ht="16.5" hidden="false" customHeight="true" outlineLevel="0" collapsed="false">
      <c r="A71" s="95" t="str">
        <f aca="false">IF(AND(B71="",C71=""),"",ROW()-6)</f>
        <v/>
      </c>
      <c r="B71" s="83"/>
      <c r="C71" s="15"/>
      <c r="D71" s="15"/>
      <c r="E71" s="85"/>
      <c r="F71" s="15"/>
      <c r="G71" s="15"/>
      <c r="H71" s="96"/>
      <c r="I71" s="16"/>
      <c r="J71" s="37" t="str">
        <f aca="false">IF(I71="","",IF(H71="",1,H71)*I71)</f>
        <v/>
      </c>
      <c r="K71" s="15"/>
      <c r="L71" s="97" t="str">
        <f aca="false">IF(C71="","",IF(OR(C71="Material",C71="Equipo",C71="Suministro"),"Materiales y equipos",IF(C71="Mano de obra contratista","Mano de obra contratista",IF(C71="Transporte","Transporte y otros","Alquileres"))))</f>
        <v/>
      </c>
      <c r="M71" s="6"/>
    </row>
    <row r="72" customFormat="false" ht="16.5" hidden="false" customHeight="true" outlineLevel="0" collapsed="false">
      <c r="A72" s="95" t="str">
        <f aca="false">IF(AND(B72="",C72=""),"",ROW()-6)</f>
        <v/>
      </c>
      <c r="B72" s="83"/>
      <c r="C72" s="15"/>
      <c r="D72" s="15"/>
      <c r="E72" s="85"/>
      <c r="F72" s="15"/>
      <c r="G72" s="15"/>
      <c r="H72" s="96"/>
      <c r="I72" s="16"/>
      <c r="J72" s="37" t="str">
        <f aca="false">IF(I72="","",IF(H72="",1,H72)*I72)</f>
        <v/>
      </c>
      <c r="K72" s="15"/>
      <c r="L72" s="97" t="str">
        <f aca="false">IF(C72="","",IF(OR(C72="Material",C72="Equipo",C72="Suministro"),"Materiales y equipos",IF(C72="Mano de obra contratista","Mano de obra contratista",IF(C72="Transporte","Transporte y otros","Alquileres"))))</f>
        <v/>
      </c>
      <c r="M72" s="6"/>
    </row>
    <row r="73" customFormat="false" ht="16.5" hidden="false" customHeight="true" outlineLevel="0" collapsed="false">
      <c r="A73" s="95" t="str">
        <f aca="false">IF(AND(B73="",C73=""),"",ROW()-6)</f>
        <v/>
      </c>
      <c r="B73" s="83"/>
      <c r="C73" s="15"/>
      <c r="D73" s="15"/>
      <c r="E73" s="85"/>
      <c r="F73" s="15"/>
      <c r="G73" s="15"/>
      <c r="H73" s="96"/>
      <c r="I73" s="16"/>
      <c r="J73" s="37" t="str">
        <f aca="false">IF(I73="","",IF(H73="",1,H73)*I73)</f>
        <v/>
      </c>
      <c r="K73" s="15"/>
      <c r="L73" s="97" t="str">
        <f aca="false">IF(C73="","",IF(OR(C73="Material",C73="Equipo",C73="Suministro"),"Materiales y equipos",IF(C73="Mano de obra contratista","Mano de obra contratista",IF(C73="Transporte","Transporte y otros","Alquileres"))))</f>
        <v/>
      </c>
      <c r="M73" s="6"/>
    </row>
    <row r="74" customFormat="false" ht="16.5" hidden="false" customHeight="true" outlineLevel="0" collapsed="false">
      <c r="A74" s="95" t="str">
        <f aca="false">IF(AND(B74="",C74=""),"",ROW()-6)</f>
        <v/>
      </c>
      <c r="B74" s="83"/>
      <c r="C74" s="15"/>
      <c r="D74" s="15"/>
      <c r="E74" s="85"/>
      <c r="F74" s="15"/>
      <c r="G74" s="15"/>
      <c r="H74" s="96"/>
      <c r="I74" s="16"/>
      <c r="J74" s="37" t="str">
        <f aca="false">IF(I74="","",IF(H74="",1,H74)*I74)</f>
        <v/>
      </c>
      <c r="K74" s="15"/>
      <c r="L74" s="97" t="str">
        <f aca="false">IF(C74="","",IF(OR(C74="Material",C74="Equipo",C74="Suministro"),"Materiales y equipos",IF(C74="Mano de obra contratista","Mano de obra contratista",IF(C74="Transporte","Transporte y otros","Alquileres"))))</f>
        <v/>
      </c>
      <c r="M74" s="6"/>
    </row>
    <row r="75" customFormat="false" ht="16.5" hidden="false" customHeight="true" outlineLevel="0" collapsed="false">
      <c r="A75" s="95" t="str">
        <f aca="false">IF(AND(B75="",C75=""),"",ROW()-6)</f>
        <v/>
      </c>
      <c r="B75" s="83"/>
      <c r="C75" s="15"/>
      <c r="D75" s="15"/>
      <c r="E75" s="85"/>
      <c r="F75" s="15"/>
      <c r="G75" s="15"/>
      <c r="H75" s="96"/>
      <c r="I75" s="16"/>
      <c r="J75" s="37" t="str">
        <f aca="false">IF(I75="","",IF(H75="",1,H75)*I75)</f>
        <v/>
      </c>
      <c r="K75" s="15"/>
      <c r="L75" s="97" t="str">
        <f aca="false">IF(C75="","",IF(OR(C75="Material",C75="Equipo",C75="Suministro"),"Materiales y equipos",IF(C75="Mano de obra contratista","Mano de obra contratista",IF(C75="Transporte","Transporte y otros","Alquileres"))))</f>
        <v/>
      </c>
      <c r="M75" s="6"/>
    </row>
    <row r="76" customFormat="false" ht="16.5" hidden="false" customHeight="true" outlineLevel="0" collapsed="false">
      <c r="A76" s="95" t="str">
        <f aca="false">IF(AND(B76="",C76=""),"",ROW()-6)</f>
        <v/>
      </c>
      <c r="B76" s="83"/>
      <c r="C76" s="15"/>
      <c r="D76" s="15"/>
      <c r="E76" s="85"/>
      <c r="F76" s="15"/>
      <c r="G76" s="15"/>
      <c r="H76" s="96"/>
      <c r="I76" s="16"/>
      <c r="J76" s="37" t="str">
        <f aca="false">IF(I76="","",IF(H76="",1,H76)*I76)</f>
        <v/>
      </c>
      <c r="K76" s="15"/>
      <c r="L76" s="97" t="str">
        <f aca="false">IF(C76="","",IF(OR(C76="Material",C76="Equipo",C76="Suministro"),"Materiales y equipos",IF(C76="Mano de obra contratista","Mano de obra contratista",IF(C76="Transporte","Transporte y otros","Alquileres"))))</f>
        <v/>
      </c>
      <c r="M76" s="6"/>
    </row>
    <row r="77" customFormat="false" ht="16.5" hidden="false" customHeight="true" outlineLevel="0" collapsed="false">
      <c r="A77" s="95" t="str">
        <f aca="false">IF(AND(B77="",C77=""),"",ROW()-6)</f>
        <v/>
      </c>
      <c r="B77" s="83"/>
      <c r="C77" s="15"/>
      <c r="D77" s="15"/>
      <c r="E77" s="85"/>
      <c r="F77" s="15"/>
      <c r="G77" s="15"/>
      <c r="H77" s="96"/>
      <c r="I77" s="16"/>
      <c r="J77" s="37" t="str">
        <f aca="false">IF(I77="","",IF(H77="",1,H77)*I77)</f>
        <v/>
      </c>
      <c r="K77" s="15"/>
      <c r="L77" s="97" t="str">
        <f aca="false">IF(C77="","",IF(OR(C77="Material",C77="Equipo",C77="Suministro"),"Materiales y equipos",IF(C77="Mano de obra contratista","Mano de obra contratista",IF(C77="Transporte","Transporte y otros","Alquileres"))))</f>
        <v/>
      </c>
      <c r="M77" s="6"/>
    </row>
    <row r="78" customFormat="false" ht="16.5" hidden="false" customHeight="true" outlineLevel="0" collapsed="false">
      <c r="A78" s="95" t="str">
        <f aca="false">IF(AND(B78="",C78=""),"",ROW()-6)</f>
        <v/>
      </c>
      <c r="B78" s="83"/>
      <c r="C78" s="15"/>
      <c r="D78" s="15"/>
      <c r="E78" s="85"/>
      <c r="F78" s="15"/>
      <c r="G78" s="15"/>
      <c r="H78" s="96"/>
      <c r="I78" s="16"/>
      <c r="J78" s="37" t="str">
        <f aca="false">IF(I78="","",IF(H78="",1,H78)*I78)</f>
        <v/>
      </c>
      <c r="K78" s="15"/>
      <c r="L78" s="97" t="str">
        <f aca="false">IF(C78="","",IF(OR(C78="Material",C78="Equipo",C78="Suministro"),"Materiales y equipos",IF(C78="Mano de obra contratista","Mano de obra contratista",IF(C78="Transporte","Transporte y otros","Alquileres"))))</f>
        <v/>
      </c>
      <c r="M78" s="6"/>
    </row>
    <row r="79" customFormat="false" ht="16.5" hidden="false" customHeight="true" outlineLevel="0" collapsed="false">
      <c r="A79" s="95" t="str">
        <f aca="false">IF(AND(B79="",C79=""),"",ROW()-6)</f>
        <v/>
      </c>
      <c r="B79" s="83"/>
      <c r="C79" s="15"/>
      <c r="D79" s="15"/>
      <c r="E79" s="85"/>
      <c r="F79" s="15"/>
      <c r="G79" s="15"/>
      <c r="H79" s="96"/>
      <c r="I79" s="16"/>
      <c r="J79" s="37" t="str">
        <f aca="false">IF(I79="","",IF(H79="",1,H79)*I79)</f>
        <v/>
      </c>
      <c r="K79" s="15"/>
      <c r="L79" s="97" t="str">
        <f aca="false">IF(C79="","",IF(OR(C79="Material",C79="Equipo",C79="Suministro"),"Materiales y equipos",IF(C79="Mano de obra contratista","Mano de obra contratista",IF(C79="Transporte","Transporte y otros","Alquileres"))))</f>
        <v/>
      </c>
      <c r="M79" s="6"/>
    </row>
    <row r="80" customFormat="false" ht="16.5" hidden="false" customHeight="true" outlineLevel="0" collapsed="false">
      <c r="A80" s="95" t="str">
        <f aca="false">IF(AND(B80="",C80=""),"",ROW()-6)</f>
        <v/>
      </c>
      <c r="B80" s="83"/>
      <c r="C80" s="15"/>
      <c r="D80" s="15"/>
      <c r="E80" s="85"/>
      <c r="F80" s="15"/>
      <c r="G80" s="15"/>
      <c r="H80" s="96"/>
      <c r="I80" s="16"/>
      <c r="J80" s="37" t="str">
        <f aca="false">IF(I80="","",IF(H80="",1,H80)*I80)</f>
        <v/>
      </c>
      <c r="K80" s="15"/>
      <c r="L80" s="97" t="str">
        <f aca="false">IF(C80="","",IF(OR(C80="Material",C80="Equipo",C80="Suministro"),"Materiales y equipos",IF(C80="Mano de obra contratista","Mano de obra contratista",IF(C80="Transporte","Transporte y otros","Alquileres"))))</f>
        <v/>
      </c>
      <c r="M80" s="6"/>
    </row>
    <row r="81" customFormat="false" ht="16.5" hidden="false" customHeight="true" outlineLevel="0" collapsed="false">
      <c r="A81" s="95" t="str">
        <f aca="false">IF(AND(B81="",C81=""),"",ROW()-6)</f>
        <v/>
      </c>
      <c r="B81" s="83"/>
      <c r="C81" s="15"/>
      <c r="D81" s="15"/>
      <c r="E81" s="85"/>
      <c r="F81" s="15"/>
      <c r="G81" s="15"/>
      <c r="H81" s="96"/>
      <c r="I81" s="16"/>
      <c r="J81" s="37" t="str">
        <f aca="false">IF(I81="","",IF(H81="",1,H81)*I81)</f>
        <v/>
      </c>
      <c r="K81" s="15"/>
      <c r="L81" s="97" t="str">
        <f aca="false">IF(C81="","",IF(OR(C81="Material",C81="Equipo",C81="Suministro"),"Materiales y equipos",IF(C81="Mano de obra contratista","Mano de obra contratista",IF(C81="Transporte","Transporte y otros","Alquileres"))))</f>
        <v/>
      </c>
      <c r="M81" s="6"/>
    </row>
    <row r="82" customFormat="false" ht="16.5" hidden="false" customHeight="true" outlineLevel="0" collapsed="false">
      <c r="A82" s="95" t="str">
        <f aca="false">IF(AND(B82="",C82=""),"",ROW()-6)</f>
        <v/>
      </c>
      <c r="B82" s="83"/>
      <c r="C82" s="15"/>
      <c r="D82" s="15"/>
      <c r="E82" s="85"/>
      <c r="F82" s="15"/>
      <c r="G82" s="15"/>
      <c r="H82" s="96"/>
      <c r="I82" s="16"/>
      <c r="J82" s="37" t="str">
        <f aca="false">IF(I82="","",IF(H82="",1,H82)*I82)</f>
        <v/>
      </c>
      <c r="K82" s="15"/>
      <c r="L82" s="97" t="str">
        <f aca="false">IF(C82="","",IF(OR(C82="Material",C82="Equipo",C82="Suministro"),"Materiales y equipos",IF(C82="Mano de obra contratista","Mano de obra contratista",IF(C82="Transporte","Transporte y otros","Alquileres"))))</f>
        <v/>
      </c>
      <c r="M82" s="6"/>
    </row>
    <row r="83" customFormat="false" ht="16.5" hidden="false" customHeight="true" outlineLevel="0" collapsed="false">
      <c r="A83" s="95" t="str">
        <f aca="false">IF(AND(B83="",C83=""),"",ROW()-6)</f>
        <v/>
      </c>
      <c r="B83" s="83"/>
      <c r="C83" s="15"/>
      <c r="D83" s="15"/>
      <c r="E83" s="85"/>
      <c r="F83" s="15"/>
      <c r="G83" s="15"/>
      <c r="H83" s="96"/>
      <c r="I83" s="16"/>
      <c r="J83" s="37" t="str">
        <f aca="false">IF(I83="","",IF(H83="",1,H83)*I83)</f>
        <v/>
      </c>
      <c r="K83" s="15"/>
      <c r="L83" s="97" t="str">
        <f aca="false">IF(C83="","",IF(OR(C83="Material",C83="Equipo",C83="Suministro"),"Materiales y equipos",IF(C83="Mano de obra contratista","Mano de obra contratista",IF(C83="Transporte","Transporte y otros","Alquileres"))))</f>
        <v/>
      </c>
      <c r="M83" s="6"/>
    </row>
    <row r="84" customFormat="false" ht="16.5" hidden="false" customHeight="true" outlineLevel="0" collapsed="false">
      <c r="A84" s="95" t="str">
        <f aca="false">IF(AND(B84="",C84=""),"",ROW()-6)</f>
        <v/>
      </c>
      <c r="B84" s="83"/>
      <c r="C84" s="15"/>
      <c r="D84" s="15"/>
      <c r="E84" s="85"/>
      <c r="F84" s="15"/>
      <c r="G84" s="15"/>
      <c r="H84" s="96"/>
      <c r="I84" s="16"/>
      <c r="J84" s="37" t="str">
        <f aca="false">IF(I84="","",IF(H84="",1,H84)*I84)</f>
        <v/>
      </c>
      <c r="K84" s="15"/>
      <c r="L84" s="97" t="str">
        <f aca="false">IF(C84="","",IF(OR(C84="Material",C84="Equipo",C84="Suministro"),"Materiales y equipos",IF(C84="Mano de obra contratista","Mano de obra contratista",IF(C84="Transporte","Transporte y otros","Alquileres"))))</f>
        <v/>
      </c>
      <c r="M84" s="6"/>
    </row>
    <row r="85" customFormat="false" ht="16.5" hidden="false" customHeight="true" outlineLevel="0" collapsed="false">
      <c r="A85" s="95" t="str">
        <f aca="false">IF(AND(B85="",C85=""),"",ROW()-6)</f>
        <v/>
      </c>
      <c r="B85" s="83"/>
      <c r="C85" s="15"/>
      <c r="D85" s="15"/>
      <c r="E85" s="85"/>
      <c r="F85" s="15"/>
      <c r="G85" s="15"/>
      <c r="H85" s="96"/>
      <c r="I85" s="16"/>
      <c r="J85" s="37" t="str">
        <f aca="false">IF(I85="","",IF(H85="",1,H85)*I85)</f>
        <v/>
      </c>
      <c r="K85" s="15"/>
      <c r="L85" s="97" t="str">
        <f aca="false">IF(C85="","",IF(OR(C85="Material",C85="Equipo",C85="Suministro"),"Materiales y equipos",IF(C85="Mano de obra contratista","Mano de obra contratista",IF(C85="Transporte","Transporte y otros","Alquileres"))))</f>
        <v/>
      </c>
      <c r="M85" s="6"/>
    </row>
    <row r="86" customFormat="false" ht="16.5" hidden="false" customHeight="true" outlineLevel="0" collapsed="false">
      <c r="A86" s="95" t="str">
        <f aca="false">IF(AND(B86="",C86=""),"",ROW()-6)</f>
        <v/>
      </c>
      <c r="B86" s="83"/>
      <c r="C86" s="15"/>
      <c r="D86" s="15"/>
      <c r="E86" s="85"/>
      <c r="F86" s="15"/>
      <c r="G86" s="15"/>
      <c r="H86" s="96"/>
      <c r="I86" s="16"/>
      <c r="J86" s="37" t="str">
        <f aca="false">IF(I86="","",IF(H86="",1,H86)*I86)</f>
        <v/>
      </c>
      <c r="K86" s="15"/>
      <c r="L86" s="97" t="str">
        <f aca="false">IF(C86="","",IF(OR(C86="Material",C86="Equipo",C86="Suministro"),"Materiales y equipos",IF(C86="Mano de obra contratista","Mano de obra contratista",IF(C86="Transporte","Transporte y otros","Alquileres"))))</f>
        <v/>
      </c>
      <c r="M86" s="6"/>
    </row>
    <row r="87" customFormat="false" ht="16.5" hidden="false" customHeight="true" outlineLevel="0" collapsed="false">
      <c r="A87" s="95" t="str">
        <f aca="false">IF(AND(B87="",C87=""),"",ROW()-6)</f>
        <v/>
      </c>
      <c r="B87" s="83"/>
      <c r="C87" s="15"/>
      <c r="D87" s="15"/>
      <c r="E87" s="85"/>
      <c r="F87" s="15"/>
      <c r="G87" s="15"/>
      <c r="H87" s="96"/>
      <c r="I87" s="16"/>
      <c r="J87" s="37" t="str">
        <f aca="false">IF(I87="","",IF(H87="",1,H87)*I87)</f>
        <v/>
      </c>
      <c r="K87" s="15"/>
      <c r="L87" s="97" t="str">
        <f aca="false">IF(C87="","",IF(OR(C87="Material",C87="Equipo",C87="Suministro"),"Materiales y equipos",IF(C87="Mano de obra contratista","Mano de obra contratista",IF(C87="Transporte","Transporte y otros","Alquileres"))))</f>
        <v/>
      </c>
      <c r="M87" s="6"/>
    </row>
    <row r="88" customFormat="false" ht="16.5" hidden="false" customHeight="true" outlineLevel="0" collapsed="false">
      <c r="A88" s="95" t="str">
        <f aca="false">IF(AND(B88="",C88=""),"",ROW()-6)</f>
        <v/>
      </c>
      <c r="B88" s="83"/>
      <c r="C88" s="15"/>
      <c r="D88" s="15"/>
      <c r="E88" s="85"/>
      <c r="F88" s="15"/>
      <c r="G88" s="15"/>
      <c r="H88" s="96"/>
      <c r="I88" s="16"/>
      <c r="J88" s="37" t="str">
        <f aca="false">IF(I88="","",IF(H88="",1,H88)*I88)</f>
        <v/>
      </c>
      <c r="K88" s="15"/>
      <c r="L88" s="97" t="str">
        <f aca="false">IF(C88="","",IF(OR(C88="Material",C88="Equipo",C88="Suministro"),"Materiales y equipos",IF(C88="Mano de obra contratista","Mano de obra contratista",IF(C88="Transporte","Transporte y otros","Alquileres"))))</f>
        <v/>
      </c>
      <c r="M88" s="6"/>
    </row>
    <row r="89" customFormat="false" ht="16.5" hidden="false" customHeight="true" outlineLevel="0" collapsed="false">
      <c r="A89" s="95" t="str">
        <f aca="false">IF(AND(B89="",C89=""),"",ROW()-6)</f>
        <v/>
      </c>
      <c r="B89" s="83"/>
      <c r="C89" s="15"/>
      <c r="D89" s="15"/>
      <c r="E89" s="85"/>
      <c r="F89" s="15"/>
      <c r="G89" s="15"/>
      <c r="H89" s="96"/>
      <c r="I89" s="16"/>
      <c r="J89" s="37" t="str">
        <f aca="false">IF(I89="","",IF(H89="",1,H89)*I89)</f>
        <v/>
      </c>
      <c r="K89" s="15"/>
      <c r="L89" s="97" t="str">
        <f aca="false">IF(C89="","",IF(OR(C89="Material",C89="Equipo",C89="Suministro"),"Materiales y equipos",IF(C89="Mano de obra contratista","Mano de obra contratista",IF(C89="Transporte","Transporte y otros","Alquileres"))))</f>
        <v/>
      </c>
      <c r="M89" s="6"/>
    </row>
    <row r="90" customFormat="false" ht="16.5" hidden="false" customHeight="true" outlineLevel="0" collapsed="false">
      <c r="A90" s="95" t="str">
        <f aca="false">IF(AND(B90="",C90=""),"",ROW()-6)</f>
        <v/>
      </c>
      <c r="B90" s="83"/>
      <c r="C90" s="15"/>
      <c r="D90" s="15"/>
      <c r="E90" s="85"/>
      <c r="F90" s="15"/>
      <c r="G90" s="15"/>
      <c r="H90" s="96"/>
      <c r="I90" s="16"/>
      <c r="J90" s="37" t="str">
        <f aca="false">IF(I90="","",IF(H90="",1,H90)*I90)</f>
        <v/>
      </c>
      <c r="K90" s="15"/>
      <c r="L90" s="97" t="str">
        <f aca="false">IF(C90="","",IF(OR(C90="Material",C90="Equipo",C90="Suministro"),"Materiales y equipos",IF(C90="Mano de obra contratista","Mano de obra contratista",IF(C90="Transporte","Transporte y otros","Alquileres"))))</f>
        <v/>
      </c>
      <c r="M90" s="6"/>
    </row>
    <row r="91" customFormat="false" ht="16.5" hidden="false" customHeight="true" outlineLevel="0" collapsed="false">
      <c r="A91" s="95" t="str">
        <f aca="false">IF(AND(B91="",C91=""),"",ROW()-6)</f>
        <v/>
      </c>
      <c r="B91" s="83"/>
      <c r="C91" s="15"/>
      <c r="D91" s="15"/>
      <c r="E91" s="85"/>
      <c r="F91" s="15"/>
      <c r="G91" s="15"/>
      <c r="H91" s="96"/>
      <c r="I91" s="16"/>
      <c r="J91" s="37" t="str">
        <f aca="false">IF(I91="","",IF(H91="",1,H91)*I91)</f>
        <v/>
      </c>
      <c r="K91" s="15"/>
      <c r="L91" s="97" t="str">
        <f aca="false">IF(C91="","",IF(OR(C91="Material",C91="Equipo",C91="Suministro"),"Materiales y equipos",IF(C91="Mano de obra contratista","Mano de obra contratista",IF(C91="Transporte","Transporte y otros","Alquileres"))))</f>
        <v/>
      </c>
      <c r="M91" s="6"/>
    </row>
    <row r="92" customFormat="false" ht="16.5" hidden="false" customHeight="true" outlineLevel="0" collapsed="false">
      <c r="A92" s="95" t="str">
        <f aca="false">IF(AND(B92="",C92=""),"",ROW()-6)</f>
        <v/>
      </c>
      <c r="B92" s="83"/>
      <c r="C92" s="15"/>
      <c r="D92" s="15"/>
      <c r="E92" s="85"/>
      <c r="F92" s="15"/>
      <c r="G92" s="15"/>
      <c r="H92" s="96"/>
      <c r="I92" s="16"/>
      <c r="J92" s="37" t="str">
        <f aca="false">IF(I92="","",IF(H92="",1,H92)*I92)</f>
        <v/>
      </c>
      <c r="K92" s="15"/>
      <c r="L92" s="97" t="str">
        <f aca="false">IF(C92="","",IF(OR(C92="Material",C92="Equipo",C92="Suministro"),"Materiales y equipos",IF(C92="Mano de obra contratista","Mano de obra contratista",IF(C92="Transporte","Transporte y otros","Alquileres"))))</f>
        <v/>
      </c>
      <c r="M92" s="6"/>
    </row>
    <row r="93" customFormat="false" ht="16.5" hidden="false" customHeight="true" outlineLevel="0" collapsed="false">
      <c r="A93" s="95" t="str">
        <f aca="false">IF(AND(B93="",C93=""),"",ROW()-6)</f>
        <v/>
      </c>
      <c r="B93" s="83"/>
      <c r="C93" s="15"/>
      <c r="D93" s="15"/>
      <c r="E93" s="85"/>
      <c r="F93" s="15"/>
      <c r="G93" s="15"/>
      <c r="H93" s="96"/>
      <c r="I93" s="16"/>
      <c r="J93" s="37" t="str">
        <f aca="false">IF(I93="","",IF(H93="",1,H93)*I93)</f>
        <v/>
      </c>
      <c r="K93" s="15"/>
      <c r="L93" s="97" t="str">
        <f aca="false">IF(C93="","",IF(OR(C93="Material",C93="Equipo",C93="Suministro"),"Materiales y equipos",IF(C93="Mano de obra contratista","Mano de obra contratista",IF(C93="Transporte","Transporte y otros","Alquileres"))))</f>
        <v/>
      </c>
      <c r="M93" s="6"/>
    </row>
    <row r="94" customFormat="false" ht="16.5" hidden="false" customHeight="true" outlineLevel="0" collapsed="false">
      <c r="A94" s="95" t="str">
        <f aca="false">IF(AND(B94="",C94=""),"",ROW()-6)</f>
        <v/>
      </c>
      <c r="B94" s="83"/>
      <c r="C94" s="15"/>
      <c r="D94" s="15"/>
      <c r="E94" s="85"/>
      <c r="F94" s="15"/>
      <c r="G94" s="15"/>
      <c r="H94" s="96"/>
      <c r="I94" s="16"/>
      <c r="J94" s="37" t="str">
        <f aca="false">IF(I94="","",IF(H94="",1,H94)*I94)</f>
        <v/>
      </c>
      <c r="K94" s="15"/>
      <c r="L94" s="97" t="str">
        <f aca="false">IF(C94="","",IF(OR(C94="Material",C94="Equipo",C94="Suministro"),"Materiales y equipos",IF(C94="Mano de obra contratista","Mano de obra contratista",IF(C94="Transporte","Transporte y otros","Alquileres"))))</f>
        <v/>
      </c>
      <c r="M94" s="6"/>
    </row>
    <row r="95" customFormat="false" ht="16.5" hidden="false" customHeight="true" outlineLevel="0" collapsed="false">
      <c r="A95" s="95" t="str">
        <f aca="false">IF(AND(B95="",C95=""),"",ROW()-6)</f>
        <v/>
      </c>
      <c r="B95" s="83"/>
      <c r="C95" s="15"/>
      <c r="D95" s="15"/>
      <c r="E95" s="85"/>
      <c r="F95" s="15"/>
      <c r="G95" s="15"/>
      <c r="H95" s="96"/>
      <c r="I95" s="16"/>
      <c r="J95" s="37" t="str">
        <f aca="false">IF(I95="","",IF(H95="",1,H95)*I95)</f>
        <v/>
      </c>
      <c r="K95" s="15"/>
      <c r="L95" s="97" t="str">
        <f aca="false">IF(C95="","",IF(OR(C95="Material",C95="Equipo",C95="Suministro"),"Materiales y equipos",IF(C95="Mano de obra contratista","Mano de obra contratista",IF(C95="Transporte","Transporte y otros","Alquileres"))))</f>
        <v/>
      </c>
      <c r="M95" s="6"/>
    </row>
    <row r="96" customFormat="false" ht="16.5" hidden="false" customHeight="true" outlineLevel="0" collapsed="false">
      <c r="A96" s="95" t="str">
        <f aca="false">IF(AND(B96="",C96=""),"",ROW()-6)</f>
        <v/>
      </c>
      <c r="B96" s="83"/>
      <c r="C96" s="15"/>
      <c r="D96" s="15"/>
      <c r="E96" s="85"/>
      <c r="F96" s="15"/>
      <c r="G96" s="15"/>
      <c r="H96" s="96"/>
      <c r="I96" s="16"/>
      <c r="J96" s="37" t="str">
        <f aca="false">IF(I96="","",IF(H96="",1,H96)*I96)</f>
        <v/>
      </c>
      <c r="K96" s="15"/>
      <c r="L96" s="97" t="str">
        <f aca="false">IF(C96="","",IF(OR(C96="Material",C96="Equipo",C96="Suministro"),"Materiales y equipos",IF(C96="Mano de obra contratista","Mano de obra contratista",IF(C96="Transporte","Transporte y otros","Alquileres"))))</f>
        <v/>
      </c>
      <c r="M96" s="6"/>
    </row>
    <row r="97" customFormat="false" ht="16.5" hidden="false" customHeight="true" outlineLevel="0" collapsed="false">
      <c r="A97" s="95" t="str">
        <f aca="false">IF(AND(B97="",C97=""),"",ROW()-6)</f>
        <v/>
      </c>
      <c r="B97" s="83"/>
      <c r="C97" s="15"/>
      <c r="D97" s="15"/>
      <c r="E97" s="85"/>
      <c r="F97" s="15"/>
      <c r="G97" s="15"/>
      <c r="H97" s="96"/>
      <c r="I97" s="16"/>
      <c r="J97" s="37" t="str">
        <f aca="false">IF(I97="","",IF(H97="",1,H97)*I97)</f>
        <v/>
      </c>
      <c r="K97" s="15"/>
      <c r="L97" s="97" t="str">
        <f aca="false">IF(C97="","",IF(OR(C97="Material",C97="Equipo",C97="Suministro"),"Materiales y equipos",IF(C97="Mano de obra contratista","Mano de obra contratista",IF(C97="Transporte","Transporte y otros","Alquileres"))))</f>
        <v/>
      </c>
      <c r="M97" s="6"/>
    </row>
    <row r="98" customFormat="false" ht="16.5" hidden="false" customHeight="true" outlineLevel="0" collapsed="false">
      <c r="A98" s="95" t="str">
        <f aca="false">IF(AND(B98="",C98=""),"",ROW()-6)</f>
        <v/>
      </c>
      <c r="B98" s="83"/>
      <c r="C98" s="15"/>
      <c r="D98" s="15"/>
      <c r="E98" s="85"/>
      <c r="F98" s="15"/>
      <c r="G98" s="15"/>
      <c r="H98" s="96"/>
      <c r="I98" s="16"/>
      <c r="J98" s="37" t="str">
        <f aca="false">IF(I98="","",IF(H98="",1,H98)*I98)</f>
        <v/>
      </c>
      <c r="K98" s="15"/>
      <c r="L98" s="97" t="str">
        <f aca="false">IF(C98="","",IF(OR(C98="Material",C98="Equipo",C98="Suministro"),"Materiales y equipos",IF(C98="Mano de obra contratista","Mano de obra contratista",IF(C98="Transporte","Transporte y otros","Alquileres"))))</f>
        <v/>
      </c>
      <c r="M98" s="6"/>
    </row>
    <row r="99" customFormat="false" ht="16.5" hidden="false" customHeight="true" outlineLevel="0" collapsed="false">
      <c r="A99" s="95" t="str">
        <f aca="false">IF(AND(B99="",C99=""),"",ROW()-6)</f>
        <v/>
      </c>
      <c r="B99" s="83"/>
      <c r="C99" s="15"/>
      <c r="D99" s="15"/>
      <c r="E99" s="85"/>
      <c r="F99" s="15"/>
      <c r="G99" s="15"/>
      <c r="H99" s="96"/>
      <c r="I99" s="16"/>
      <c r="J99" s="37" t="str">
        <f aca="false">IF(I99="","",IF(H99="",1,H99)*I99)</f>
        <v/>
      </c>
      <c r="K99" s="15"/>
      <c r="L99" s="97" t="str">
        <f aca="false">IF(C99="","",IF(OR(C99="Material",C99="Equipo",C99="Suministro"),"Materiales y equipos",IF(C99="Mano de obra contratista","Mano de obra contratista",IF(C99="Transporte","Transporte y otros","Alquileres"))))</f>
        <v/>
      </c>
      <c r="M99" s="6"/>
    </row>
    <row r="100" customFormat="false" ht="16.5" hidden="false" customHeight="true" outlineLevel="0" collapsed="false">
      <c r="A100" s="95" t="str">
        <f aca="false">IF(AND(B100="",C100=""),"",ROW()-6)</f>
        <v/>
      </c>
      <c r="B100" s="83"/>
      <c r="C100" s="15"/>
      <c r="D100" s="15"/>
      <c r="E100" s="85"/>
      <c r="F100" s="15"/>
      <c r="G100" s="15"/>
      <c r="H100" s="96"/>
      <c r="I100" s="16"/>
      <c r="J100" s="37" t="str">
        <f aca="false">IF(I100="","",IF(H100="",1,H100)*I100)</f>
        <v/>
      </c>
      <c r="K100" s="15"/>
      <c r="L100" s="97" t="str">
        <f aca="false">IF(C100="","",IF(OR(C100="Material",C100="Equipo",C100="Suministro"),"Materiales y equipos",IF(C100="Mano de obra contratista","Mano de obra contratista",IF(C100="Transporte","Transporte y otros","Alquileres"))))</f>
        <v/>
      </c>
      <c r="M100" s="6"/>
    </row>
    <row r="101" customFormat="false" ht="16.5" hidden="false" customHeight="true" outlineLevel="0" collapsed="false">
      <c r="A101" s="95" t="str">
        <f aca="false">IF(AND(B101="",C101=""),"",ROW()-6)</f>
        <v/>
      </c>
      <c r="B101" s="83"/>
      <c r="C101" s="15"/>
      <c r="D101" s="15"/>
      <c r="E101" s="85"/>
      <c r="F101" s="15"/>
      <c r="G101" s="15"/>
      <c r="H101" s="96"/>
      <c r="I101" s="16"/>
      <c r="J101" s="37" t="str">
        <f aca="false">IF(I101="","",IF(H101="",1,H101)*I101)</f>
        <v/>
      </c>
      <c r="K101" s="15"/>
      <c r="L101" s="97" t="str">
        <f aca="false">IF(C101="","",IF(OR(C101="Material",C101="Equipo",C101="Suministro"),"Materiales y equipos",IF(C101="Mano de obra contratista","Mano de obra contratista",IF(C101="Transporte","Transporte y otros","Alquileres"))))</f>
        <v/>
      </c>
      <c r="M101" s="6"/>
    </row>
    <row r="102" customFormat="false" ht="16.5" hidden="false" customHeight="true" outlineLevel="0" collapsed="false">
      <c r="A102" s="95" t="str">
        <f aca="false">IF(AND(B102="",C102=""),"",ROW()-6)</f>
        <v/>
      </c>
      <c r="B102" s="83"/>
      <c r="C102" s="15"/>
      <c r="D102" s="15"/>
      <c r="E102" s="85"/>
      <c r="F102" s="15"/>
      <c r="G102" s="15"/>
      <c r="H102" s="96"/>
      <c r="I102" s="16"/>
      <c r="J102" s="37" t="str">
        <f aca="false">IF(I102="","",IF(H102="",1,H102)*I102)</f>
        <v/>
      </c>
      <c r="K102" s="15"/>
      <c r="L102" s="97" t="str">
        <f aca="false">IF(C102="","",IF(OR(C102="Material",C102="Equipo",C102="Suministro"),"Materiales y equipos",IF(C102="Mano de obra contratista","Mano de obra contratista",IF(C102="Transporte","Transporte y otros","Alquileres"))))</f>
        <v/>
      </c>
      <c r="M102" s="6"/>
    </row>
    <row r="103" customFormat="false" ht="16.5" hidden="false" customHeight="true" outlineLevel="0" collapsed="false">
      <c r="A103" s="95" t="str">
        <f aca="false">IF(AND(B103="",C103=""),"",ROW()-6)</f>
        <v/>
      </c>
      <c r="B103" s="83"/>
      <c r="C103" s="15"/>
      <c r="D103" s="15"/>
      <c r="E103" s="85"/>
      <c r="F103" s="15"/>
      <c r="G103" s="15"/>
      <c r="H103" s="96"/>
      <c r="I103" s="16"/>
      <c r="J103" s="37" t="str">
        <f aca="false">IF(I103="","",IF(H103="",1,H103)*I103)</f>
        <v/>
      </c>
      <c r="K103" s="15"/>
      <c r="L103" s="97" t="str">
        <f aca="false">IF(C103="","",IF(OR(C103="Material",C103="Equipo",C103="Suministro"),"Materiales y equipos",IF(C103="Mano de obra contratista","Mano de obra contratista",IF(C103="Transporte","Transporte y otros","Alquileres"))))</f>
        <v/>
      </c>
      <c r="M103" s="6"/>
    </row>
    <row r="104" customFormat="false" ht="16.5" hidden="false" customHeight="true" outlineLevel="0" collapsed="false">
      <c r="A104" s="95" t="str">
        <f aca="false">IF(AND(B104="",C104=""),"",ROW()-6)</f>
        <v/>
      </c>
      <c r="B104" s="83"/>
      <c r="C104" s="15"/>
      <c r="D104" s="15"/>
      <c r="E104" s="85"/>
      <c r="F104" s="15"/>
      <c r="G104" s="15"/>
      <c r="H104" s="96"/>
      <c r="I104" s="16"/>
      <c r="J104" s="37" t="str">
        <f aca="false">IF(I104="","",IF(H104="",1,H104)*I104)</f>
        <v/>
      </c>
      <c r="K104" s="15"/>
      <c r="L104" s="97" t="str">
        <f aca="false">IF(C104="","",IF(OR(C104="Material",C104="Equipo",C104="Suministro"),"Materiales y equipos",IF(C104="Mano de obra contratista","Mano de obra contratista",IF(C104="Transporte","Transporte y otros","Alquileres"))))</f>
        <v/>
      </c>
      <c r="M104" s="6"/>
    </row>
    <row r="105" customFormat="false" ht="16.5" hidden="false" customHeight="true" outlineLevel="0" collapsed="false">
      <c r="A105" s="95" t="str">
        <f aca="false">IF(AND(B105="",C105=""),"",ROW()-6)</f>
        <v/>
      </c>
      <c r="B105" s="83"/>
      <c r="C105" s="15"/>
      <c r="D105" s="15"/>
      <c r="E105" s="85"/>
      <c r="F105" s="15"/>
      <c r="G105" s="15"/>
      <c r="H105" s="96"/>
      <c r="I105" s="16"/>
      <c r="J105" s="37" t="str">
        <f aca="false">IF(I105="","",IF(H105="",1,H105)*I105)</f>
        <v/>
      </c>
      <c r="K105" s="15"/>
      <c r="L105" s="97" t="str">
        <f aca="false">IF(C105="","",IF(OR(C105="Material",C105="Equipo",C105="Suministro"),"Materiales y equipos",IF(C105="Mano de obra contratista","Mano de obra contratista",IF(C105="Transporte","Transporte y otros","Alquileres"))))</f>
        <v/>
      </c>
      <c r="M105" s="6"/>
    </row>
    <row r="106" customFormat="false" ht="16.5" hidden="false" customHeight="true" outlineLevel="0" collapsed="false">
      <c r="A106" s="95" t="str">
        <f aca="false">IF(AND(B106="",C106=""),"",ROW()-6)</f>
        <v/>
      </c>
      <c r="B106" s="83"/>
      <c r="C106" s="15"/>
      <c r="D106" s="15"/>
      <c r="E106" s="85"/>
      <c r="F106" s="15"/>
      <c r="G106" s="15"/>
      <c r="H106" s="96"/>
      <c r="I106" s="16"/>
      <c r="J106" s="37" t="str">
        <f aca="false">IF(I106="","",IF(H106="",1,H106)*I106)</f>
        <v/>
      </c>
      <c r="K106" s="15"/>
      <c r="L106" s="97" t="str">
        <f aca="false">IF(C106="","",IF(OR(C106="Material",C106="Equipo",C106="Suministro"),"Materiales y equipos",IF(C106="Mano de obra contratista","Mano de obra contratista",IF(C106="Transporte","Transporte y otros","Alquileres"))))</f>
        <v/>
      </c>
      <c r="M106" s="6"/>
    </row>
    <row r="107" customFormat="false" ht="16.5" hidden="false" customHeight="true" outlineLevel="0" collapsed="false">
      <c r="A107" s="95" t="str">
        <f aca="false">IF(AND(B107="",C107=""),"",ROW()-6)</f>
        <v/>
      </c>
      <c r="B107" s="83"/>
      <c r="C107" s="15"/>
      <c r="D107" s="15"/>
      <c r="E107" s="85"/>
      <c r="F107" s="15"/>
      <c r="G107" s="15"/>
      <c r="H107" s="96"/>
      <c r="I107" s="16"/>
      <c r="J107" s="37" t="str">
        <f aca="false">IF(I107="","",IF(H107="",1,H107)*I107)</f>
        <v/>
      </c>
      <c r="K107" s="15"/>
      <c r="L107" s="97" t="str">
        <f aca="false">IF(C107="","",IF(OR(C107="Material",C107="Equipo",C107="Suministro"),"Materiales y equipos",IF(C107="Mano de obra contratista","Mano de obra contratista",IF(C107="Transporte","Transporte y otros","Alquileres"))))</f>
        <v/>
      </c>
      <c r="M107" s="6"/>
    </row>
    <row r="108" customFormat="false" ht="16.5" hidden="false" customHeight="true" outlineLevel="0" collapsed="false">
      <c r="A108" s="95" t="str">
        <f aca="false">IF(AND(B108="",C108=""),"",ROW()-6)</f>
        <v/>
      </c>
      <c r="B108" s="83"/>
      <c r="C108" s="15"/>
      <c r="D108" s="15"/>
      <c r="E108" s="85"/>
      <c r="F108" s="15"/>
      <c r="G108" s="15"/>
      <c r="H108" s="96"/>
      <c r="I108" s="16"/>
      <c r="J108" s="37" t="str">
        <f aca="false">IF(I108="","",IF(H108="",1,H108)*I108)</f>
        <v/>
      </c>
      <c r="K108" s="15"/>
      <c r="L108" s="97" t="str">
        <f aca="false">IF(C108="","",IF(OR(C108="Material",C108="Equipo",C108="Suministro"),"Materiales y equipos",IF(C108="Mano de obra contratista","Mano de obra contratista",IF(C108="Transporte","Transporte y otros","Alquileres"))))</f>
        <v/>
      </c>
      <c r="M108" s="6"/>
    </row>
    <row r="109" customFormat="false" ht="16.5" hidden="false" customHeight="true" outlineLevel="0" collapsed="false">
      <c r="A109" s="95" t="str">
        <f aca="false">IF(AND(B109="",C109=""),"",ROW()-6)</f>
        <v/>
      </c>
      <c r="B109" s="83"/>
      <c r="C109" s="15"/>
      <c r="D109" s="15"/>
      <c r="E109" s="85"/>
      <c r="F109" s="15"/>
      <c r="G109" s="15"/>
      <c r="H109" s="96"/>
      <c r="I109" s="16"/>
      <c r="J109" s="37" t="str">
        <f aca="false">IF(I109="","",IF(H109="",1,H109)*I109)</f>
        <v/>
      </c>
      <c r="K109" s="15"/>
      <c r="L109" s="97" t="str">
        <f aca="false">IF(C109="","",IF(OR(C109="Material",C109="Equipo",C109="Suministro"),"Materiales y equipos",IF(C109="Mano de obra contratista","Mano de obra contratista",IF(C109="Transporte","Transporte y otros","Alquileres"))))</f>
        <v/>
      </c>
      <c r="M109" s="6"/>
    </row>
    <row r="110" customFormat="false" ht="16.5" hidden="false" customHeight="true" outlineLevel="0" collapsed="false">
      <c r="A110" s="95" t="str">
        <f aca="false">IF(AND(B110="",C110=""),"",ROW()-6)</f>
        <v/>
      </c>
      <c r="B110" s="83"/>
      <c r="C110" s="15"/>
      <c r="D110" s="15"/>
      <c r="E110" s="85"/>
      <c r="F110" s="15"/>
      <c r="G110" s="15"/>
      <c r="H110" s="96"/>
      <c r="I110" s="16"/>
      <c r="J110" s="37" t="str">
        <f aca="false">IF(I110="","",IF(H110="",1,H110)*I110)</f>
        <v/>
      </c>
      <c r="K110" s="15"/>
      <c r="L110" s="97" t="str">
        <f aca="false">IF(C110="","",IF(OR(C110="Material",C110="Equipo",C110="Suministro"),"Materiales y equipos",IF(C110="Mano de obra contratista","Mano de obra contratista",IF(C110="Transporte","Transporte y otros","Alquileres"))))</f>
        <v/>
      </c>
      <c r="M110" s="6"/>
    </row>
    <row r="111" customFormat="false" ht="16.5" hidden="false" customHeight="true" outlineLevel="0" collapsed="false">
      <c r="A111" s="95" t="str">
        <f aca="false">IF(AND(B111="",C111=""),"",ROW()-6)</f>
        <v/>
      </c>
      <c r="B111" s="83"/>
      <c r="C111" s="15"/>
      <c r="D111" s="15"/>
      <c r="E111" s="85"/>
      <c r="F111" s="15"/>
      <c r="G111" s="15"/>
      <c r="H111" s="96"/>
      <c r="I111" s="16"/>
      <c r="J111" s="37" t="str">
        <f aca="false">IF(I111="","",IF(H111="",1,H111)*I111)</f>
        <v/>
      </c>
      <c r="K111" s="15"/>
      <c r="L111" s="97" t="str">
        <f aca="false">IF(C111="","",IF(OR(C111="Material",C111="Equipo",C111="Suministro"),"Materiales y equipos",IF(C111="Mano de obra contratista","Mano de obra contratista",IF(C111="Transporte","Transporte y otros","Alquileres"))))</f>
        <v/>
      </c>
      <c r="M111" s="6"/>
    </row>
    <row r="112" customFormat="false" ht="16.5" hidden="false" customHeight="true" outlineLevel="0" collapsed="false">
      <c r="A112" s="95" t="str">
        <f aca="false">IF(AND(B112="",C112=""),"",ROW()-6)</f>
        <v/>
      </c>
      <c r="B112" s="83"/>
      <c r="C112" s="15"/>
      <c r="D112" s="15"/>
      <c r="E112" s="85"/>
      <c r="F112" s="15"/>
      <c r="G112" s="15"/>
      <c r="H112" s="96"/>
      <c r="I112" s="16"/>
      <c r="J112" s="37" t="str">
        <f aca="false">IF(I112="","",IF(H112="",1,H112)*I112)</f>
        <v/>
      </c>
      <c r="K112" s="15"/>
      <c r="L112" s="97" t="str">
        <f aca="false">IF(C112="","",IF(OR(C112="Material",C112="Equipo",C112="Suministro"),"Materiales y equipos",IF(C112="Mano de obra contratista","Mano de obra contratista",IF(C112="Transporte","Transporte y otros","Alquileres"))))</f>
        <v/>
      </c>
      <c r="M112" s="6"/>
    </row>
    <row r="113" customFormat="false" ht="16.5" hidden="false" customHeight="true" outlineLevel="0" collapsed="false">
      <c r="A113" s="95" t="str">
        <f aca="false">IF(AND(B113="",C113=""),"",ROW()-6)</f>
        <v/>
      </c>
      <c r="B113" s="83"/>
      <c r="C113" s="15"/>
      <c r="D113" s="15"/>
      <c r="E113" s="85"/>
      <c r="F113" s="15"/>
      <c r="G113" s="15"/>
      <c r="H113" s="96"/>
      <c r="I113" s="16"/>
      <c r="J113" s="37" t="str">
        <f aca="false">IF(I113="","",IF(H113="",1,H113)*I113)</f>
        <v/>
      </c>
      <c r="K113" s="15"/>
      <c r="L113" s="97" t="str">
        <f aca="false">IF(C113="","",IF(OR(C113="Material",C113="Equipo",C113="Suministro"),"Materiales y equipos",IF(C113="Mano de obra contratista","Mano de obra contratista",IF(C113="Transporte","Transporte y otros","Alquileres"))))</f>
        <v/>
      </c>
      <c r="M113" s="6"/>
    </row>
    <row r="114" customFormat="false" ht="16.5" hidden="false" customHeight="true" outlineLevel="0" collapsed="false">
      <c r="A114" s="95" t="str">
        <f aca="false">IF(AND(B114="",C114=""),"",ROW()-6)</f>
        <v/>
      </c>
      <c r="B114" s="83"/>
      <c r="C114" s="15"/>
      <c r="D114" s="15"/>
      <c r="E114" s="85"/>
      <c r="F114" s="15"/>
      <c r="G114" s="15"/>
      <c r="H114" s="96"/>
      <c r="I114" s="16"/>
      <c r="J114" s="37" t="str">
        <f aca="false">IF(I114="","",IF(H114="",1,H114)*I114)</f>
        <v/>
      </c>
      <c r="K114" s="15"/>
      <c r="L114" s="97" t="str">
        <f aca="false">IF(C114="","",IF(OR(C114="Material",C114="Equipo",C114="Suministro"),"Materiales y equipos",IF(C114="Mano de obra contratista","Mano de obra contratista",IF(C114="Transporte","Transporte y otros","Alquileres"))))</f>
        <v/>
      </c>
      <c r="M114" s="6"/>
    </row>
    <row r="115" customFormat="false" ht="16.5" hidden="false" customHeight="true" outlineLevel="0" collapsed="false">
      <c r="A115" s="95" t="str">
        <f aca="false">IF(AND(B115="",C115=""),"",ROW()-6)</f>
        <v/>
      </c>
      <c r="B115" s="83"/>
      <c r="C115" s="15"/>
      <c r="D115" s="15"/>
      <c r="E115" s="85"/>
      <c r="F115" s="15"/>
      <c r="G115" s="15"/>
      <c r="H115" s="96"/>
      <c r="I115" s="16"/>
      <c r="J115" s="37" t="str">
        <f aca="false">IF(I115="","",IF(H115="",1,H115)*I115)</f>
        <v/>
      </c>
      <c r="K115" s="15"/>
      <c r="L115" s="97" t="str">
        <f aca="false">IF(C115="","",IF(OR(C115="Material",C115="Equipo",C115="Suministro"),"Materiales y equipos",IF(C115="Mano de obra contratista","Mano de obra contratista",IF(C115="Transporte","Transporte y otros","Alquileres"))))</f>
        <v/>
      </c>
      <c r="M115" s="6"/>
    </row>
    <row r="116" customFormat="false" ht="16.5" hidden="false" customHeight="true" outlineLevel="0" collapsed="false">
      <c r="A116" s="95" t="str">
        <f aca="false">IF(AND(B116="",C116=""),"",ROW()-6)</f>
        <v/>
      </c>
      <c r="B116" s="83"/>
      <c r="C116" s="15"/>
      <c r="D116" s="15"/>
      <c r="E116" s="85"/>
      <c r="F116" s="15"/>
      <c r="G116" s="15"/>
      <c r="H116" s="96"/>
      <c r="I116" s="16"/>
      <c r="J116" s="37" t="str">
        <f aca="false">IF(I116="","",IF(H116="",1,H116)*I116)</f>
        <v/>
      </c>
      <c r="K116" s="15"/>
      <c r="L116" s="97" t="str">
        <f aca="false">IF(C116="","",IF(OR(C116="Material",C116="Equipo",C116="Suministro"),"Materiales y equipos",IF(C116="Mano de obra contratista","Mano de obra contratista",IF(C116="Transporte","Transporte y otros","Alquileres"))))</f>
        <v/>
      </c>
      <c r="M116" s="6"/>
    </row>
    <row r="117" customFormat="false" ht="16.5" hidden="false" customHeight="true" outlineLevel="0" collapsed="false">
      <c r="A117" s="95" t="str">
        <f aca="false">IF(AND(B117="",C117=""),"",ROW()-6)</f>
        <v/>
      </c>
      <c r="B117" s="83"/>
      <c r="C117" s="15"/>
      <c r="D117" s="15"/>
      <c r="E117" s="85"/>
      <c r="F117" s="15"/>
      <c r="G117" s="15"/>
      <c r="H117" s="96"/>
      <c r="I117" s="16"/>
      <c r="J117" s="37" t="str">
        <f aca="false">IF(I117="","",IF(H117="",1,H117)*I117)</f>
        <v/>
      </c>
      <c r="K117" s="15"/>
      <c r="L117" s="97" t="str">
        <f aca="false">IF(C117="","",IF(OR(C117="Material",C117="Equipo",C117="Suministro"),"Materiales y equipos",IF(C117="Mano de obra contratista","Mano de obra contratista",IF(C117="Transporte","Transporte y otros","Alquileres"))))</f>
        <v/>
      </c>
      <c r="M117" s="6"/>
    </row>
    <row r="118" customFormat="false" ht="16.5" hidden="false" customHeight="true" outlineLevel="0" collapsed="false">
      <c r="A118" s="95" t="str">
        <f aca="false">IF(AND(B118="",C118=""),"",ROW()-6)</f>
        <v/>
      </c>
      <c r="B118" s="83"/>
      <c r="C118" s="15"/>
      <c r="D118" s="15"/>
      <c r="E118" s="85"/>
      <c r="F118" s="15"/>
      <c r="G118" s="15"/>
      <c r="H118" s="96"/>
      <c r="I118" s="16"/>
      <c r="J118" s="37" t="str">
        <f aca="false">IF(I118="","",IF(H118="",1,H118)*I118)</f>
        <v/>
      </c>
      <c r="K118" s="15"/>
      <c r="L118" s="97" t="str">
        <f aca="false">IF(C118="","",IF(OR(C118="Material",C118="Equipo",C118="Suministro"),"Materiales y equipos",IF(C118="Mano de obra contratista","Mano de obra contratista",IF(C118="Transporte","Transporte y otros","Alquileres"))))</f>
        <v/>
      </c>
      <c r="M118" s="6"/>
    </row>
    <row r="119" customFormat="false" ht="16.5" hidden="false" customHeight="true" outlineLevel="0" collapsed="false">
      <c r="A119" s="95" t="str">
        <f aca="false">IF(AND(B119="",C119=""),"",ROW()-6)</f>
        <v/>
      </c>
      <c r="B119" s="83"/>
      <c r="C119" s="15"/>
      <c r="D119" s="15"/>
      <c r="E119" s="85"/>
      <c r="F119" s="15"/>
      <c r="G119" s="15"/>
      <c r="H119" s="96"/>
      <c r="I119" s="16"/>
      <c r="J119" s="37" t="str">
        <f aca="false">IF(I119="","",IF(H119="",1,H119)*I119)</f>
        <v/>
      </c>
      <c r="K119" s="15"/>
      <c r="L119" s="97" t="str">
        <f aca="false">IF(C119="","",IF(OR(C119="Material",C119="Equipo",C119="Suministro"),"Materiales y equipos",IF(C119="Mano de obra contratista","Mano de obra contratista",IF(C119="Transporte","Transporte y otros","Alquileres"))))</f>
        <v/>
      </c>
      <c r="M119" s="6"/>
    </row>
    <row r="120" customFormat="false" ht="16.5" hidden="false" customHeight="true" outlineLevel="0" collapsed="false">
      <c r="A120" s="95" t="str">
        <f aca="false">IF(AND(B120="",C120=""),"",ROW()-6)</f>
        <v/>
      </c>
      <c r="B120" s="83"/>
      <c r="C120" s="15"/>
      <c r="D120" s="15"/>
      <c r="E120" s="85"/>
      <c r="F120" s="15"/>
      <c r="G120" s="15"/>
      <c r="H120" s="96"/>
      <c r="I120" s="16"/>
      <c r="J120" s="37" t="str">
        <f aca="false">IF(I120="","",IF(H120="",1,H120)*I120)</f>
        <v/>
      </c>
      <c r="K120" s="15"/>
      <c r="L120" s="97" t="str">
        <f aca="false">IF(C120="","",IF(OR(C120="Material",C120="Equipo",C120="Suministro"),"Materiales y equipos",IF(C120="Mano de obra contratista","Mano de obra contratista",IF(C120="Transporte","Transporte y otros","Alquileres"))))</f>
        <v/>
      </c>
      <c r="M120" s="6"/>
    </row>
    <row r="121" customFormat="false" ht="16.5" hidden="false" customHeight="true" outlineLevel="0" collapsed="false">
      <c r="A121" s="95" t="str">
        <f aca="false">IF(AND(B121="",C121=""),"",ROW()-6)</f>
        <v/>
      </c>
      <c r="B121" s="83"/>
      <c r="C121" s="15"/>
      <c r="D121" s="15"/>
      <c r="E121" s="85"/>
      <c r="F121" s="15"/>
      <c r="G121" s="15"/>
      <c r="H121" s="96"/>
      <c r="I121" s="16"/>
      <c r="J121" s="37" t="str">
        <f aca="false">IF(I121="","",IF(H121="",1,H121)*I121)</f>
        <v/>
      </c>
      <c r="K121" s="15"/>
      <c r="L121" s="97" t="str">
        <f aca="false">IF(C121="","",IF(OR(C121="Material",C121="Equipo",C121="Suministro"),"Materiales y equipos",IF(C121="Mano de obra contratista","Mano de obra contratista",IF(C121="Transporte","Transporte y otros","Alquileres"))))</f>
        <v/>
      </c>
      <c r="M121" s="6"/>
    </row>
    <row r="122" customFormat="false" ht="16.5" hidden="false" customHeight="true" outlineLevel="0" collapsed="false">
      <c r="A122" s="95" t="str">
        <f aca="false">IF(AND(B122="",C122=""),"",ROW()-6)</f>
        <v/>
      </c>
      <c r="B122" s="83"/>
      <c r="C122" s="15"/>
      <c r="D122" s="15"/>
      <c r="E122" s="85"/>
      <c r="F122" s="15"/>
      <c r="G122" s="15"/>
      <c r="H122" s="96"/>
      <c r="I122" s="16"/>
      <c r="J122" s="37" t="str">
        <f aca="false">IF(I122="","",IF(H122="",1,H122)*I122)</f>
        <v/>
      </c>
      <c r="K122" s="15"/>
      <c r="L122" s="97" t="str">
        <f aca="false">IF(C122="","",IF(OR(C122="Material",C122="Equipo",C122="Suministro"),"Materiales y equipos",IF(C122="Mano de obra contratista","Mano de obra contratista",IF(C122="Transporte","Transporte y otros","Alquileres"))))</f>
        <v/>
      </c>
      <c r="M122" s="6"/>
    </row>
    <row r="123" customFormat="false" ht="16.5" hidden="false" customHeight="true" outlineLevel="0" collapsed="false">
      <c r="A123" s="95" t="str">
        <f aca="false">IF(AND(B123="",C123=""),"",ROW()-6)</f>
        <v/>
      </c>
      <c r="B123" s="83"/>
      <c r="C123" s="15"/>
      <c r="D123" s="15"/>
      <c r="E123" s="85"/>
      <c r="F123" s="15"/>
      <c r="G123" s="15"/>
      <c r="H123" s="96"/>
      <c r="I123" s="16"/>
      <c r="J123" s="37" t="str">
        <f aca="false">IF(I123="","",IF(H123="",1,H123)*I123)</f>
        <v/>
      </c>
      <c r="K123" s="15"/>
      <c r="L123" s="97" t="str">
        <f aca="false">IF(C123="","",IF(OR(C123="Material",C123="Equipo",C123="Suministro"),"Materiales y equipos",IF(C123="Mano de obra contratista","Mano de obra contratista",IF(C123="Transporte","Transporte y otros","Alquileres"))))</f>
        <v/>
      </c>
      <c r="M123" s="6"/>
    </row>
    <row r="124" customFormat="false" ht="16.5" hidden="false" customHeight="true" outlineLevel="0" collapsed="false">
      <c r="A124" s="95" t="str">
        <f aca="false">IF(AND(B124="",C124=""),"",ROW()-6)</f>
        <v/>
      </c>
      <c r="B124" s="83"/>
      <c r="C124" s="15"/>
      <c r="D124" s="15"/>
      <c r="E124" s="85"/>
      <c r="F124" s="15"/>
      <c r="G124" s="15"/>
      <c r="H124" s="96"/>
      <c r="I124" s="16"/>
      <c r="J124" s="37" t="str">
        <f aca="false">IF(I124="","",IF(H124="",1,H124)*I124)</f>
        <v/>
      </c>
      <c r="K124" s="15"/>
      <c r="L124" s="97" t="str">
        <f aca="false">IF(C124="","",IF(OR(C124="Material",C124="Equipo",C124="Suministro"),"Materiales y equipos",IF(C124="Mano de obra contratista","Mano de obra contratista",IF(C124="Transporte","Transporte y otros","Alquileres"))))</f>
        <v/>
      </c>
      <c r="M124" s="6"/>
    </row>
    <row r="125" customFormat="false" ht="16.5" hidden="false" customHeight="true" outlineLevel="0" collapsed="false">
      <c r="A125" s="95" t="str">
        <f aca="false">IF(AND(B125="",C125=""),"",ROW()-6)</f>
        <v/>
      </c>
      <c r="B125" s="83"/>
      <c r="C125" s="15"/>
      <c r="D125" s="15"/>
      <c r="E125" s="85"/>
      <c r="F125" s="15"/>
      <c r="G125" s="15"/>
      <c r="H125" s="96"/>
      <c r="I125" s="16"/>
      <c r="J125" s="37" t="str">
        <f aca="false">IF(I125="","",IF(H125="",1,H125)*I125)</f>
        <v/>
      </c>
      <c r="K125" s="15"/>
      <c r="L125" s="97" t="str">
        <f aca="false">IF(C125="","",IF(OR(C125="Material",C125="Equipo",C125="Suministro"),"Materiales y equipos",IF(C125="Mano de obra contratista","Mano de obra contratista",IF(C125="Transporte","Transporte y otros","Alquileres"))))</f>
        <v/>
      </c>
      <c r="M125" s="6"/>
    </row>
    <row r="126" customFormat="false" ht="16.5" hidden="false" customHeight="true" outlineLevel="0" collapsed="false">
      <c r="A126" s="95" t="str">
        <f aca="false">IF(AND(B126="",C126=""),"",ROW()-6)</f>
        <v/>
      </c>
      <c r="B126" s="83"/>
      <c r="C126" s="15"/>
      <c r="D126" s="15"/>
      <c r="E126" s="85"/>
      <c r="F126" s="15"/>
      <c r="G126" s="15"/>
      <c r="H126" s="96"/>
      <c r="I126" s="16"/>
      <c r="J126" s="37" t="str">
        <f aca="false">IF(I126="","",IF(H126="",1,H126)*I126)</f>
        <v/>
      </c>
      <c r="K126" s="15"/>
      <c r="L126" s="97" t="str">
        <f aca="false">IF(C126="","",IF(OR(C126="Material",C126="Equipo",C126="Suministro"),"Materiales y equipos",IF(C126="Mano de obra contratista","Mano de obra contratista",IF(C126="Transporte","Transporte y otros","Alquileres"))))</f>
        <v/>
      </c>
      <c r="M126" s="6"/>
    </row>
    <row r="127" customFormat="false" ht="16.5" hidden="false" customHeight="true" outlineLevel="0" collapsed="false">
      <c r="A127" s="95" t="str">
        <f aca="false">IF(AND(B127="",C127=""),"",ROW()-6)</f>
        <v/>
      </c>
      <c r="B127" s="83"/>
      <c r="C127" s="15"/>
      <c r="D127" s="15"/>
      <c r="E127" s="85"/>
      <c r="F127" s="15"/>
      <c r="G127" s="15"/>
      <c r="H127" s="96"/>
      <c r="I127" s="16"/>
      <c r="J127" s="37" t="str">
        <f aca="false">IF(I127="","",IF(H127="",1,H127)*I127)</f>
        <v/>
      </c>
      <c r="K127" s="15"/>
      <c r="L127" s="97" t="str">
        <f aca="false">IF(C127="","",IF(OR(C127="Material",C127="Equipo",C127="Suministro"),"Materiales y equipos",IF(C127="Mano de obra contratista","Mano de obra contratista",IF(C127="Transporte","Transporte y otros","Alquileres"))))</f>
        <v/>
      </c>
      <c r="M127" s="6"/>
    </row>
    <row r="128" customFormat="false" ht="16.5" hidden="false" customHeight="true" outlineLevel="0" collapsed="false">
      <c r="A128" s="95" t="str">
        <f aca="false">IF(AND(B128="",C128=""),"",ROW()-6)</f>
        <v/>
      </c>
      <c r="B128" s="83"/>
      <c r="C128" s="15"/>
      <c r="D128" s="15"/>
      <c r="E128" s="85"/>
      <c r="F128" s="15"/>
      <c r="G128" s="15"/>
      <c r="H128" s="96"/>
      <c r="I128" s="16"/>
      <c r="J128" s="37" t="str">
        <f aca="false">IF(I128="","",IF(H128="",1,H128)*I128)</f>
        <v/>
      </c>
      <c r="K128" s="15"/>
      <c r="L128" s="97" t="str">
        <f aca="false">IF(C128="","",IF(OR(C128="Material",C128="Equipo",C128="Suministro"),"Materiales y equipos",IF(C128="Mano de obra contratista","Mano de obra contratista",IF(C128="Transporte","Transporte y otros","Alquileres"))))</f>
        <v/>
      </c>
      <c r="M128" s="6"/>
    </row>
    <row r="129" customFormat="false" ht="16.5" hidden="false" customHeight="true" outlineLevel="0" collapsed="false">
      <c r="A129" s="95" t="str">
        <f aca="false">IF(AND(B129="",C129=""),"",ROW()-6)</f>
        <v/>
      </c>
      <c r="B129" s="83"/>
      <c r="C129" s="15"/>
      <c r="D129" s="15"/>
      <c r="E129" s="85"/>
      <c r="F129" s="15"/>
      <c r="G129" s="15"/>
      <c r="H129" s="96"/>
      <c r="I129" s="16"/>
      <c r="J129" s="37" t="str">
        <f aca="false">IF(I129="","",IF(H129="",1,H129)*I129)</f>
        <v/>
      </c>
      <c r="K129" s="15"/>
      <c r="L129" s="97" t="str">
        <f aca="false">IF(C129="","",IF(OR(C129="Material",C129="Equipo",C129="Suministro"),"Materiales y equipos",IF(C129="Mano de obra contratista","Mano de obra contratista",IF(C129="Transporte","Transporte y otros","Alquileres"))))</f>
        <v/>
      </c>
      <c r="M129" s="6"/>
    </row>
    <row r="130" customFormat="false" ht="16.5" hidden="false" customHeight="true" outlineLevel="0" collapsed="false">
      <c r="A130" s="95" t="str">
        <f aca="false">IF(AND(B130="",C130=""),"",ROW()-6)</f>
        <v/>
      </c>
      <c r="B130" s="83"/>
      <c r="C130" s="15"/>
      <c r="D130" s="15"/>
      <c r="E130" s="85"/>
      <c r="F130" s="15"/>
      <c r="G130" s="15"/>
      <c r="H130" s="96"/>
      <c r="I130" s="16"/>
      <c r="J130" s="37" t="str">
        <f aca="false">IF(I130="","",IF(H130="",1,H130)*I130)</f>
        <v/>
      </c>
      <c r="K130" s="15"/>
      <c r="L130" s="97" t="str">
        <f aca="false">IF(C130="","",IF(OR(C130="Material",C130="Equipo",C130="Suministro"),"Materiales y equipos",IF(C130="Mano de obra contratista","Mano de obra contratista",IF(C130="Transporte","Transporte y otros","Alquileres"))))</f>
        <v/>
      </c>
      <c r="M130" s="6"/>
    </row>
    <row r="131" customFormat="false" ht="16.5" hidden="false" customHeight="true" outlineLevel="0" collapsed="false">
      <c r="A131" s="95" t="str">
        <f aca="false">IF(AND(B131="",C131=""),"",ROW()-6)</f>
        <v/>
      </c>
      <c r="B131" s="83"/>
      <c r="C131" s="15"/>
      <c r="D131" s="15"/>
      <c r="E131" s="85"/>
      <c r="F131" s="15"/>
      <c r="G131" s="15"/>
      <c r="H131" s="96"/>
      <c r="I131" s="16"/>
      <c r="J131" s="37" t="str">
        <f aca="false">IF(I131="","",IF(H131="",1,H131)*I131)</f>
        <v/>
      </c>
      <c r="K131" s="15"/>
      <c r="L131" s="97" t="str">
        <f aca="false">IF(C131="","",IF(OR(C131="Material",C131="Equipo",C131="Suministro"),"Materiales y equipos",IF(C131="Mano de obra contratista","Mano de obra contratista",IF(C131="Transporte","Transporte y otros","Alquileres"))))</f>
        <v/>
      </c>
      <c r="M131" s="6"/>
    </row>
    <row r="132" customFormat="false" ht="16.5" hidden="false" customHeight="true" outlineLevel="0" collapsed="false">
      <c r="A132" s="95" t="str">
        <f aca="false">IF(AND(B132="",C132=""),"",ROW()-6)</f>
        <v/>
      </c>
      <c r="B132" s="83"/>
      <c r="C132" s="15"/>
      <c r="D132" s="15"/>
      <c r="E132" s="85"/>
      <c r="F132" s="15"/>
      <c r="G132" s="15"/>
      <c r="H132" s="96"/>
      <c r="I132" s="16"/>
      <c r="J132" s="37" t="str">
        <f aca="false">IF(I132="","",IF(H132="",1,H132)*I132)</f>
        <v/>
      </c>
      <c r="K132" s="15"/>
      <c r="L132" s="97" t="str">
        <f aca="false">IF(C132="","",IF(OR(C132="Material",C132="Equipo",C132="Suministro"),"Materiales y equipos",IF(C132="Mano de obra contratista","Mano de obra contratista",IF(C132="Transporte","Transporte y otros","Alquileres"))))</f>
        <v/>
      </c>
      <c r="M132" s="6"/>
    </row>
    <row r="133" customFormat="false" ht="16.5" hidden="false" customHeight="true" outlineLevel="0" collapsed="false">
      <c r="A133" s="95" t="str">
        <f aca="false">IF(AND(B133="",C133=""),"",ROW()-6)</f>
        <v/>
      </c>
      <c r="B133" s="83"/>
      <c r="C133" s="15"/>
      <c r="D133" s="15"/>
      <c r="E133" s="85"/>
      <c r="F133" s="15"/>
      <c r="G133" s="15"/>
      <c r="H133" s="96"/>
      <c r="I133" s="16"/>
      <c r="J133" s="37" t="str">
        <f aca="false">IF(I133="","",IF(H133="",1,H133)*I133)</f>
        <v/>
      </c>
      <c r="K133" s="15"/>
      <c r="L133" s="97" t="str">
        <f aca="false">IF(C133="","",IF(OR(C133="Material",C133="Equipo",C133="Suministro"),"Materiales y equipos",IF(C133="Mano de obra contratista","Mano de obra contratista",IF(C133="Transporte","Transporte y otros","Alquileres"))))</f>
        <v/>
      </c>
      <c r="M133" s="6"/>
    </row>
    <row r="134" customFormat="false" ht="16.5" hidden="false" customHeight="true" outlineLevel="0" collapsed="false">
      <c r="A134" s="95" t="str">
        <f aca="false">IF(AND(B134="",C134=""),"",ROW()-6)</f>
        <v/>
      </c>
      <c r="B134" s="83"/>
      <c r="C134" s="15"/>
      <c r="D134" s="15"/>
      <c r="E134" s="85"/>
      <c r="F134" s="15"/>
      <c r="G134" s="15"/>
      <c r="H134" s="96"/>
      <c r="I134" s="16"/>
      <c r="J134" s="37" t="str">
        <f aca="false">IF(I134="","",IF(H134="",1,H134)*I134)</f>
        <v/>
      </c>
      <c r="K134" s="15"/>
      <c r="L134" s="97" t="str">
        <f aca="false">IF(C134="","",IF(OR(C134="Material",C134="Equipo",C134="Suministro"),"Materiales y equipos",IF(C134="Mano de obra contratista","Mano de obra contratista",IF(C134="Transporte","Transporte y otros","Alquileres"))))</f>
        <v/>
      </c>
      <c r="M134" s="6"/>
    </row>
    <row r="135" customFormat="false" ht="16.5" hidden="false" customHeight="true" outlineLevel="0" collapsed="false">
      <c r="A135" s="95" t="str">
        <f aca="false">IF(AND(B135="",C135=""),"",ROW()-6)</f>
        <v/>
      </c>
      <c r="B135" s="83"/>
      <c r="C135" s="15"/>
      <c r="D135" s="15"/>
      <c r="E135" s="85"/>
      <c r="F135" s="15"/>
      <c r="G135" s="15"/>
      <c r="H135" s="96"/>
      <c r="I135" s="16"/>
      <c r="J135" s="37" t="str">
        <f aca="false">IF(I135="","",IF(H135="",1,H135)*I135)</f>
        <v/>
      </c>
      <c r="K135" s="15"/>
      <c r="L135" s="97" t="str">
        <f aca="false">IF(C135="","",IF(OR(C135="Material",C135="Equipo",C135="Suministro"),"Materiales y equipos",IF(C135="Mano de obra contratista","Mano de obra contratista",IF(C135="Transporte","Transporte y otros","Alquileres"))))</f>
        <v/>
      </c>
      <c r="M135" s="6"/>
    </row>
    <row r="136" customFormat="false" ht="16.5" hidden="false" customHeight="true" outlineLevel="0" collapsed="false">
      <c r="A136" s="95" t="str">
        <f aca="false">IF(AND(B136="",C136=""),"",ROW()-6)</f>
        <v/>
      </c>
      <c r="B136" s="83"/>
      <c r="C136" s="15"/>
      <c r="D136" s="15"/>
      <c r="E136" s="85"/>
      <c r="F136" s="15"/>
      <c r="G136" s="15"/>
      <c r="H136" s="96"/>
      <c r="I136" s="16"/>
      <c r="J136" s="37" t="str">
        <f aca="false">IF(I136="","",IF(H136="",1,H136)*I136)</f>
        <v/>
      </c>
      <c r="K136" s="15"/>
      <c r="L136" s="97" t="str">
        <f aca="false">IF(C136="","",IF(OR(C136="Material",C136="Equipo",C136="Suministro"),"Materiales y equipos",IF(C136="Mano de obra contratista","Mano de obra contratista",IF(C136="Transporte","Transporte y otros","Alquileres"))))</f>
        <v/>
      </c>
      <c r="M136" s="6"/>
    </row>
    <row r="137" customFormat="false" ht="16.5" hidden="false" customHeight="true" outlineLevel="0" collapsed="false">
      <c r="A137" s="95" t="str">
        <f aca="false">IF(AND(B137="",C137=""),"",ROW()-6)</f>
        <v/>
      </c>
      <c r="B137" s="83"/>
      <c r="C137" s="15"/>
      <c r="D137" s="15"/>
      <c r="E137" s="85"/>
      <c r="F137" s="15"/>
      <c r="G137" s="15"/>
      <c r="H137" s="96"/>
      <c r="I137" s="16"/>
      <c r="J137" s="37" t="str">
        <f aca="false">IF(I137="","",IF(H137="",1,H137)*I137)</f>
        <v/>
      </c>
      <c r="K137" s="15"/>
      <c r="L137" s="97" t="str">
        <f aca="false">IF(C137="","",IF(OR(C137="Material",C137="Equipo",C137="Suministro"),"Materiales y equipos",IF(C137="Mano de obra contratista","Mano de obra contratista",IF(C137="Transporte","Transporte y otros","Alquileres"))))</f>
        <v/>
      </c>
      <c r="M137" s="6"/>
    </row>
    <row r="138" customFormat="false" ht="16.5" hidden="false" customHeight="true" outlineLevel="0" collapsed="false">
      <c r="A138" s="95" t="str">
        <f aca="false">IF(AND(B138="",C138=""),"",ROW()-6)</f>
        <v/>
      </c>
      <c r="B138" s="83"/>
      <c r="C138" s="15"/>
      <c r="D138" s="15"/>
      <c r="E138" s="85"/>
      <c r="F138" s="15"/>
      <c r="G138" s="15"/>
      <c r="H138" s="96"/>
      <c r="I138" s="16"/>
      <c r="J138" s="37" t="str">
        <f aca="false">IF(I138="","",IF(H138="",1,H138)*I138)</f>
        <v/>
      </c>
      <c r="K138" s="15"/>
      <c r="L138" s="97" t="str">
        <f aca="false">IF(C138="","",IF(OR(C138="Material",C138="Equipo",C138="Suministro"),"Materiales y equipos",IF(C138="Mano de obra contratista","Mano de obra contratista",IF(C138="Transporte","Transporte y otros","Alquileres"))))</f>
        <v/>
      </c>
      <c r="M138" s="6"/>
    </row>
    <row r="139" customFormat="false" ht="16.5" hidden="false" customHeight="true" outlineLevel="0" collapsed="false">
      <c r="A139" s="95" t="str">
        <f aca="false">IF(AND(B139="",C139=""),"",ROW()-6)</f>
        <v/>
      </c>
      <c r="B139" s="83"/>
      <c r="C139" s="15"/>
      <c r="D139" s="15"/>
      <c r="E139" s="85"/>
      <c r="F139" s="15"/>
      <c r="G139" s="15"/>
      <c r="H139" s="96"/>
      <c r="I139" s="16"/>
      <c r="J139" s="37" t="str">
        <f aca="false">IF(I139="","",IF(H139="",1,H139)*I139)</f>
        <v/>
      </c>
      <c r="K139" s="15"/>
      <c r="L139" s="97" t="str">
        <f aca="false">IF(C139="","",IF(OR(C139="Material",C139="Equipo",C139="Suministro"),"Materiales y equipos",IF(C139="Mano de obra contratista","Mano de obra contratista",IF(C139="Transporte","Transporte y otros","Alquileres"))))</f>
        <v/>
      </c>
      <c r="M139" s="6"/>
    </row>
    <row r="140" customFormat="false" ht="16.5" hidden="false" customHeight="true" outlineLevel="0" collapsed="false">
      <c r="A140" s="95" t="str">
        <f aca="false">IF(AND(B140="",C140=""),"",ROW()-6)</f>
        <v/>
      </c>
      <c r="B140" s="83"/>
      <c r="C140" s="15"/>
      <c r="D140" s="15"/>
      <c r="E140" s="85"/>
      <c r="F140" s="15"/>
      <c r="G140" s="15"/>
      <c r="H140" s="96"/>
      <c r="I140" s="16"/>
      <c r="J140" s="37" t="str">
        <f aca="false">IF(I140="","",IF(H140="",1,H140)*I140)</f>
        <v/>
      </c>
      <c r="K140" s="15"/>
      <c r="L140" s="97" t="str">
        <f aca="false">IF(C140="","",IF(OR(C140="Material",C140="Equipo",C140="Suministro"),"Materiales y equipos",IF(C140="Mano de obra contratista","Mano de obra contratista",IF(C140="Transporte","Transporte y otros","Alquileres"))))</f>
        <v/>
      </c>
      <c r="M140" s="6"/>
    </row>
    <row r="141" customFormat="false" ht="16.5" hidden="false" customHeight="true" outlineLevel="0" collapsed="false">
      <c r="A141" s="95" t="str">
        <f aca="false">IF(AND(B141="",C141=""),"",ROW()-6)</f>
        <v/>
      </c>
      <c r="B141" s="83"/>
      <c r="C141" s="15"/>
      <c r="D141" s="15"/>
      <c r="E141" s="85"/>
      <c r="F141" s="15"/>
      <c r="G141" s="15"/>
      <c r="H141" s="96"/>
      <c r="I141" s="16"/>
      <c r="J141" s="37" t="str">
        <f aca="false">IF(I141="","",IF(H141="",1,H141)*I141)</f>
        <v/>
      </c>
      <c r="K141" s="15"/>
      <c r="L141" s="97" t="str">
        <f aca="false">IF(C141="","",IF(OR(C141="Material",C141="Equipo",C141="Suministro"),"Materiales y equipos",IF(C141="Mano de obra contratista","Mano de obra contratista",IF(C141="Transporte","Transporte y otros","Alquileres"))))</f>
        <v/>
      </c>
      <c r="M141" s="6"/>
    </row>
    <row r="142" customFormat="false" ht="16.5" hidden="false" customHeight="true" outlineLevel="0" collapsed="false">
      <c r="A142" s="95" t="str">
        <f aca="false">IF(AND(B142="",C142=""),"",ROW()-6)</f>
        <v/>
      </c>
      <c r="B142" s="83"/>
      <c r="C142" s="15"/>
      <c r="D142" s="15"/>
      <c r="E142" s="85"/>
      <c r="F142" s="15"/>
      <c r="G142" s="15"/>
      <c r="H142" s="96"/>
      <c r="I142" s="16"/>
      <c r="J142" s="37" t="str">
        <f aca="false">IF(I142="","",IF(H142="",1,H142)*I142)</f>
        <v/>
      </c>
      <c r="K142" s="15"/>
      <c r="L142" s="97" t="str">
        <f aca="false">IF(C142="","",IF(OR(C142="Material",C142="Equipo",C142="Suministro"),"Materiales y equipos",IF(C142="Mano de obra contratista","Mano de obra contratista",IF(C142="Transporte","Transporte y otros","Alquileres"))))</f>
        <v/>
      </c>
      <c r="M142" s="6"/>
    </row>
    <row r="143" customFormat="false" ht="16.5" hidden="false" customHeight="true" outlineLevel="0" collapsed="false">
      <c r="A143" s="95" t="str">
        <f aca="false">IF(AND(B143="",C143=""),"",ROW()-6)</f>
        <v/>
      </c>
      <c r="B143" s="83"/>
      <c r="C143" s="15"/>
      <c r="D143" s="15"/>
      <c r="E143" s="85"/>
      <c r="F143" s="15"/>
      <c r="G143" s="15"/>
      <c r="H143" s="96"/>
      <c r="I143" s="16"/>
      <c r="J143" s="37" t="str">
        <f aca="false">IF(I143="","",IF(H143="",1,H143)*I143)</f>
        <v/>
      </c>
      <c r="K143" s="15"/>
      <c r="L143" s="97" t="str">
        <f aca="false">IF(C143="","",IF(OR(C143="Material",C143="Equipo",C143="Suministro"),"Materiales y equipos",IF(C143="Mano de obra contratista","Mano de obra contratista",IF(C143="Transporte","Transporte y otros","Alquileres"))))</f>
        <v/>
      </c>
      <c r="M143" s="6"/>
    </row>
    <row r="144" customFormat="false" ht="16.5" hidden="false" customHeight="true" outlineLevel="0" collapsed="false">
      <c r="A144" s="95" t="str">
        <f aca="false">IF(AND(B144="",C144=""),"",ROW()-6)</f>
        <v/>
      </c>
      <c r="B144" s="83"/>
      <c r="C144" s="15"/>
      <c r="D144" s="15"/>
      <c r="E144" s="85"/>
      <c r="F144" s="15"/>
      <c r="G144" s="15"/>
      <c r="H144" s="96"/>
      <c r="I144" s="16"/>
      <c r="J144" s="37" t="str">
        <f aca="false">IF(I144="","",IF(H144="",1,H144)*I144)</f>
        <v/>
      </c>
      <c r="K144" s="15"/>
      <c r="L144" s="97" t="str">
        <f aca="false">IF(C144="","",IF(OR(C144="Material",C144="Equipo",C144="Suministro"),"Materiales y equipos",IF(C144="Mano de obra contratista","Mano de obra contratista",IF(C144="Transporte","Transporte y otros","Alquileres"))))</f>
        <v/>
      </c>
      <c r="M144" s="6"/>
    </row>
    <row r="145" customFormat="false" ht="16.5" hidden="false" customHeight="true" outlineLevel="0" collapsed="false">
      <c r="A145" s="95" t="str">
        <f aca="false">IF(AND(B145="",C145=""),"",ROW()-6)</f>
        <v/>
      </c>
      <c r="B145" s="83"/>
      <c r="C145" s="15"/>
      <c r="D145" s="15"/>
      <c r="E145" s="85"/>
      <c r="F145" s="15"/>
      <c r="G145" s="15"/>
      <c r="H145" s="96"/>
      <c r="I145" s="16"/>
      <c r="J145" s="37" t="str">
        <f aca="false">IF(I145="","",IF(H145="",1,H145)*I145)</f>
        <v/>
      </c>
      <c r="K145" s="15"/>
      <c r="L145" s="97" t="str">
        <f aca="false">IF(C145="","",IF(OR(C145="Material",C145="Equipo",C145="Suministro"),"Materiales y equipos",IF(C145="Mano de obra contratista","Mano de obra contratista",IF(C145="Transporte","Transporte y otros","Alquileres"))))</f>
        <v/>
      </c>
      <c r="M145" s="6"/>
    </row>
    <row r="146" customFormat="false" ht="16.5" hidden="false" customHeight="true" outlineLevel="0" collapsed="false">
      <c r="A146" s="95" t="str">
        <f aca="false">IF(AND(B146="",C146=""),"",ROW()-6)</f>
        <v/>
      </c>
      <c r="B146" s="83"/>
      <c r="C146" s="15"/>
      <c r="D146" s="15"/>
      <c r="E146" s="85"/>
      <c r="F146" s="15"/>
      <c r="G146" s="15"/>
      <c r="H146" s="96"/>
      <c r="I146" s="16"/>
      <c r="J146" s="37" t="str">
        <f aca="false">IF(I146="","",IF(H146="",1,H146)*I146)</f>
        <v/>
      </c>
      <c r="K146" s="15"/>
      <c r="L146" s="97" t="str">
        <f aca="false">IF(C146="","",IF(OR(C146="Material",C146="Equipo",C146="Suministro"),"Materiales y equipos",IF(C146="Mano de obra contratista","Mano de obra contratista",IF(C146="Transporte","Transporte y otros","Alquileres"))))</f>
        <v/>
      </c>
      <c r="M146" s="6"/>
    </row>
    <row r="147" customFormat="false" ht="16.5" hidden="false" customHeight="true" outlineLevel="0" collapsed="false">
      <c r="A147" s="95" t="str">
        <f aca="false">IF(AND(B147="",C147=""),"",ROW()-6)</f>
        <v/>
      </c>
      <c r="B147" s="83"/>
      <c r="C147" s="15"/>
      <c r="D147" s="15"/>
      <c r="E147" s="85"/>
      <c r="F147" s="15"/>
      <c r="G147" s="15"/>
      <c r="H147" s="96"/>
      <c r="I147" s="16"/>
      <c r="J147" s="37" t="str">
        <f aca="false">IF(I147="","",IF(H147="",1,H147)*I147)</f>
        <v/>
      </c>
      <c r="K147" s="15"/>
      <c r="L147" s="97" t="str">
        <f aca="false">IF(C147="","",IF(OR(C147="Material",C147="Equipo",C147="Suministro"),"Materiales y equipos",IF(C147="Mano de obra contratista","Mano de obra contratista",IF(C147="Transporte","Transporte y otros","Alquileres"))))</f>
        <v/>
      </c>
      <c r="M147" s="6"/>
    </row>
    <row r="148" customFormat="false" ht="16.5" hidden="false" customHeight="true" outlineLevel="0" collapsed="false">
      <c r="A148" s="95" t="str">
        <f aca="false">IF(AND(B148="",C148=""),"",ROW()-6)</f>
        <v/>
      </c>
      <c r="B148" s="83"/>
      <c r="C148" s="15"/>
      <c r="D148" s="15"/>
      <c r="E148" s="85"/>
      <c r="F148" s="15"/>
      <c r="G148" s="15"/>
      <c r="H148" s="96"/>
      <c r="I148" s="16"/>
      <c r="J148" s="37" t="str">
        <f aca="false">IF(I148="","",IF(H148="",1,H148)*I148)</f>
        <v/>
      </c>
      <c r="K148" s="15"/>
      <c r="L148" s="97" t="str">
        <f aca="false">IF(C148="","",IF(OR(C148="Material",C148="Equipo",C148="Suministro"),"Materiales y equipos",IF(C148="Mano de obra contratista","Mano de obra contratista",IF(C148="Transporte","Transporte y otros","Alquileres"))))</f>
        <v/>
      </c>
      <c r="M148" s="6"/>
    </row>
    <row r="149" customFormat="false" ht="16.5" hidden="false" customHeight="true" outlineLevel="0" collapsed="false">
      <c r="A149" s="95" t="str">
        <f aca="false">IF(AND(B149="",C149=""),"",ROW()-6)</f>
        <v/>
      </c>
      <c r="B149" s="83"/>
      <c r="C149" s="15"/>
      <c r="D149" s="15"/>
      <c r="E149" s="85"/>
      <c r="F149" s="15"/>
      <c r="G149" s="15"/>
      <c r="H149" s="96"/>
      <c r="I149" s="16"/>
      <c r="J149" s="37" t="str">
        <f aca="false">IF(I149="","",IF(H149="",1,H149)*I149)</f>
        <v/>
      </c>
      <c r="K149" s="15"/>
      <c r="L149" s="97" t="str">
        <f aca="false">IF(C149="","",IF(OR(C149="Material",C149="Equipo",C149="Suministro"),"Materiales y equipos",IF(C149="Mano de obra contratista","Mano de obra contratista",IF(C149="Transporte","Transporte y otros","Alquileres"))))</f>
        <v/>
      </c>
      <c r="M149" s="6"/>
    </row>
    <row r="150" customFormat="false" ht="16.5" hidden="false" customHeight="true" outlineLevel="0" collapsed="false">
      <c r="A150" s="95" t="str">
        <f aca="false">IF(AND(B150="",C150=""),"",ROW()-6)</f>
        <v/>
      </c>
      <c r="B150" s="83"/>
      <c r="C150" s="15"/>
      <c r="D150" s="15"/>
      <c r="E150" s="85"/>
      <c r="F150" s="15"/>
      <c r="G150" s="15"/>
      <c r="H150" s="96"/>
      <c r="I150" s="16"/>
      <c r="J150" s="37" t="str">
        <f aca="false">IF(I150="","",IF(H150="",1,H150)*I150)</f>
        <v/>
      </c>
      <c r="K150" s="15"/>
      <c r="L150" s="97" t="str">
        <f aca="false">IF(C150="","",IF(OR(C150="Material",C150="Equipo",C150="Suministro"),"Materiales y equipos",IF(C150="Mano de obra contratista","Mano de obra contratista",IF(C150="Transporte","Transporte y otros","Alquileres"))))</f>
        <v/>
      </c>
      <c r="M150" s="6"/>
    </row>
    <row r="151" customFormat="false" ht="16.5" hidden="false" customHeight="true" outlineLevel="0" collapsed="false">
      <c r="A151" s="95" t="str">
        <f aca="false">IF(AND(B151="",C151=""),"",ROW()-6)</f>
        <v/>
      </c>
      <c r="B151" s="83"/>
      <c r="C151" s="15"/>
      <c r="D151" s="15"/>
      <c r="E151" s="85"/>
      <c r="F151" s="15"/>
      <c r="G151" s="15"/>
      <c r="H151" s="96"/>
      <c r="I151" s="16"/>
      <c r="J151" s="37" t="str">
        <f aca="false">IF(I151="","",IF(H151="",1,H151)*I151)</f>
        <v/>
      </c>
      <c r="K151" s="15"/>
      <c r="L151" s="97" t="str">
        <f aca="false">IF(C151="","",IF(OR(C151="Material",C151="Equipo",C151="Suministro"),"Materiales y equipos",IF(C151="Mano de obra contratista","Mano de obra contratista",IF(C151="Transporte","Transporte y otros","Alquileres"))))</f>
        <v/>
      </c>
      <c r="M151" s="6"/>
    </row>
    <row r="152" customFormat="false" ht="16.5" hidden="false" customHeight="true" outlineLevel="0" collapsed="false">
      <c r="A152" s="95" t="str">
        <f aca="false">IF(AND(B152="",C152=""),"",ROW()-6)</f>
        <v/>
      </c>
      <c r="B152" s="83"/>
      <c r="C152" s="15"/>
      <c r="D152" s="15"/>
      <c r="E152" s="85"/>
      <c r="F152" s="15"/>
      <c r="G152" s="15"/>
      <c r="H152" s="96"/>
      <c r="I152" s="16"/>
      <c r="J152" s="37" t="str">
        <f aca="false">IF(I152="","",IF(H152="",1,H152)*I152)</f>
        <v/>
      </c>
      <c r="K152" s="15"/>
      <c r="L152" s="97" t="str">
        <f aca="false">IF(C152="","",IF(OR(C152="Material",C152="Equipo",C152="Suministro"),"Materiales y equipos",IF(C152="Mano de obra contratista","Mano de obra contratista",IF(C152="Transporte","Transporte y otros","Alquileres"))))</f>
        <v/>
      </c>
      <c r="M152" s="6"/>
    </row>
    <row r="153" customFormat="false" ht="16.5" hidden="false" customHeight="true" outlineLevel="0" collapsed="false">
      <c r="A153" s="95" t="str">
        <f aca="false">IF(AND(B153="",C153=""),"",ROW()-6)</f>
        <v/>
      </c>
      <c r="B153" s="83"/>
      <c r="C153" s="15"/>
      <c r="D153" s="15"/>
      <c r="E153" s="85"/>
      <c r="F153" s="15"/>
      <c r="G153" s="15"/>
      <c r="H153" s="96"/>
      <c r="I153" s="16"/>
      <c r="J153" s="37" t="str">
        <f aca="false">IF(I153="","",IF(H153="",1,H153)*I153)</f>
        <v/>
      </c>
      <c r="K153" s="15"/>
      <c r="L153" s="97" t="str">
        <f aca="false">IF(C153="","",IF(OR(C153="Material",C153="Equipo",C153="Suministro"),"Materiales y equipos",IF(C153="Mano de obra contratista","Mano de obra contratista",IF(C153="Transporte","Transporte y otros","Alquileres"))))</f>
        <v/>
      </c>
      <c r="M153" s="6"/>
    </row>
    <row r="154" customFormat="false" ht="16.5" hidden="false" customHeight="true" outlineLevel="0" collapsed="false">
      <c r="A154" s="95" t="str">
        <f aca="false">IF(AND(B154="",C154=""),"",ROW()-6)</f>
        <v/>
      </c>
      <c r="B154" s="83"/>
      <c r="C154" s="15"/>
      <c r="D154" s="15"/>
      <c r="E154" s="85"/>
      <c r="F154" s="15"/>
      <c r="G154" s="15"/>
      <c r="H154" s="96"/>
      <c r="I154" s="16"/>
      <c r="J154" s="37" t="str">
        <f aca="false">IF(I154="","",IF(H154="",1,H154)*I154)</f>
        <v/>
      </c>
      <c r="K154" s="15"/>
      <c r="L154" s="97" t="str">
        <f aca="false">IF(C154="","",IF(OR(C154="Material",C154="Equipo",C154="Suministro"),"Materiales y equipos",IF(C154="Mano de obra contratista","Mano de obra contratista",IF(C154="Transporte","Transporte y otros","Alquileres"))))</f>
        <v/>
      </c>
      <c r="M154" s="6"/>
    </row>
    <row r="155" customFormat="false" ht="16.5" hidden="false" customHeight="true" outlineLevel="0" collapsed="false">
      <c r="A155" s="95" t="str">
        <f aca="false">IF(AND(B155="",C155=""),"",ROW()-6)</f>
        <v/>
      </c>
      <c r="B155" s="83"/>
      <c r="C155" s="15"/>
      <c r="D155" s="15"/>
      <c r="E155" s="85"/>
      <c r="F155" s="15"/>
      <c r="G155" s="15"/>
      <c r="H155" s="96"/>
      <c r="I155" s="16"/>
      <c r="J155" s="37" t="str">
        <f aca="false">IF(I155="","",IF(H155="",1,H155)*I155)</f>
        <v/>
      </c>
      <c r="K155" s="15"/>
      <c r="L155" s="97" t="str">
        <f aca="false">IF(C155="","",IF(OR(C155="Material",C155="Equipo",C155="Suministro"),"Materiales y equipos",IF(C155="Mano de obra contratista","Mano de obra contratista",IF(C155="Transporte","Transporte y otros","Alquileres"))))</f>
        <v/>
      </c>
      <c r="M155" s="6"/>
    </row>
    <row r="156" customFormat="false" ht="16.5" hidden="false" customHeight="true" outlineLevel="0" collapsed="false">
      <c r="A156" s="95" t="str">
        <f aca="false">IF(AND(B156="",C156=""),"",ROW()-6)</f>
        <v/>
      </c>
      <c r="B156" s="83"/>
      <c r="C156" s="15"/>
      <c r="D156" s="15"/>
      <c r="E156" s="85"/>
      <c r="F156" s="15"/>
      <c r="G156" s="15"/>
      <c r="H156" s="96"/>
      <c r="I156" s="16"/>
      <c r="J156" s="37" t="str">
        <f aca="false">IF(I156="","",IF(H156="",1,H156)*I156)</f>
        <v/>
      </c>
      <c r="K156" s="15"/>
      <c r="L156" s="97" t="str">
        <f aca="false">IF(C156="","",IF(OR(C156="Material",C156="Equipo",C156="Suministro"),"Materiales y equipos",IF(C156="Mano de obra contratista","Mano de obra contratista",IF(C156="Transporte","Transporte y otros","Alquileres"))))</f>
        <v/>
      </c>
      <c r="M156" s="6"/>
    </row>
    <row r="157" customFormat="false" ht="16.5" hidden="false" customHeight="true" outlineLevel="0" collapsed="false">
      <c r="A157" s="95" t="str">
        <f aca="false">IF(AND(B157="",C157=""),"",ROW()-6)</f>
        <v/>
      </c>
      <c r="B157" s="83"/>
      <c r="C157" s="15"/>
      <c r="D157" s="15"/>
      <c r="E157" s="85"/>
      <c r="F157" s="15"/>
      <c r="G157" s="15"/>
      <c r="H157" s="96"/>
      <c r="I157" s="16"/>
      <c r="J157" s="37" t="str">
        <f aca="false">IF(I157="","",IF(H157="",1,H157)*I157)</f>
        <v/>
      </c>
      <c r="K157" s="15"/>
      <c r="L157" s="97" t="str">
        <f aca="false">IF(C157="","",IF(OR(C157="Material",C157="Equipo",C157="Suministro"),"Materiales y equipos",IF(C157="Mano de obra contratista","Mano de obra contratista",IF(C157="Transporte","Transporte y otros","Alquileres"))))</f>
        <v/>
      </c>
      <c r="M157" s="6"/>
    </row>
    <row r="158" customFormat="false" ht="16.5" hidden="false" customHeight="true" outlineLevel="0" collapsed="false">
      <c r="A158" s="95" t="str">
        <f aca="false">IF(AND(B158="",C158=""),"",ROW()-6)</f>
        <v/>
      </c>
      <c r="B158" s="83"/>
      <c r="C158" s="15"/>
      <c r="D158" s="15"/>
      <c r="E158" s="85"/>
      <c r="F158" s="15"/>
      <c r="G158" s="15"/>
      <c r="H158" s="96"/>
      <c r="I158" s="16"/>
      <c r="J158" s="37" t="str">
        <f aca="false">IF(I158="","",IF(H158="",1,H158)*I158)</f>
        <v/>
      </c>
      <c r="K158" s="15"/>
      <c r="L158" s="97" t="str">
        <f aca="false">IF(C158="","",IF(OR(C158="Material",C158="Equipo",C158="Suministro"),"Materiales y equipos",IF(C158="Mano de obra contratista","Mano de obra contratista",IF(C158="Transporte","Transporte y otros","Alquileres"))))</f>
        <v/>
      </c>
      <c r="M158" s="6"/>
    </row>
    <row r="159" customFormat="false" ht="16.5" hidden="false" customHeight="true" outlineLevel="0" collapsed="false">
      <c r="A159" s="95" t="str">
        <f aca="false">IF(AND(B159="",C159=""),"",ROW()-6)</f>
        <v/>
      </c>
      <c r="B159" s="83"/>
      <c r="C159" s="15"/>
      <c r="D159" s="15"/>
      <c r="E159" s="85"/>
      <c r="F159" s="15"/>
      <c r="G159" s="15"/>
      <c r="H159" s="96"/>
      <c r="I159" s="16"/>
      <c r="J159" s="37" t="str">
        <f aca="false">IF(I159="","",IF(H159="",1,H159)*I159)</f>
        <v/>
      </c>
      <c r="K159" s="15"/>
      <c r="L159" s="97" t="str">
        <f aca="false">IF(C159="","",IF(OR(C159="Material",C159="Equipo",C159="Suministro"),"Materiales y equipos",IF(C159="Mano de obra contratista","Mano de obra contratista",IF(C159="Transporte","Transporte y otros","Alquileres"))))</f>
        <v/>
      </c>
      <c r="M159" s="6"/>
    </row>
    <row r="160" customFormat="false" ht="16.5" hidden="false" customHeight="true" outlineLevel="0" collapsed="false">
      <c r="A160" s="95" t="str">
        <f aca="false">IF(AND(B160="",C160=""),"",ROW()-6)</f>
        <v/>
      </c>
      <c r="B160" s="83"/>
      <c r="C160" s="15"/>
      <c r="D160" s="15"/>
      <c r="E160" s="85"/>
      <c r="F160" s="15"/>
      <c r="G160" s="15"/>
      <c r="H160" s="96"/>
      <c r="I160" s="16"/>
      <c r="J160" s="37" t="str">
        <f aca="false">IF(I160="","",IF(H160="",1,H160)*I160)</f>
        <v/>
      </c>
      <c r="K160" s="15"/>
      <c r="L160" s="97" t="str">
        <f aca="false">IF(C160="","",IF(OR(C160="Material",C160="Equipo",C160="Suministro"),"Materiales y equipos",IF(C160="Mano de obra contratista","Mano de obra contratista",IF(C160="Transporte","Transporte y otros","Alquileres"))))</f>
        <v/>
      </c>
      <c r="M160" s="6"/>
    </row>
    <row r="161" customFormat="false" ht="16.5" hidden="false" customHeight="true" outlineLevel="0" collapsed="false">
      <c r="A161" s="95" t="str">
        <f aca="false">IF(AND(B161="",C161=""),"",ROW()-6)</f>
        <v/>
      </c>
      <c r="B161" s="83"/>
      <c r="C161" s="15"/>
      <c r="D161" s="15"/>
      <c r="E161" s="85"/>
      <c r="F161" s="15"/>
      <c r="G161" s="15"/>
      <c r="H161" s="96"/>
      <c r="I161" s="16"/>
      <c r="J161" s="37" t="str">
        <f aca="false">IF(I161="","",IF(H161="",1,H161)*I161)</f>
        <v/>
      </c>
      <c r="K161" s="15"/>
      <c r="L161" s="97" t="str">
        <f aca="false">IF(C161="","",IF(OR(C161="Material",C161="Equipo",C161="Suministro"),"Materiales y equipos",IF(C161="Mano de obra contratista","Mano de obra contratista",IF(C161="Transporte","Transporte y otros","Alquileres"))))</f>
        <v/>
      </c>
      <c r="M161" s="6"/>
    </row>
    <row r="162" customFormat="false" ht="16.5" hidden="false" customHeight="true" outlineLevel="0" collapsed="false">
      <c r="A162" s="95" t="str">
        <f aca="false">IF(AND(B162="",C162=""),"",ROW()-6)</f>
        <v/>
      </c>
      <c r="B162" s="83"/>
      <c r="C162" s="15"/>
      <c r="D162" s="15"/>
      <c r="E162" s="85"/>
      <c r="F162" s="15"/>
      <c r="G162" s="15"/>
      <c r="H162" s="96"/>
      <c r="I162" s="16"/>
      <c r="J162" s="37" t="str">
        <f aca="false">IF(I162="","",IF(H162="",1,H162)*I162)</f>
        <v/>
      </c>
      <c r="K162" s="15"/>
      <c r="L162" s="97" t="str">
        <f aca="false">IF(C162="","",IF(OR(C162="Material",C162="Equipo",C162="Suministro"),"Materiales y equipos",IF(C162="Mano de obra contratista","Mano de obra contratista",IF(C162="Transporte","Transporte y otros","Alquileres"))))</f>
        <v/>
      </c>
      <c r="M162" s="6"/>
    </row>
    <row r="163" customFormat="false" ht="16.5" hidden="false" customHeight="true" outlineLevel="0" collapsed="false">
      <c r="A163" s="95" t="str">
        <f aca="false">IF(AND(B163="",C163=""),"",ROW()-6)</f>
        <v/>
      </c>
      <c r="B163" s="83"/>
      <c r="C163" s="15"/>
      <c r="D163" s="15"/>
      <c r="E163" s="85"/>
      <c r="F163" s="15"/>
      <c r="G163" s="15"/>
      <c r="H163" s="96"/>
      <c r="I163" s="16"/>
      <c r="J163" s="37" t="str">
        <f aca="false">IF(I163="","",IF(H163="",1,H163)*I163)</f>
        <v/>
      </c>
      <c r="K163" s="15"/>
      <c r="L163" s="97" t="str">
        <f aca="false">IF(C163="","",IF(OR(C163="Material",C163="Equipo",C163="Suministro"),"Materiales y equipos",IF(C163="Mano de obra contratista","Mano de obra contratista",IF(C163="Transporte","Transporte y otros","Alquileres"))))</f>
        <v/>
      </c>
      <c r="M163" s="6"/>
    </row>
    <row r="164" customFormat="false" ht="16.5" hidden="false" customHeight="true" outlineLevel="0" collapsed="false">
      <c r="A164" s="95" t="str">
        <f aca="false">IF(AND(B164="",C164=""),"",ROW()-6)</f>
        <v/>
      </c>
      <c r="B164" s="83"/>
      <c r="C164" s="15"/>
      <c r="D164" s="15"/>
      <c r="E164" s="85"/>
      <c r="F164" s="15"/>
      <c r="G164" s="15"/>
      <c r="H164" s="96"/>
      <c r="I164" s="16"/>
      <c r="J164" s="37" t="str">
        <f aca="false">IF(I164="","",IF(H164="",1,H164)*I164)</f>
        <v/>
      </c>
      <c r="K164" s="15"/>
      <c r="L164" s="97" t="str">
        <f aca="false">IF(C164="","",IF(OR(C164="Material",C164="Equipo",C164="Suministro"),"Materiales y equipos",IF(C164="Mano de obra contratista","Mano de obra contratista",IF(C164="Transporte","Transporte y otros","Alquileres"))))</f>
        <v/>
      </c>
      <c r="M164" s="6"/>
    </row>
    <row r="165" customFormat="false" ht="16.5" hidden="false" customHeight="true" outlineLevel="0" collapsed="false">
      <c r="A165" s="95" t="str">
        <f aca="false">IF(AND(B165="",C165=""),"",ROW()-6)</f>
        <v/>
      </c>
      <c r="B165" s="83"/>
      <c r="C165" s="15"/>
      <c r="D165" s="15"/>
      <c r="E165" s="85"/>
      <c r="F165" s="15"/>
      <c r="G165" s="15"/>
      <c r="H165" s="96"/>
      <c r="I165" s="16"/>
      <c r="J165" s="37" t="str">
        <f aca="false">IF(I165="","",IF(H165="",1,H165)*I165)</f>
        <v/>
      </c>
      <c r="K165" s="15"/>
      <c r="L165" s="97" t="str">
        <f aca="false">IF(C165="","",IF(OR(C165="Material",C165="Equipo",C165="Suministro"),"Materiales y equipos",IF(C165="Mano de obra contratista","Mano de obra contratista",IF(C165="Transporte","Transporte y otros","Alquileres"))))</f>
        <v/>
      </c>
      <c r="M165" s="6"/>
    </row>
    <row r="166" customFormat="false" ht="16.5" hidden="false" customHeight="true" outlineLevel="0" collapsed="false">
      <c r="A166" s="95" t="str">
        <f aca="false">IF(AND(B166="",C166=""),"",ROW()-6)</f>
        <v/>
      </c>
      <c r="B166" s="83"/>
      <c r="C166" s="15"/>
      <c r="D166" s="15"/>
      <c r="E166" s="85"/>
      <c r="F166" s="15"/>
      <c r="G166" s="15"/>
      <c r="H166" s="96"/>
      <c r="I166" s="16"/>
      <c r="J166" s="37" t="str">
        <f aca="false">IF(I166="","",IF(H166="",1,H166)*I166)</f>
        <v/>
      </c>
      <c r="K166" s="15"/>
      <c r="L166" s="97" t="str">
        <f aca="false">IF(C166="","",IF(OR(C166="Material",C166="Equipo",C166="Suministro"),"Materiales y equipos",IF(C166="Mano de obra contratista","Mano de obra contratista",IF(C166="Transporte","Transporte y otros","Alquileres"))))</f>
        <v/>
      </c>
      <c r="M166" s="6"/>
    </row>
    <row r="167" customFormat="false" ht="16.5" hidden="false" customHeight="true" outlineLevel="0" collapsed="false">
      <c r="A167" s="95" t="str">
        <f aca="false">IF(AND(B167="",C167=""),"",ROW()-6)</f>
        <v/>
      </c>
      <c r="B167" s="83"/>
      <c r="C167" s="15"/>
      <c r="D167" s="15"/>
      <c r="E167" s="85"/>
      <c r="F167" s="15"/>
      <c r="G167" s="15"/>
      <c r="H167" s="96"/>
      <c r="I167" s="16"/>
      <c r="J167" s="37" t="str">
        <f aca="false">IF(I167="","",IF(H167="",1,H167)*I167)</f>
        <v/>
      </c>
      <c r="K167" s="15"/>
      <c r="L167" s="97" t="str">
        <f aca="false">IF(C167="","",IF(OR(C167="Material",C167="Equipo",C167="Suministro"),"Materiales y equipos",IF(C167="Mano de obra contratista","Mano de obra contratista",IF(C167="Transporte","Transporte y otros","Alquileres"))))</f>
        <v/>
      </c>
      <c r="M167" s="6"/>
    </row>
    <row r="168" customFormat="false" ht="16.5" hidden="false" customHeight="true" outlineLevel="0" collapsed="false">
      <c r="A168" s="95" t="str">
        <f aca="false">IF(AND(B168="",C168=""),"",ROW()-6)</f>
        <v/>
      </c>
      <c r="B168" s="83"/>
      <c r="C168" s="15"/>
      <c r="D168" s="15"/>
      <c r="E168" s="85"/>
      <c r="F168" s="15"/>
      <c r="G168" s="15"/>
      <c r="H168" s="96"/>
      <c r="I168" s="16"/>
      <c r="J168" s="37" t="str">
        <f aca="false">IF(I168="","",IF(H168="",1,H168)*I168)</f>
        <v/>
      </c>
      <c r="K168" s="15"/>
      <c r="L168" s="97" t="str">
        <f aca="false">IF(C168="","",IF(OR(C168="Material",C168="Equipo",C168="Suministro"),"Materiales y equipos",IF(C168="Mano de obra contratista","Mano de obra contratista",IF(C168="Transporte","Transporte y otros","Alquileres"))))</f>
        <v/>
      </c>
      <c r="M168" s="6"/>
    </row>
    <row r="169" customFormat="false" ht="16.5" hidden="false" customHeight="true" outlineLevel="0" collapsed="false">
      <c r="A169" s="95" t="str">
        <f aca="false">IF(AND(B169="",C169=""),"",ROW()-6)</f>
        <v/>
      </c>
      <c r="B169" s="83"/>
      <c r="C169" s="15"/>
      <c r="D169" s="15"/>
      <c r="E169" s="85"/>
      <c r="F169" s="15"/>
      <c r="G169" s="15"/>
      <c r="H169" s="96"/>
      <c r="I169" s="16"/>
      <c r="J169" s="37" t="str">
        <f aca="false">IF(I169="","",IF(H169="",1,H169)*I169)</f>
        <v/>
      </c>
      <c r="K169" s="15"/>
      <c r="L169" s="97" t="str">
        <f aca="false">IF(C169="","",IF(OR(C169="Material",C169="Equipo",C169="Suministro"),"Materiales y equipos",IF(C169="Mano de obra contratista","Mano de obra contratista",IF(C169="Transporte","Transporte y otros","Alquileres"))))</f>
        <v/>
      </c>
      <c r="M169" s="6"/>
    </row>
    <row r="170" customFormat="false" ht="16.5" hidden="false" customHeight="true" outlineLevel="0" collapsed="false">
      <c r="A170" s="95" t="str">
        <f aca="false">IF(AND(B170="",C170=""),"",ROW()-6)</f>
        <v/>
      </c>
      <c r="B170" s="83"/>
      <c r="C170" s="15"/>
      <c r="D170" s="15"/>
      <c r="E170" s="85"/>
      <c r="F170" s="15"/>
      <c r="G170" s="15"/>
      <c r="H170" s="96"/>
      <c r="I170" s="16"/>
      <c r="J170" s="37" t="str">
        <f aca="false">IF(I170="","",IF(H170="",1,H170)*I170)</f>
        <v/>
      </c>
      <c r="K170" s="15"/>
      <c r="L170" s="97" t="str">
        <f aca="false">IF(C170="","",IF(OR(C170="Material",C170="Equipo",C170="Suministro"),"Materiales y equipos",IF(C170="Mano de obra contratista","Mano de obra contratista",IF(C170="Transporte","Transporte y otros","Alquileres"))))</f>
        <v/>
      </c>
      <c r="M170" s="6"/>
    </row>
    <row r="171" customFormat="false" ht="16.5" hidden="false" customHeight="true" outlineLevel="0" collapsed="false">
      <c r="A171" s="95" t="str">
        <f aca="false">IF(AND(B171="",C171=""),"",ROW()-6)</f>
        <v/>
      </c>
      <c r="B171" s="83"/>
      <c r="C171" s="15"/>
      <c r="D171" s="15"/>
      <c r="E171" s="85"/>
      <c r="F171" s="15"/>
      <c r="G171" s="15"/>
      <c r="H171" s="96"/>
      <c r="I171" s="16"/>
      <c r="J171" s="37" t="str">
        <f aca="false">IF(I171="","",IF(H171="",1,H171)*I171)</f>
        <v/>
      </c>
      <c r="K171" s="15"/>
      <c r="L171" s="97" t="str">
        <f aca="false">IF(C171="","",IF(OR(C171="Material",C171="Equipo",C171="Suministro"),"Materiales y equipos",IF(C171="Mano de obra contratista","Mano de obra contratista",IF(C171="Transporte","Transporte y otros","Alquileres"))))</f>
        <v/>
      </c>
      <c r="M171" s="6"/>
    </row>
    <row r="172" customFormat="false" ht="16.5" hidden="false" customHeight="true" outlineLevel="0" collapsed="false">
      <c r="A172" s="95" t="str">
        <f aca="false">IF(AND(B172="",C172=""),"",ROW()-6)</f>
        <v/>
      </c>
      <c r="B172" s="83"/>
      <c r="C172" s="15"/>
      <c r="D172" s="15"/>
      <c r="E172" s="85"/>
      <c r="F172" s="15"/>
      <c r="G172" s="15"/>
      <c r="H172" s="96"/>
      <c r="I172" s="16"/>
      <c r="J172" s="37" t="str">
        <f aca="false">IF(I172="","",IF(H172="",1,H172)*I172)</f>
        <v/>
      </c>
      <c r="K172" s="15"/>
      <c r="L172" s="97" t="str">
        <f aca="false">IF(C172="","",IF(OR(C172="Material",C172="Equipo",C172="Suministro"),"Materiales y equipos",IF(C172="Mano de obra contratista","Mano de obra contratista",IF(C172="Transporte","Transporte y otros","Alquileres"))))</f>
        <v/>
      </c>
      <c r="M172" s="6"/>
    </row>
    <row r="173" customFormat="false" ht="16.5" hidden="false" customHeight="true" outlineLevel="0" collapsed="false">
      <c r="A173" s="95" t="str">
        <f aca="false">IF(AND(B173="",C173=""),"",ROW()-6)</f>
        <v/>
      </c>
      <c r="B173" s="83"/>
      <c r="C173" s="15"/>
      <c r="D173" s="15"/>
      <c r="E173" s="85"/>
      <c r="F173" s="15"/>
      <c r="G173" s="15"/>
      <c r="H173" s="96"/>
      <c r="I173" s="16"/>
      <c r="J173" s="37" t="str">
        <f aca="false">IF(I173="","",IF(H173="",1,H173)*I173)</f>
        <v/>
      </c>
      <c r="K173" s="15"/>
      <c r="L173" s="97" t="str">
        <f aca="false">IF(C173="","",IF(OR(C173="Material",C173="Equipo",C173="Suministro"),"Materiales y equipos",IF(C173="Mano de obra contratista","Mano de obra contratista",IF(C173="Transporte","Transporte y otros","Alquileres"))))</f>
        <v/>
      </c>
      <c r="M173" s="6"/>
    </row>
    <row r="174" customFormat="false" ht="16.5" hidden="false" customHeight="true" outlineLevel="0" collapsed="false">
      <c r="A174" s="95" t="str">
        <f aca="false">IF(AND(B174="",C174=""),"",ROW()-6)</f>
        <v/>
      </c>
      <c r="B174" s="83"/>
      <c r="C174" s="15"/>
      <c r="D174" s="15"/>
      <c r="E174" s="85"/>
      <c r="F174" s="15"/>
      <c r="G174" s="15"/>
      <c r="H174" s="96"/>
      <c r="I174" s="16"/>
      <c r="J174" s="37" t="str">
        <f aca="false">IF(I174="","",IF(H174="",1,H174)*I174)</f>
        <v/>
      </c>
      <c r="K174" s="15"/>
      <c r="L174" s="97" t="str">
        <f aca="false">IF(C174="","",IF(OR(C174="Material",C174="Equipo",C174="Suministro"),"Materiales y equipos",IF(C174="Mano de obra contratista","Mano de obra contratista",IF(C174="Transporte","Transporte y otros","Alquileres"))))</f>
        <v/>
      </c>
      <c r="M174" s="6"/>
    </row>
    <row r="175" customFormat="false" ht="16.5" hidden="false" customHeight="true" outlineLevel="0" collapsed="false">
      <c r="A175" s="95" t="str">
        <f aca="false">IF(AND(B175="",C175=""),"",ROW()-6)</f>
        <v/>
      </c>
      <c r="B175" s="83"/>
      <c r="C175" s="15"/>
      <c r="D175" s="15"/>
      <c r="E175" s="85"/>
      <c r="F175" s="15"/>
      <c r="G175" s="15"/>
      <c r="H175" s="96"/>
      <c r="I175" s="16"/>
      <c r="J175" s="37" t="str">
        <f aca="false">IF(I175="","",IF(H175="",1,H175)*I175)</f>
        <v/>
      </c>
      <c r="K175" s="15"/>
      <c r="L175" s="97" t="str">
        <f aca="false">IF(C175="","",IF(OR(C175="Material",C175="Equipo",C175="Suministro"),"Materiales y equipos",IF(C175="Mano de obra contratista","Mano de obra contratista",IF(C175="Transporte","Transporte y otros","Alquileres"))))</f>
        <v/>
      </c>
      <c r="M175" s="6"/>
    </row>
    <row r="176" customFormat="false" ht="16.5" hidden="false" customHeight="true" outlineLevel="0" collapsed="false">
      <c r="A176" s="95" t="str">
        <f aca="false">IF(AND(B176="",C176=""),"",ROW()-6)</f>
        <v/>
      </c>
      <c r="B176" s="83"/>
      <c r="C176" s="15"/>
      <c r="D176" s="15"/>
      <c r="E176" s="85"/>
      <c r="F176" s="15"/>
      <c r="G176" s="15"/>
      <c r="H176" s="96"/>
      <c r="I176" s="16"/>
      <c r="J176" s="37" t="str">
        <f aca="false">IF(I176="","",IF(H176="",1,H176)*I176)</f>
        <v/>
      </c>
      <c r="K176" s="15"/>
      <c r="L176" s="97" t="str">
        <f aca="false">IF(C176="","",IF(OR(C176="Material",C176="Equipo",C176="Suministro"),"Materiales y equipos",IF(C176="Mano de obra contratista","Mano de obra contratista",IF(C176="Transporte","Transporte y otros","Alquileres"))))</f>
        <v/>
      </c>
      <c r="M176" s="6"/>
    </row>
    <row r="177" customFormat="false" ht="16.5" hidden="false" customHeight="true" outlineLevel="0" collapsed="false">
      <c r="A177" s="95" t="str">
        <f aca="false">IF(AND(B177="",C177=""),"",ROW()-6)</f>
        <v/>
      </c>
      <c r="B177" s="83"/>
      <c r="C177" s="15"/>
      <c r="D177" s="15"/>
      <c r="E177" s="85"/>
      <c r="F177" s="15"/>
      <c r="G177" s="15"/>
      <c r="H177" s="96"/>
      <c r="I177" s="16"/>
      <c r="J177" s="37" t="str">
        <f aca="false">IF(I177="","",IF(H177="",1,H177)*I177)</f>
        <v/>
      </c>
      <c r="K177" s="15"/>
      <c r="L177" s="97" t="str">
        <f aca="false">IF(C177="","",IF(OR(C177="Material",C177="Equipo",C177="Suministro"),"Materiales y equipos",IF(C177="Mano de obra contratista","Mano de obra contratista",IF(C177="Transporte","Transporte y otros","Alquileres"))))</f>
        <v/>
      </c>
      <c r="M177" s="6"/>
    </row>
    <row r="178" customFormat="false" ht="16.5" hidden="false" customHeight="true" outlineLevel="0" collapsed="false">
      <c r="A178" s="95" t="str">
        <f aca="false">IF(AND(B178="",C178=""),"",ROW()-6)</f>
        <v/>
      </c>
      <c r="B178" s="83"/>
      <c r="C178" s="15"/>
      <c r="D178" s="15"/>
      <c r="E178" s="85"/>
      <c r="F178" s="15"/>
      <c r="G178" s="15"/>
      <c r="H178" s="96"/>
      <c r="I178" s="16"/>
      <c r="J178" s="37" t="str">
        <f aca="false">IF(I178="","",IF(H178="",1,H178)*I178)</f>
        <v/>
      </c>
      <c r="K178" s="15"/>
      <c r="L178" s="97" t="str">
        <f aca="false">IF(C178="","",IF(OR(C178="Material",C178="Equipo",C178="Suministro"),"Materiales y equipos",IF(C178="Mano de obra contratista","Mano de obra contratista",IF(C178="Transporte","Transporte y otros","Alquileres"))))</f>
        <v/>
      </c>
      <c r="M178" s="6"/>
    </row>
    <row r="179" customFormat="false" ht="16.5" hidden="false" customHeight="true" outlineLevel="0" collapsed="false">
      <c r="A179" s="95" t="str">
        <f aca="false">IF(AND(B179="",C179=""),"",ROW()-6)</f>
        <v/>
      </c>
      <c r="B179" s="83"/>
      <c r="C179" s="15"/>
      <c r="D179" s="15"/>
      <c r="E179" s="85"/>
      <c r="F179" s="15"/>
      <c r="G179" s="15"/>
      <c r="H179" s="96"/>
      <c r="I179" s="16"/>
      <c r="J179" s="37" t="str">
        <f aca="false">IF(I179="","",IF(H179="",1,H179)*I179)</f>
        <v/>
      </c>
      <c r="K179" s="15"/>
      <c r="L179" s="97" t="str">
        <f aca="false">IF(C179="","",IF(OR(C179="Material",C179="Equipo",C179="Suministro"),"Materiales y equipos",IF(C179="Mano de obra contratista","Mano de obra contratista",IF(C179="Transporte","Transporte y otros","Alquileres"))))</f>
        <v/>
      </c>
      <c r="M179" s="6"/>
    </row>
    <row r="180" customFormat="false" ht="16.5" hidden="false" customHeight="true" outlineLevel="0" collapsed="false">
      <c r="A180" s="95" t="str">
        <f aca="false">IF(AND(B180="",C180=""),"",ROW()-6)</f>
        <v/>
      </c>
      <c r="B180" s="83"/>
      <c r="C180" s="15"/>
      <c r="D180" s="15"/>
      <c r="E180" s="85"/>
      <c r="F180" s="15"/>
      <c r="G180" s="15"/>
      <c r="H180" s="96"/>
      <c r="I180" s="16"/>
      <c r="J180" s="37" t="str">
        <f aca="false">IF(I180="","",IF(H180="",1,H180)*I180)</f>
        <v/>
      </c>
      <c r="K180" s="15"/>
      <c r="L180" s="97" t="str">
        <f aca="false">IF(C180="","",IF(OR(C180="Material",C180="Equipo",C180="Suministro"),"Materiales y equipos",IF(C180="Mano de obra contratista","Mano de obra contratista",IF(C180="Transporte","Transporte y otros","Alquileres"))))</f>
        <v/>
      </c>
      <c r="M180" s="6"/>
    </row>
    <row r="181" customFormat="false" ht="16.5" hidden="false" customHeight="true" outlineLevel="0" collapsed="false">
      <c r="A181" s="95" t="str">
        <f aca="false">IF(AND(B181="",C181=""),"",ROW()-6)</f>
        <v/>
      </c>
      <c r="B181" s="83"/>
      <c r="C181" s="15"/>
      <c r="D181" s="15"/>
      <c r="E181" s="85"/>
      <c r="F181" s="15"/>
      <c r="G181" s="15"/>
      <c r="H181" s="96"/>
      <c r="I181" s="16"/>
      <c r="J181" s="37" t="str">
        <f aca="false">IF(I181="","",IF(H181="",1,H181)*I181)</f>
        <v/>
      </c>
      <c r="K181" s="15"/>
      <c r="L181" s="97" t="str">
        <f aca="false">IF(C181="","",IF(OR(C181="Material",C181="Equipo",C181="Suministro"),"Materiales y equipos",IF(C181="Mano de obra contratista","Mano de obra contratista",IF(C181="Transporte","Transporte y otros","Alquileres"))))</f>
        <v/>
      </c>
      <c r="M181" s="6"/>
    </row>
    <row r="182" customFormat="false" ht="16.5" hidden="false" customHeight="true" outlineLevel="0" collapsed="false">
      <c r="A182" s="95" t="str">
        <f aca="false">IF(AND(B182="",C182=""),"",ROW()-6)</f>
        <v/>
      </c>
      <c r="B182" s="83"/>
      <c r="C182" s="15"/>
      <c r="D182" s="15"/>
      <c r="E182" s="85"/>
      <c r="F182" s="15"/>
      <c r="G182" s="15"/>
      <c r="H182" s="96"/>
      <c r="I182" s="16"/>
      <c r="J182" s="37" t="str">
        <f aca="false">IF(I182="","",IF(H182="",1,H182)*I182)</f>
        <v/>
      </c>
      <c r="K182" s="15"/>
      <c r="L182" s="97" t="str">
        <f aca="false">IF(C182="","",IF(OR(C182="Material",C182="Equipo",C182="Suministro"),"Materiales y equipos",IF(C182="Mano de obra contratista","Mano de obra contratista",IF(C182="Transporte","Transporte y otros","Alquileres"))))</f>
        <v/>
      </c>
      <c r="M182" s="6"/>
    </row>
    <row r="183" customFormat="false" ht="16.5" hidden="false" customHeight="true" outlineLevel="0" collapsed="false">
      <c r="A183" s="95" t="str">
        <f aca="false">IF(AND(B183="",C183=""),"",ROW()-6)</f>
        <v/>
      </c>
      <c r="B183" s="83"/>
      <c r="C183" s="15"/>
      <c r="D183" s="15"/>
      <c r="E183" s="85"/>
      <c r="F183" s="15"/>
      <c r="G183" s="15"/>
      <c r="H183" s="96"/>
      <c r="I183" s="16"/>
      <c r="J183" s="37" t="str">
        <f aca="false">IF(I183="","",IF(H183="",1,H183)*I183)</f>
        <v/>
      </c>
      <c r="K183" s="15"/>
      <c r="L183" s="97" t="str">
        <f aca="false">IF(C183="","",IF(OR(C183="Material",C183="Equipo",C183="Suministro"),"Materiales y equipos",IF(C183="Mano de obra contratista","Mano de obra contratista",IF(C183="Transporte","Transporte y otros","Alquileres"))))</f>
        <v/>
      </c>
      <c r="M183" s="6"/>
    </row>
    <row r="184" customFormat="false" ht="16.5" hidden="false" customHeight="true" outlineLevel="0" collapsed="false">
      <c r="A184" s="95" t="str">
        <f aca="false">IF(AND(B184="",C184=""),"",ROW()-6)</f>
        <v/>
      </c>
      <c r="B184" s="83"/>
      <c r="C184" s="15"/>
      <c r="D184" s="15"/>
      <c r="E184" s="85"/>
      <c r="F184" s="15"/>
      <c r="G184" s="15"/>
      <c r="H184" s="96"/>
      <c r="I184" s="16"/>
      <c r="J184" s="37" t="str">
        <f aca="false">IF(I184="","",IF(H184="",1,H184)*I184)</f>
        <v/>
      </c>
      <c r="K184" s="15"/>
      <c r="L184" s="97" t="str">
        <f aca="false">IF(C184="","",IF(OR(C184="Material",C184="Equipo",C184="Suministro"),"Materiales y equipos",IF(C184="Mano de obra contratista","Mano de obra contratista",IF(C184="Transporte","Transporte y otros","Alquileres"))))</f>
        <v/>
      </c>
      <c r="M184" s="6"/>
    </row>
    <row r="185" customFormat="false" ht="16.5" hidden="false" customHeight="true" outlineLevel="0" collapsed="false">
      <c r="A185" s="95" t="str">
        <f aca="false">IF(AND(B185="",C185=""),"",ROW()-6)</f>
        <v/>
      </c>
      <c r="B185" s="83"/>
      <c r="C185" s="15"/>
      <c r="D185" s="15"/>
      <c r="E185" s="85"/>
      <c r="F185" s="15"/>
      <c r="G185" s="15"/>
      <c r="H185" s="96"/>
      <c r="I185" s="16"/>
      <c r="J185" s="37" t="str">
        <f aca="false">IF(I185="","",IF(H185="",1,H185)*I185)</f>
        <v/>
      </c>
      <c r="K185" s="15"/>
      <c r="L185" s="97" t="str">
        <f aca="false">IF(C185="","",IF(OR(C185="Material",C185="Equipo",C185="Suministro"),"Materiales y equipos",IF(C185="Mano de obra contratista","Mano de obra contratista",IF(C185="Transporte","Transporte y otros","Alquileres"))))</f>
        <v/>
      </c>
      <c r="M185" s="6"/>
    </row>
    <row r="186" customFormat="false" ht="16.5" hidden="false" customHeight="true" outlineLevel="0" collapsed="false">
      <c r="A186" s="95" t="str">
        <f aca="false">IF(AND(B186="",C186=""),"",ROW()-6)</f>
        <v/>
      </c>
      <c r="B186" s="83"/>
      <c r="C186" s="15"/>
      <c r="D186" s="15"/>
      <c r="E186" s="85"/>
      <c r="F186" s="15"/>
      <c r="G186" s="15"/>
      <c r="H186" s="96"/>
      <c r="I186" s="16"/>
      <c r="J186" s="37" t="str">
        <f aca="false">IF(I186="","",IF(H186="",1,H186)*I186)</f>
        <v/>
      </c>
      <c r="K186" s="15"/>
      <c r="L186" s="97" t="str">
        <f aca="false">IF(C186="","",IF(OR(C186="Material",C186="Equipo",C186="Suministro"),"Materiales y equipos",IF(C186="Mano de obra contratista","Mano de obra contratista",IF(C186="Transporte","Transporte y otros","Alquileres"))))</f>
        <v/>
      </c>
      <c r="M186" s="6"/>
    </row>
    <row r="187" customFormat="false" ht="16.5" hidden="false" customHeight="true" outlineLevel="0" collapsed="false">
      <c r="A187" s="95" t="str">
        <f aca="false">IF(AND(B187="",C187=""),"",ROW()-6)</f>
        <v/>
      </c>
      <c r="B187" s="83"/>
      <c r="C187" s="15"/>
      <c r="D187" s="15"/>
      <c r="E187" s="85"/>
      <c r="F187" s="15"/>
      <c r="G187" s="15"/>
      <c r="H187" s="96"/>
      <c r="I187" s="16"/>
      <c r="J187" s="37" t="str">
        <f aca="false">IF(I187="","",IF(H187="",1,H187)*I187)</f>
        <v/>
      </c>
      <c r="K187" s="15"/>
      <c r="L187" s="97" t="str">
        <f aca="false">IF(C187="","",IF(OR(C187="Material",C187="Equipo",C187="Suministro"),"Materiales y equipos",IF(C187="Mano de obra contratista","Mano de obra contratista",IF(C187="Transporte","Transporte y otros","Alquileres"))))</f>
        <v/>
      </c>
      <c r="M187" s="6"/>
    </row>
    <row r="188" customFormat="false" ht="16.5" hidden="false" customHeight="true" outlineLevel="0" collapsed="false">
      <c r="A188" s="95" t="str">
        <f aca="false">IF(AND(B188="",C188=""),"",ROW()-6)</f>
        <v/>
      </c>
      <c r="B188" s="83"/>
      <c r="C188" s="15"/>
      <c r="D188" s="15"/>
      <c r="E188" s="85"/>
      <c r="F188" s="15"/>
      <c r="G188" s="15"/>
      <c r="H188" s="96"/>
      <c r="I188" s="16"/>
      <c r="J188" s="37" t="str">
        <f aca="false">IF(I188="","",IF(H188="",1,H188)*I188)</f>
        <v/>
      </c>
      <c r="K188" s="15"/>
      <c r="L188" s="97" t="str">
        <f aca="false">IF(C188="","",IF(OR(C188="Material",C188="Equipo",C188="Suministro"),"Materiales y equipos",IF(C188="Mano de obra contratista","Mano de obra contratista",IF(C188="Transporte","Transporte y otros","Alquileres"))))</f>
        <v/>
      </c>
      <c r="M188" s="6"/>
    </row>
    <row r="189" customFormat="false" ht="16.5" hidden="false" customHeight="true" outlineLevel="0" collapsed="false">
      <c r="A189" s="95" t="str">
        <f aca="false">IF(AND(B189="",C189=""),"",ROW()-6)</f>
        <v/>
      </c>
      <c r="B189" s="83"/>
      <c r="C189" s="15"/>
      <c r="D189" s="15"/>
      <c r="E189" s="85"/>
      <c r="F189" s="15"/>
      <c r="G189" s="15"/>
      <c r="H189" s="96"/>
      <c r="I189" s="16"/>
      <c r="J189" s="37" t="str">
        <f aca="false">IF(I189="","",IF(H189="",1,H189)*I189)</f>
        <v/>
      </c>
      <c r="K189" s="15"/>
      <c r="L189" s="97" t="str">
        <f aca="false">IF(C189="","",IF(OR(C189="Material",C189="Equipo",C189="Suministro"),"Materiales y equipos",IF(C189="Mano de obra contratista","Mano de obra contratista",IF(C189="Transporte","Transporte y otros","Alquileres"))))</f>
        <v/>
      </c>
      <c r="M189" s="6"/>
    </row>
    <row r="190" customFormat="false" ht="16.5" hidden="false" customHeight="true" outlineLevel="0" collapsed="false">
      <c r="A190" s="95" t="str">
        <f aca="false">IF(AND(B190="",C190=""),"",ROW()-6)</f>
        <v/>
      </c>
      <c r="B190" s="83"/>
      <c r="C190" s="15"/>
      <c r="D190" s="15"/>
      <c r="E190" s="85"/>
      <c r="F190" s="15"/>
      <c r="G190" s="15"/>
      <c r="H190" s="96"/>
      <c r="I190" s="16"/>
      <c r="J190" s="37" t="str">
        <f aca="false">IF(I190="","",IF(H190="",1,H190)*I190)</f>
        <v/>
      </c>
      <c r="K190" s="15"/>
      <c r="L190" s="97" t="str">
        <f aca="false">IF(C190="","",IF(OR(C190="Material",C190="Equipo",C190="Suministro"),"Materiales y equipos",IF(C190="Mano de obra contratista","Mano de obra contratista",IF(C190="Transporte","Transporte y otros","Alquileres"))))</f>
        <v/>
      </c>
      <c r="M190" s="6"/>
    </row>
    <row r="191" customFormat="false" ht="16.5" hidden="false" customHeight="true" outlineLevel="0" collapsed="false">
      <c r="A191" s="95" t="str">
        <f aca="false">IF(AND(B191="",C191=""),"",ROW()-6)</f>
        <v/>
      </c>
      <c r="B191" s="83"/>
      <c r="C191" s="15"/>
      <c r="D191" s="15"/>
      <c r="E191" s="85"/>
      <c r="F191" s="15"/>
      <c r="G191" s="15"/>
      <c r="H191" s="96"/>
      <c r="I191" s="16"/>
      <c r="J191" s="37" t="str">
        <f aca="false">IF(I191="","",IF(H191="",1,H191)*I191)</f>
        <v/>
      </c>
      <c r="K191" s="15"/>
      <c r="L191" s="97" t="str">
        <f aca="false">IF(C191="","",IF(OR(C191="Material",C191="Equipo",C191="Suministro"),"Materiales y equipos",IF(C191="Mano de obra contratista","Mano de obra contratista",IF(C191="Transporte","Transporte y otros","Alquileres"))))</f>
        <v/>
      </c>
      <c r="M191" s="6"/>
    </row>
    <row r="192" customFormat="false" ht="16.5" hidden="false" customHeight="true" outlineLevel="0" collapsed="false">
      <c r="A192" s="95" t="str">
        <f aca="false">IF(AND(B192="",C192=""),"",ROW()-6)</f>
        <v/>
      </c>
      <c r="B192" s="83"/>
      <c r="C192" s="15"/>
      <c r="D192" s="15"/>
      <c r="E192" s="85"/>
      <c r="F192" s="15"/>
      <c r="G192" s="15"/>
      <c r="H192" s="96"/>
      <c r="I192" s="16"/>
      <c r="J192" s="37" t="str">
        <f aca="false">IF(I192="","",IF(H192="",1,H192)*I192)</f>
        <v/>
      </c>
      <c r="K192" s="15"/>
      <c r="L192" s="97" t="str">
        <f aca="false">IF(C192="","",IF(OR(C192="Material",C192="Equipo",C192="Suministro"),"Materiales y equipos",IF(C192="Mano de obra contratista","Mano de obra contratista",IF(C192="Transporte","Transporte y otros","Alquileres"))))</f>
        <v/>
      </c>
      <c r="M192" s="6"/>
    </row>
    <row r="193" customFormat="false" ht="16.5" hidden="false" customHeight="true" outlineLevel="0" collapsed="false">
      <c r="A193" s="95" t="str">
        <f aca="false">IF(AND(B193="",C193=""),"",ROW()-6)</f>
        <v/>
      </c>
      <c r="B193" s="83"/>
      <c r="C193" s="15"/>
      <c r="D193" s="15"/>
      <c r="E193" s="85"/>
      <c r="F193" s="15"/>
      <c r="G193" s="15"/>
      <c r="H193" s="96"/>
      <c r="I193" s="16"/>
      <c r="J193" s="37" t="str">
        <f aca="false">IF(I193="","",IF(H193="",1,H193)*I193)</f>
        <v/>
      </c>
      <c r="K193" s="15"/>
      <c r="L193" s="97" t="str">
        <f aca="false">IF(C193="","",IF(OR(C193="Material",C193="Equipo",C193="Suministro"),"Materiales y equipos",IF(C193="Mano de obra contratista","Mano de obra contratista",IF(C193="Transporte","Transporte y otros","Alquileres"))))</f>
        <v/>
      </c>
      <c r="M193" s="6"/>
    </row>
    <row r="194" customFormat="false" ht="16.5" hidden="false" customHeight="true" outlineLevel="0" collapsed="false">
      <c r="A194" s="95" t="str">
        <f aca="false">IF(AND(B194="",C194=""),"",ROW()-6)</f>
        <v/>
      </c>
      <c r="B194" s="83"/>
      <c r="C194" s="15"/>
      <c r="D194" s="15"/>
      <c r="E194" s="85"/>
      <c r="F194" s="15"/>
      <c r="G194" s="15"/>
      <c r="H194" s="96"/>
      <c r="I194" s="16"/>
      <c r="J194" s="37" t="str">
        <f aca="false">IF(I194="","",IF(H194="",1,H194)*I194)</f>
        <v/>
      </c>
      <c r="K194" s="15"/>
      <c r="L194" s="97" t="str">
        <f aca="false">IF(C194="","",IF(OR(C194="Material",C194="Equipo",C194="Suministro"),"Materiales y equipos",IF(C194="Mano de obra contratista","Mano de obra contratista",IF(C194="Transporte","Transporte y otros","Alquileres"))))</f>
        <v/>
      </c>
      <c r="M194" s="6"/>
    </row>
    <row r="195" customFormat="false" ht="16.5" hidden="false" customHeight="true" outlineLevel="0" collapsed="false">
      <c r="A195" s="95" t="str">
        <f aca="false">IF(AND(B195="",C195=""),"",ROW()-6)</f>
        <v/>
      </c>
      <c r="B195" s="83"/>
      <c r="C195" s="15"/>
      <c r="D195" s="15"/>
      <c r="E195" s="85"/>
      <c r="F195" s="15"/>
      <c r="G195" s="15"/>
      <c r="H195" s="96"/>
      <c r="I195" s="16"/>
      <c r="J195" s="37" t="str">
        <f aca="false">IF(I195="","",IF(H195="",1,H195)*I195)</f>
        <v/>
      </c>
      <c r="K195" s="15"/>
      <c r="L195" s="97" t="str">
        <f aca="false">IF(C195="","",IF(OR(C195="Material",C195="Equipo",C195="Suministro"),"Materiales y equipos",IF(C195="Mano de obra contratista","Mano de obra contratista",IF(C195="Transporte","Transporte y otros","Alquileres"))))</f>
        <v/>
      </c>
      <c r="M195" s="6"/>
    </row>
    <row r="196" customFormat="false" ht="16.5" hidden="false" customHeight="true" outlineLevel="0" collapsed="false">
      <c r="A196" s="95" t="str">
        <f aca="false">IF(AND(B196="",C196=""),"",ROW()-6)</f>
        <v/>
      </c>
      <c r="B196" s="83"/>
      <c r="C196" s="15"/>
      <c r="D196" s="15"/>
      <c r="E196" s="85"/>
      <c r="F196" s="15"/>
      <c r="G196" s="15"/>
      <c r="H196" s="96"/>
      <c r="I196" s="16"/>
      <c r="J196" s="37" t="str">
        <f aca="false">IF(I196="","",IF(H196="",1,H196)*I196)</f>
        <v/>
      </c>
      <c r="K196" s="15"/>
      <c r="L196" s="97" t="str">
        <f aca="false">IF(C196="","",IF(OR(C196="Material",C196="Equipo",C196="Suministro"),"Materiales y equipos",IF(C196="Mano de obra contratista","Mano de obra contratista",IF(C196="Transporte","Transporte y otros","Alquileres"))))</f>
        <v/>
      </c>
      <c r="M196" s="6"/>
    </row>
    <row r="197" customFormat="false" ht="16.5" hidden="false" customHeight="true" outlineLevel="0" collapsed="false">
      <c r="A197" s="95" t="str">
        <f aca="false">IF(AND(B197="",C197=""),"",ROW()-6)</f>
        <v/>
      </c>
      <c r="B197" s="83"/>
      <c r="C197" s="15"/>
      <c r="D197" s="15"/>
      <c r="E197" s="85"/>
      <c r="F197" s="15"/>
      <c r="G197" s="15"/>
      <c r="H197" s="96"/>
      <c r="I197" s="16"/>
      <c r="J197" s="37" t="str">
        <f aca="false">IF(I197="","",IF(H197="",1,H197)*I197)</f>
        <v/>
      </c>
      <c r="K197" s="15"/>
      <c r="L197" s="97" t="str">
        <f aca="false">IF(C197="","",IF(OR(C197="Material",C197="Equipo",C197="Suministro"),"Materiales y equipos",IF(C197="Mano de obra contratista","Mano de obra contratista",IF(C197="Transporte","Transporte y otros","Alquileres"))))</f>
        <v/>
      </c>
      <c r="M197" s="6"/>
    </row>
    <row r="198" customFormat="false" ht="16.5" hidden="false" customHeight="true" outlineLevel="0" collapsed="false">
      <c r="A198" s="95" t="str">
        <f aca="false">IF(AND(B198="",C198=""),"",ROW()-6)</f>
        <v/>
      </c>
      <c r="B198" s="83"/>
      <c r="C198" s="15"/>
      <c r="D198" s="15"/>
      <c r="E198" s="85"/>
      <c r="F198" s="15"/>
      <c r="G198" s="15"/>
      <c r="H198" s="96"/>
      <c r="I198" s="16"/>
      <c r="J198" s="37" t="str">
        <f aca="false">IF(I198="","",IF(H198="",1,H198)*I198)</f>
        <v/>
      </c>
      <c r="K198" s="15"/>
      <c r="L198" s="97" t="str">
        <f aca="false">IF(C198="","",IF(OR(C198="Material",C198="Equipo",C198="Suministro"),"Materiales y equipos",IF(C198="Mano de obra contratista","Mano de obra contratista",IF(C198="Transporte","Transporte y otros","Alquileres"))))</f>
        <v/>
      </c>
      <c r="M198" s="6"/>
    </row>
    <row r="199" customFormat="false" ht="16.5" hidden="false" customHeight="true" outlineLevel="0" collapsed="false">
      <c r="A199" s="95" t="str">
        <f aca="false">IF(AND(B199="",C199=""),"",ROW()-6)</f>
        <v/>
      </c>
      <c r="B199" s="83"/>
      <c r="C199" s="15"/>
      <c r="D199" s="15"/>
      <c r="E199" s="85"/>
      <c r="F199" s="15"/>
      <c r="G199" s="15"/>
      <c r="H199" s="96"/>
      <c r="I199" s="16"/>
      <c r="J199" s="37" t="str">
        <f aca="false">IF(I199="","",IF(H199="",1,H199)*I199)</f>
        <v/>
      </c>
      <c r="K199" s="15"/>
      <c r="L199" s="97" t="str">
        <f aca="false">IF(C199="","",IF(OR(C199="Material",C199="Equipo",C199="Suministro"),"Materiales y equipos",IF(C199="Mano de obra contratista","Mano de obra contratista",IF(C199="Transporte","Transporte y otros","Alquileres"))))</f>
        <v/>
      </c>
      <c r="M199" s="6"/>
    </row>
    <row r="200" customFormat="false" ht="16.5" hidden="false" customHeight="true" outlineLevel="0" collapsed="false">
      <c r="A200" s="95" t="str">
        <f aca="false">IF(AND(B200="",C200=""),"",ROW()-6)</f>
        <v/>
      </c>
      <c r="B200" s="83"/>
      <c r="C200" s="15"/>
      <c r="D200" s="15"/>
      <c r="E200" s="85"/>
      <c r="F200" s="15"/>
      <c r="G200" s="15"/>
      <c r="H200" s="96"/>
      <c r="I200" s="16"/>
      <c r="J200" s="37" t="str">
        <f aca="false">IF(I200="","",IF(H200="",1,H200)*I200)</f>
        <v/>
      </c>
      <c r="K200" s="15"/>
      <c r="L200" s="97" t="str">
        <f aca="false">IF(C200="","",IF(OR(C200="Material",C200="Equipo",C200="Suministro"),"Materiales y equipos",IF(C200="Mano de obra contratista","Mano de obra contratista",IF(C200="Transporte","Transporte y otros","Alquileres"))))</f>
        <v/>
      </c>
      <c r="M200" s="6"/>
    </row>
    <row r="201" customFormat="false" ht="16.5" hidden="false" customHeight="true" outlineLevel="0" collapsed="false">
      <c r="A201" s="95" t="str">
        <f aca="false">IF(AND(B201="",C201=""),"",ROW()-6)</f>
        <v/>
      </c>
      <c r="B201" s="83"/>
      <c r="C201" s="15"/>
      <c r="D201" s="15"/>
      <c r="E201" s="85"/>
      <c r="F201" s="15"/>
      <c r="G201" s="15"/>
      <c r="H201" s="96"/>
      <c r="I201" s="16"/>
      <c r="J201" s="37" t="str">
        <f aca="false">IF(I201="","",IF(H201="",1,H201)*I201)</f>
        <v/>
      </c>
      <c r="K201" s="15"/>
      <c r="L201" s="97" t="str">
        <f aca="false">IF(C201="","",IF(OR(C201="Material",C201="Equipo",C201="Suministro"),"Materiales y equipos",IF(C201="Mano de obra contratista","Mano de obra contratista",IF(C201="Transporte","Transporte y otros","Alquileres"))))</f>
        <v/>
      </c>
      <c r="M201" s="6"/>
    </row>
    <row r="202" customFormat="false" ht="16.5" hidden="false" customHeight="true" outlineLevel="0" collapsed="false">
      <c r="A202" s="95" t="str">
        <f aca="false">IF(AND(B202="",C202=""),"",ROW()-6)</f>
        <v/>
      </c>
      <c r="B202" s="83"/>
      <c r="C202" s="15"/>
      <c r="D202" s="15"/>
      <c r="E202" s="85"/>
      <c r="F202" s="15"/>
      <c r="G202" s="15"/>
      <c r="H202" s="96"/>
      <c r="I202" s="16"/>
      <c r="J202" s="37" t="str">
        <f aca="false">IF(I202="","",IF(H202="",1,H202)*I202)</f>
        <v/>
      </c>
      <c r="K202" s="15"/>
      <c r="L202" s="97" t="str">
        <f aca="false">IF(C202="","",IF(OR(C202="Material",C202="Equipo",C202="Suministro"),"Materiales y equipos",IF(C202="Mano de obra contratista","Mano de obra contratista",IF(C202="Transporte","Transporte y otros","Alquileres"))))</f>
        <v/>
      </c>
      <c r="M202" s="6"/>
    </row>
    <row r="203" customFormat="false" ht="16.5" hidden="false" customHeight="true" outlineLevel="0" collapsed="false">
      <c r="A203" s="95" t="str">
        <f aca="false">IF(AND(B203="",C203=""),"",ROW()-6)</f>
        <v/>
      </c>
      <c r="B203" s="83"/>
      <c r="C203" s="15"/>
      <c r="D203" s="15"/>
      <c r="E203" s="85"/>
      <c r="F203" s="15"/>
      <c r="G203" s="15"/>
      <c r="H203" s="96"/>
      <c r="I203" s="16"/>
      <c r="J203" s="37" t="str">
        <f aca="false">IF(I203="","",IF(H203="",1,H203)*I203)</f>
        <v/>
      </c>
      <c r="K203" s="15"/>
      <c r="L203" s="97" t="str">
        <f aca="false">IF(C203="","",IF(OR(C203="Material",C203="Equipo",C203="Suministro"),"Materiales y equipos",IF(C203="Mano de obra contratista","Mano de obra contratista",IF(C203="Transporte","Transporte y otros","Alquileres"))))</f>
        <v/>
      </c>
      <c r="M203" s="6"/>
    </row>
    <row r="204" customFormat="false" ht="16.5" hidden="false" customHeight="true" outlineLevel="0" collapsed="false">
      <c r="A204" s="95" t="str">
        <f aca="false">IF(AND(B204="",C204=""),"",ROW()-6)</f>
        <v/>
      </c>
      <c r="B204" s="83"/>
      <c r="C204" s="15"/>
      <c r="D204" s="15"/>
      <c r="E204" s="85"/>
      <c r="F204" s="15"/>
      <c r="G204" s="15"/>
      <c r="H204" s="96"/>
      <c r="I204" s="16"/>
      <c r="J204" s="37" t="str">
        <f aca="false">IF(I204="","",IF(H204="",1,H204)*I204)</f>
        <v/>
      </c>
      <c r="K204" s="15"/>
      <c r="L204" s="97" t="str">
        <f aca="false">IF(C204="","",IF(OR(C204="Material",C204="Equipo",C204="Suministro"),"Materiales y equipos",IF(C204="Mano de obra contratista","Mano de obra contratista",IF(C204="Transporte","Transporte y otros","Alquileres"))))</f>
        <v/>
      </c>
      <c r="M204" s="6"/>
    </row>
    <row r="205" customFormat="false" ht="16.5" hidden="false" customHeight="true" outlineLevel="0" collapsed="false">
      <c r="A205" s="95" t="str">
        <f aca="false">IF(AND(B205="",C205=""),"",ROW()-6)</f>
        <v/>
      </c>
      <c r="B205" s="83"/>
      <c r="C205" s="15"/>
      <c r="D205" s="15"/>
      <c r="E205" s="85"/>
      <c r="F205" s="15"/>
      <c r="G205" s="15"/>
      <c r="H205" s="96"/>
      <c r="I205" s="16"/>
      <c r="J205" s="37" t="str">
        <f aca="false">IF(I205="","",IF(H205="",1,H205)*I205)</f>
        <v/>
      </c>
      <c r="K205" s="15"/>
      <c r="L205" s="97" t="str">
        <f aca="false">IF(C205="","",IF(OR(C205="Material",C205="Equipo",C205="Suministro"),"Materiales y equipos",IF(C205="Mano de obra contratista","Mano de obra contratista",IF(C205="Transporte","Transporte y otros","Alquileres"))))</f>
        <v/>
      </c>
      <c r="M205" s="6"/>
    </row>
    <row r="206" customFormat="false" ht="16.5" hidden="false" customHeight="true" outlineLevel="0" collapsed="false">
      <c r="A206" s="95" t="str">
        <f aca="false">IF(AND(B206="",C206=""),"",ROW()-6)</f>
        <v/>
      </c>
      <c r="B206" s="83"/>
      <c r="C206" s="15"/>
      <c r="D206" s="15"/>
      <c r="E206" s="85"/>
      <c r="F206" s="15"/>
      <c r="G206" s="15"/>
      <c r="H206" s="96"/>
      <c r="I206" s="16"/>
      <c r="J206" s="37" t="str">
        <f aca="false">IF(I206="","",IF(H206="",1,H206)*I206)</f>
        <v/>
      </c>
      <c r="K206" s="15"/>
      <c r="L206" s="97" t="str">
        <f aca="false">IF(C206="","",IF(OR(C206="Material",C206="Equipo",C206="Suministro"),"Materiales y equipos",IF(C206="Mano de obra contratista","Mano de obra contratista",IF(C206="Transporte","Transporte y otros","Alquileres"))))</f>
        <v/>
      </c>
      <c r="M206" s="6"/>
    </row>
    <row r="207" customFormat="false" ht="16.5" hidden="false" customHeight="true" outlineLevel="0" collapsed="false">
      <c r="A207" s="95" t="str">
        <f aca="false">IF(AND(B207="",C207=""),"",ROW()-6)</f>
        <v/>
      </c>
      <c r="B207" s="83"/>
      <c r="C207" s="15"/>
      <c r="D207" s="15"/>
      <c r="E207" s="85"/>
      <c r="F207" s="15"/>
      <c r="G207" s="15"/>
      <c r="H207" s="96"/>
      <c r="I207" s="16"/>
      <c r="J207" s="37" t="str">
        <f aca="false">IF(I207="","",IF(H207="",1,H207)*I207)</f>
        <v/>
      </c>
      <c r="K207" s="15"/>
      <c r="L207" s="97" t="str">
        <f aca="false">IF(C207="","",IF(OR(C207="Material",C207="Equipo",C207="Suministro"),"Materiales y equipos",IF(C207="Mano de obra contratista","Mano de obra contratista",IF(C207="Transporte","Transporte y otros","Alquileres"))))</f>
        <v/>
      </c>
      <c r="M207" s="6"/>
    </row>
    <row r="208" customFormat="false" ht="16.5" hidden="false" customHeight="true" outlineLevel="0" collapsed="false">
      <c r="A208" s="95" t="str">
        <f aca="false">IF(AND(B208="",C208=""),"",ROW()-6)</f>
        <v/>
      </c>
      <c r="B208" s="83"/>
      <c r="C208" s="15"/>
      <c r="D208" s="15"/>
      <c r="E208" s="85"/>
      <c r="F208" s="15"/>
      <c r="G208" s="15"/>
      <c r="H208" s="96"/>
      <c r="I208" s="16"/>
      <c r="J208" s="37" t="str">
        <f aca="false">IF(I208="","",IF(H208="",1,H208)*I208)</f>
        <v/>
      </c>
      <c r="K208" s="15"/>
      <c r="L208" s="97" t="str">
        <f aca="false">IF(C208="","",IF(OR(C208="Material",C208="Equipo",C208="Suministro"),"Materiales y equipos",IF(C208="Mano de obra contratista","Mano de obra contratista",IF(C208="Transporte","Transporte y otros","Alquileres"))))</f>
        <v/>
      </c>
      <c r="M208" s="6"/>
    </row>
    <row r="209" customFormat="false" ht="16.5" hidden="false" customHeight="true" outlineLevel="0" collapsed="false">
      <c r="A209" s="95" t="str">
        <f aca="false">IF(AND(B209="",C209=""),"",ROW()-6)</f>
        <v/>
      </c>
      <c r="B209" s="83"/>
      <c r="C209" s="15"/>
      <c r="D209" s="15"/>
      <c r="E209" s="85"/>
      <c r="F209" s="15"/>
      <c r="G209" s="15"/>
      <c r="H209" s="96"/>
      <c r="I209" s="16"/>
      <c r="J209" s="37" t="str">
        <f aca="false">IF(I209="","",IF(H209="",1,H209)*I209)</f>
        <v/>
      </c>
      <c r="K209" s="15"/>
      <c r="L209" s="97" t="str">
        <f aca="false">IF(C209="","",IF(OR(C209="Material",C209="Equipo",C209="Suministro"),"Materiales y equipos",IF(C209="Mano de obra contratista","Mano de obra contratista",IF(C209="Transporte","Transporte y otros","Alquileres"))))</f>
        <v/>
      </c>
      <c r="M209" s="6"/>
    </row>
    <row r="210" customFormat="false" ht="16.5" hidden="false" customHeight="true" outlineLevel="0" collapsed="false">
      <c r="A210" s="95" t="str">
        <f aca="false">IF(AND(B210="",C210=""),"",ROW()-6)</f>
        <v/>
      </c>
      <c r="B210" s="83"/>
      <c r="C210" s="15"/>
      <c r="D210" s="15"/>
      <c r="E210" s="85"/>
      <c r="F210" s="15"/>
      <c r="G210" s="15"/>
      <c r="H210" s="96"/>
      <c r="I210" s="16"/>
      <c r="J210" s="37" t="str">
        <f aca="false">IF(I210="","",IF(H210="",1,H210)*I210)</f>
        <v/>
      </c>
      <c r="K210" s="15"/>
      <c r="L210" s="97" t="str">
        <f aca="false">IF(C210="","",IF(OR(C210="Material",C210="Equipo",C210="Suministro"),"Materiales y equipos",IF(C210="Mano de obra contratista","Mano de obra contratista",IF(C210="Transporte","Transporte y otros","Alquileres"))))</f>
        <v/>
      </c>
      <c r="M210" s="6"/>
    </row>
    <row r="211" customFormat="false" ht="16.5" hidden="false" customHeight="true" outlineLevel="0" collapsed="false">
      <c r="A211" s="95" t="str">
        <f aca="false">IF(AND(B211="",C211=""),"",ROW()-6)</f>
        <v/>
      </c>
      <c r="B211" s="83"/>
      <c r="C211" s="15"/>
      <c r="D211" s="15"/>
      <c r="E211" s="85"/>
      <c r="F211" s="15"/>
      <c r="G211" s="15"/>
      <c r="H211" s="96"/>
      <c r="I211" s="16"/>
      <c r="J211" s="37" t="str">
        <f aca="false">IF(I211="","",IF(H211="",1,H211)*I211)</f>
        <v/>
      </c>
      <c r="K211" s="15"/>
      <c r="L211" s="97" t="str">
        <f aca="false">IF(C211="","",IF(OR(C211="Material",C211="Equipo",C211="Suministro"),"Materiales y equipos",IF(C211="Mano de obra contratista","Mano de obra contratista",IF(C211="Transporte","Transporte y otros","Alquileres"))))</f>
        <v/>
      </c>
      <c r="M211" s="6"/>
    </row>
    <row r="212" customFormat="false" ht="16.5" hidden="false" customHeight="true" outlineLevel="0" collapsed="false">
      <c r="A212" s="95" t="str">
        <f aca="false">IF(AND(B212="",C212=""),"",ROW()-6)</f>
        <v/>
      </c>
      <c r="B212" s="83"/>
      <c r="C212" s="15"/>
      <c r="D212" s="15"/>
      <c r="E212" s="85"/>
      <c r="F212" s="15"/>
      <c r="G212" s="15"/>
      <c r="H212" s="96"/>
      <c r="I212" s="16"/>
      <c r="J212" s="37" t="str">
        <f aca="false">IF(I212="","",IF(H212="",1,H212)*I212)</f>
        <v/>
      </c>
      <c r="K212" s="15"/>
      <c r="L212" s="97" t="str">
        <f aca="false">IF(C212="","",IF(OR(C212="Material",C212="Equipo",C212="Suministro"),"Materiales y equipos",IF(C212="Mano de obra contratista","Mano de obra contratista",IF(C212="Transporte","Transporte y otros","Alquileres"))))</f>
        <v/>
      </c>
      <c r="M212" s="6"/>
    </row>
    <row r="213" customFormat="false" ht="16.5" hidden="false" customHeight="true" outlineLevel="0" collapsed="false">
      <c r="A213" s="95" t="str">
        <f aca="false">IF(AND(B213="",C213=""),"",ROW()-6)</f>
        <v/>
      </c>
      <c r="B213" s="83"/>
      <c r="C213" s="15"/>
      <c r="D213" s="15"/>
      <c r="E213" s="85"/>
      <c r="F213" s="15"/>
      <c r="G213" s="15"/>
      <c r="H213" s="96"/>
      <c r="I213" s="16"/>
      <c r="J213" s="37" t="str">
        <f aca="false">IF(I213="","",IF(H213="",1,H213)*I213)</f>
        <v/>
      </c>
      <c r="K213" s="15"/>
      <c r="L213" s="97" t="str">
        <f aca="false">IF(C213="","",IF(OR(C213="Material",C213="Equipo",C213="Suministro"),"Materiales y equipos",IF(C213="Mano de obra contratista","Mano de obra contratista",IF(C213="Transporte","Transporte y otros","Alquileres"))))</f>
        <v/>
      </c>
      <c r="M213" s="6"/>
    </row>
    <row r="214" customFormat="false" ht="16.5" hidden="false" customHeight="true" outlineLevel="0" collapsed="false">
      <c r="A214" s="95" t="str">
        <f aca="false">IF(AND(B214="",C214=""),"",ROW()-6)</f>
        <v/>
      </c>
      <c r="B214" s="83"/>
      <c r="C214" s="15"/>
      <c r="D214" s="15"/>
      <c r="E214" s="85"/>
      <c r="F214" s="15"/>
      <c r="G214" s="15"/>
      <c r="H214" s="96"/>
      <c r="I214" s="16"/>
      <c r="J214" s="37" t="str">
        <f aca="false">IF(I214="","",IF(H214="",1,H214)*I214)</f>
        <v/>
      </c>
      <c r="K214" s="15"/>
      <c r="L214" s="97" t="str">
        <f aca="false">IF(C214="","",IF(OR(C214="Material",C214="Equipo",C214="Suministro"),"Materiales y equipos",IF(C214="Mano de obra contratista","Mano de obra contratista",IF(C214="Transporte","Transporte y otros","Alquileres"))))</f>
        <v/>
      </c>
      <c r="M214" s="6"/>
    </row>
    <row r="215" customFormat="false" ht="16.5" hidden="false" customHeight="true" outlineLevel="0" collapsed="false">
      <c r="A215" s="95" t="str">
        <f aca="false">IF(AND(B215="",C215=""),"",ROW()-6)</f>
        <v/>
      </c>
      <c r="B215" s="83"/>
      <c r="C215" s="15"/>
      <c r="D215" s="15"/>
      <c r="E215" s="85"/>
      <c r="F215" s="15"/>
      <c r="G215" s="15"/>
      <c r="H215" s="96"/>
      <c r="I215" s="16"/>
      <c r="J215" s="37" t="str">
        <f aca="false">IF(I215="","",IF(H215="",1,H215)*I215)</f>
        <v/>
      </c>
      <c r="K215" s="15"/>
      <c r="L215" s="97" t="str">
        <f aca="false">IF(C215="","",IF(OR(C215="Material",C215="Equipo",C215="Suministro"),"Materiales y equipos",IF(C215="Mano de obra contratista","Mano de obra contratista",IF(C215="Transporte","Transporte y otros","Alquileres"))))</f>
        <v/>
      </c>
      <c r="M215" s="6"/>
    </row>
    <row r="216" customFormat="false" ht="16.5" hidden="false" customHeight="true" outlineLevel="0" collapsed="false">
      <c r="A216" s="95" t="str">
        <f aca="false">IF(AND(B216="",C216=""),"",ROW()-6)</f>
        <v/>
      </c>
      <c r="B216" s="83"/>
      <c r="C216" s="15"/>
      <c r="D216" s="15"/>
      <c r="E216" s="85"/>
      <c r="F216" s="15"/>
      <c r="G216" s="15"/>
      <c r="H216" s="96"/>
      <c r="I216" s="16"/>
      <c r="J216" s="37" t="str">
        <f aca="false">IF(I216="","",IF(H216="",1,H216)*I216)</f>
        <v/>
      </c>
      <c r="K216" s="15"/>
      <c r="L216" s="97" t="str">
        <f aca="false">IF(C216="","",IF(OR(C216="Material",C216="Equipo",C216="Suministro"),"Materiales y equipos",IF(C216="Mano de obra contratista","Mano de obra contratista",IF(C216="Transporte","Transporte y otros","Alquileres"))))</f>
        <v/>
      </c>
      <c r="M216" s="6"/>
    </row>
    <row r="217" customFormat="false" ht="16.5" hidden="false" customHeight="true" outlineLevel="0" collapsed="false">
      <c r="A217" s="95" t="str">
        <f aca="false">IF(AND(B217="",C217=""),"",ROW()-6)</f>
        <v/>
      </c>
      <c r="B217" s="83"/>
      <c r="C217" s="15"/>
      <c r="D217" s="15"/>
      <c r="E217" s="85"/>
      <c r="F217" s="15"/>
      <c r="G217" s="15"/>
      <c r="H217" s="96"/>
      <c r="I217" s="16"/>
      <c r="J217" s="37" t="str">
        <f aca="false">IF(I217="","",IF(H217="",1,H217)*I217)</f>
        <v/>
      </c>
      <c r="K217" s="15"/>
      <c r="L217" s="97" t="str">
        <f aca="false">IF(C217="","",IF(OR(C217="Material",C217="Equipo",C217="Suministro"),"Materiales y equipos",IF(C217="Mano de obra contratista","Mano de obra contratista",IF(C217="Transporte","Transporte y otros","Alquileres"))))</f>
        <v/>
      </c>
      <c r="M217" s="6"/>
    </row>
    <row r="218" customFormat="false" ht="16.5" hidden="false" customHeight="true" outlineLevel="0" collapsed="false">
      <c r="A218" s="95" t="str">
        <f aca="false">IF(AND(B218="",C218=""),"",ROW()-6)</f>
        <v/>
      </c>
      <c r="B218" s="83"/>
      <c r="C218" s="15"/>
      <c r="D218" s="15"/>
      <c r="E218" s="85"/>
      <c r="F218" s="15"/>
      <c r="G218" s="15"/>
      <c r="H218" s="96"/>
      <c r="I218" s="16"/>
      <c r="J218" s="37" t="str">
        <f aca="false">IF(I218="","",IF(H218="",1,H218)*I218)</f>
        <v/>
      </c>
      <c r="K218" s="15"/>
      <c r="L218" s="97" t="str">
        <f aca="false">IF(C218="","",IF(OR(C218="Material",C218="Equipo",C218="Suministro"),"Materiales y equipos",IF(C218="Mano de obra contratista","Mano de obra contratista",IF(C218="Transporte","Transporte y otros","Alquileres"))))</f>
        <v/>
      </c>
      <c r="M218" s="6"/>
    </row>
    <row r="219" customFormat="false" ht="16.5" hidden="false" customHeight="true" outlineLevel="0" collapsed="false">
      <c r="A219" s="95" t="str">
        <f aca="false">IF(AND(B219="",C219=""),"",ROW()-6)</f>
        <v/>
      </c>
      <c r="B219" s="83"/>
      <c r="C219" s="15"/>
      <c r="D219" s="15"/>
      <c r="E219" s="85"/>
      <c r="F219" s="15"/>
      <c r="G219" s="15"/>
      <c r="H219" s="96"/>
      <c r="I219" s="16"/>
      <c r="J219" s="37" t="str">
        <f aca="false">IF(I219="","",IF(H219="",1,H219)*I219)</f>
        <v/>
      </c>
      <c r="K219" s="15"/>
      <c r="L219" s="97" t="str">
        <f aca="false">IF(C219="","",IF(OR(C219="Material",C219="Equipo",C219="Suministro"),"Materiales y equipos",IF(C219="Mano de obra contratista","Mano de obra contratista",IF(C219="Transporte","Transporte y otros","Alquileres"))))</f>
        <v/>
      </c>
      <c r="M219" s="6"/>
    </row>
    <row r="220" customFormat="false" ht="16.5" hidden="false" customHeight="true" outlineLevel="0" collapsed="false">
      <c r="A220" s="95" t="str">
        <f aca="false">IF(AND(B220="",C220=""),"",ROW()-6)</f>
        <v/>
      </c>
      <c r="B220" s="83"/>
      <c r="C220" s="15"/>
      <c r="D220" s="15"/>
      <c r="E220" s="85"/>
      <c r="F220" s="15"/>
      <c r="G220" s="15"/>
      <c r="H220" s="96"/>
      <c r="I220" s="16"/>
      <c r="J220" s="37" t="str">
        <f aca="false">IF(I220="","",IF(H220="",1,H220)*I220)</f>
        <v/>
      </c>
      <c r="K220" s="15"/>
      <c r="L220" s="97" t="str">
        <f aca="false">IF(C220="","",IF(OR(C220="Material",C220="Equipo",C220="Suministro"),"Materiales y equipos",IF(C220="Mano de obra contratista","Mano de obra contratista",IF(C220="Transporte","Transporte y otros","Alquileres"))))</f>
        <v/>
      </c>
      <c r="M220" s="6"/>
    </row>
    <row r="221" customFormat="false" ht="16.5" hidden="false" customHeight="true" outlineLevel="0" collapsed="false">
      <c r="A221" s="95" t="str">
        <f aca="false">IF(AND(B221="",C221=""),"",ROW()-6)</f>
        <v/>
      </c>
      <c r="B221" s="83"/>
      <c r="C221" s="15"/>
      <c r="D221" s="15"/>
      <c r="E221" s="85"/>
      <c r="F221" s="15"/>
      <c r="G221" s="15"/>
      <c r="H221" s="96"/>
      <c r="I221" s="16"/>
      <c r="J221" s="37" t="str">
        <f aca="false">IF(I221="","",IF(H221="",1,H221)*I221)</f>
        <v/>
      </c>
      <c r="K221" s="15"/>
      <c r="L221" s="97" t="str">
        <f aca="false">IF(C221="","",IF(OR(C221="Material",C221="Equipo",C221="Suministro"),"Materiales y equipos",IF(C221="Mano de obra contratista","Mano de obra contratista",IF(C221="Transporte","Transporte y otros","Alquileres"))))</f>
        <v/>
      </c>
      <c r="M221" s="6"/>
    </row>
    <row r="222" customFormat="false" ht="16.5" hidden="false" customHeight="true" outlineLevel="0" collapsed="false">
      <c r="A222" s="95" t="str">
        <f aca="false">IF(AND(B222="",C222=""),"",ROW()-6)</f>
        <v/>
      </c>
      <c r="B222" s="83"/>
      <c r="C222" s="15"/>
      <c r="D222" s="15"/>
      <c r="E222" s="85"/>
      <c r="F222" s="15"/>
      <c r="G222" s="15"/>
      <c r="H222" s="96"/>
      <c r="I222" s="16"/>
      <c r="J222" s="37" t="str">
        <f aca="false">IF(I222="","",IF(H222="",1,H222)*I222)</f>
        <v/>
      </c>
      <c r="K222" s="15"/>
      <c r="L222" s="97" t="str">
        <f aca="false">IF(C222="","",IF(OR(C222="Material",C222="Equipo",C222="Suministro"),"Materiales y equipos",IF(C222="Mano de obra contratista","Mano de obra contratista",IF(C222="Transporte","Transporte y otros","Alquileres"))))</f>
        <v/>
      </c>
      <c r="M222" s="6"/>
    </row>
    <row r="223" customFormat="false" ht="16.5" hidden="false" customHeight="true" outlineLevel="0" collapsed="false">
      <c r="A223" s="95" t="str">
        <f aca="false">IF(AND(B223="",C223=""),"",ROW()-6)</f>
        <v/>
      </c>
      <c r="B223" s="83"/>
      <c r="C223" s="15"/>
      <c r="D223" s="15"/>
      <c r="E223" s="85"/>
      <c r="F223" s="15"/>
      <c r="G223" s="15"/>
      <c r="H223" s="96"/>
      <c r="I223" s="16"/>
      <c r="J223" s="37" t="str">
        <f aca="false">IF(I223="","",IF(H223="",1,H223)*I223)</f>
        <v/>
      </c>
      <c r="K223" s="15"/>
      <c r="L223" s="97" t="str">
        <f aca="false">IF(C223="","",IF(OR(C223="Material",C223="Equipo",C223="Suministro"),"Materiales y equipos",IF(C223="Mano de obra contratista","Mano de obra contratista",IF(C223="Transporte","Transporte y otros","Alquileres"))))</f>
        <v/>
      </c>
      <c r="M223" s="6"/>
    </row>
    <row r="224" customFormat="false" ht="16.5" hidden="false" customHeight="true" outlineLevel="0" collapsed="false">
      <c r="A224" s="95" t="str">
        <f aca="false">IF(AND(B224="",C224=""),"",ROW()-6)</f>
        <v/>
      </c>
      <c r="B224" s="83"/>
      <c r="C224" s="15"/>
      <c r="D224" s="15"/>
      <c r="E224" s="85"/>
      <c r="F224" s="15"/>
      <c r="G224" s="15"/>
      <c r="H224" s="96"/>
      <c r="I224" s="16"/>
      <c r="J224" s="37" t="str">
        <f aca="false">IF(I224="","",IF(H224="",1,H224)*I224)</f>
        <v/>
      </c>
      <c r="K224" s="15"/>
      <c r="L224" s="97" t="str">
        <f aca="false">IF(C224="","",IF(OR(C224="Material",C224="Equipo",C224="Suministro"),"Materiales y equipos",IF(C224="Mano de obra contratista","Mano de obra contratista",IF(C224="Transporte","Transporte y otros","Alquileres"))))</f>
        <v/>
      </c>
      <c r="M224" s="6"/>
    </row>
    <row r="225" customFormat="false" ht="16.5" hidden="false" customHeight="true" outlineLevel="0" collapsed="false">
      <c r="A225" s="95" t="str">
        <f aca="false">IF(AND(B225="",C225=""),"",ROW()-6)</f>
        <v/>
      </c>
      <c r="B225" s="83"/>
      <c r="C225" s="15"/>
      <c r="D225" s="15"/>
      <c r="E225" s="85"/>
      <c r="F225" s="15"/>
      <c r="G225" s="15"/>
      <c r="H225" s="96"/>
      <c r="I225" s="16"/>
      <c r="J225" s="37" t="str">
        <f aca="false">IF(I225="","",IF(H225="",1,H225)*I225)</f>
        <v/>
      </c>
      <c r="K225" s="15"/>
      <c r="L225" s="97" t="str">
        <f aca="false">IF(C225="","",IF(OR(C225="Material",C225="Equipo",C225="Suministro"),"Materiales y equipos",IF(C225="Mano de obra contratista","Mano de obra contratista",IF(C225="Transporte","Transporte y otros","Alquileres"))))</f>
        <v/>
      </c>
      <c r="M225" s="6"/>
    </row>
    <row r="226" customFormat="false" ht="16.5" hidden="false" customHeight="true" outlineLevel="0" collapsed="false">
      <c r="A226" s="95" t="str">
        <f aca="false">IF(AND(B226="",C226=""),"",ROW()-6)</f>
        <v/>
      </c>
      <c r="B226" s="83"/>
      <c r="C226" s="15"/>
      <c r="D226" s="15"/>
      <c r="E226" s="85"/>
      <c r="F226" s="15"/>
      <c r="G226" s="15"/>
      <c r="H226" s="96"/>
      <c r="I226" s="16"/>
      <c r="J226" s="37" t="str">
        <f aca="false">IF(I226="","",IF(H226="",1,H226)*I226)</f>
        <v/>
      </c>
      <c r="K226" s="15"/>
      <c r="L226" s="97" t="str">
        <f aca="false">IF(C226="","",IF(OR(C226="Material",C226="Equipo",C226="Suministro"),"Materiales y equipos",IF(C226="Mano de obra contratista","Mano de obra contratista",IF(C226="Transporte","Transporte y otros","Alquileres"))))</f>
        <v/>
      </c>
      <c r="M226" s="6"/>
    </row>
    <row r="227" customFormat="false" ht="16.5" hidden="false" customHeight="true" outlineLevel="0" collapsed="false">
      <c r="A227" s="95" t="str">
        <f aca="false">IF(AND(B227="",C227=""),"",ROW()-6)</f>
        <v/>
      </c>
      <c r="B227" s="83"/>
      <c r="C227" s="15"/>
      <c r="D227" s="15"/>
      <c r="E227" s="85"/>
      <c r="F227" s="15"/>
      <c r="G227" s="15"/>
      <c r="H227" s="96"/>
      <c r="I227" s="16"/>
      <c r="J227" s="37" t="str">
        <f aca="false">IF(I227="","",IF(H227="",1,H227)*I227)</f>
        <v/>
      </c>
      <c r="K227" s="15"/>
      <c r="L227" s="97" t="str">
        <f aca="false">IF(C227="","",IF(OR(C227="Material",C227="Equipo",C227="Suministro"),"Materiales y equipos",IF(C227="Mano de obra contratista","Mano de obra contratista",IF(C227="Transporte","Transporte y otros","Alquileres"))))</f>
        <v/>
      </c>
      <c r="M227" s="6"/>
    </row>
    <row r="228" customFormat="false" ht="16.5" hidden="false" customHeight="true" outlineLevel="0" collapsed="false">
      <c r="A228" s="95" t="str">
        <f aca="false">IF(AND(B228="",C228=""),"",ROW()-6)</f>
        <v/>
      </c>
      <c r="B228" s="83"/>
      <c r="C228" s="15"/>
      <c r="D228" s="15"/>
      <c r="E228" s="85"/>
      <c r="F228" s="15"/>
      <c r="G228" s="15"/>
      <c r="H228" s="96"/>
      <c r="I228" s="16"/>
      <c r="J228" s="37" t="str">
        <f aca="false">IF(I228="","",IF(H228="",1,H228)*I228)</f>
        <v/>
      </c>
      <c r="K228" s="15"/>
      <c r="L228" s="97" t="str">
        <f aca="false">IF(C228="","",IF(OR(C228="Material",C228="Equipo",C228="Suministro"),"Materiales y equipos",IF(C228="Mano de obra contratista","Mano de obra contratista",IF(C228="Transporte","Transporte y otros","Alquileres"))))</f>
        <v/>
      </c>
      <c r="M228" s="6"/>
    </row>
    <row r="229" customFormat="false" ht="16.5" hidden="false" customHeight="true" outlineLevel="0" collapsed="false">
      <c r="A229" s="95" t="str">
        <f aca="false">IF(AND(B229="",C229=""),"",ROW()-6)</f>
        <v/>
      </c>
      <c r="B229" s="83"/>
      <c r="C229" s="15"/>
      <c r="D229" s="15"/>
      <c r="E229" s="85"/>
      <c r="F229" s="15"/>
      <c r="G229" s="15"/>
      <c r="H229" s="96"/>
      <c r="I229" s="16"/>
      <c r="J229" s="37" t="str">
        <f aca="false">IF(I229="","",IF(H229="",1,H229)*I229)</f>
        <v/>
      </c>
      <c r="K229" s="15"/>
      <c r="L229" s="97" t="str">
        <f aca="false">IF(C229="","",IF(OR(C229="Material",C229="Equipo",C229="Suministro"),"Materiales y equipos",IF(C229="Mano de obra contratista","Mano de obra contratista",IF(C229="Transporte","Transporte y otros","Alquileres"))))</f>
        <v/>
      </c>
      <c r="M229" s="6"/>
    </row>
    <row r="230" customFormat="false" ht="16.5" hidden="false" customHeight="true" outlineLevel="0" collapsed="false">
      <c r="A230" s="95" t="str">
        <f aca="false">IF(AND(B230="",C230=""),"",ROW()-6)</f>
        <v/>
      </c>
      <c r="B230" s="83"/>
      <c r="C230" s="15"/>
      <c r="D230" s="15"/>
      <c r="E230" s="85"/>
      <c r="F230" s="15"/>
      <c r="G230" s="15"/>
      <c r="H230" s="96"/>
      <c r="I230" s="16"/>
      <c r="J230" s="37" t="str">
        <f aca="false">IF(I230="","",IF(H230="",1,H230)*I230)</f>
        <v/>
      </c>
      <c r="K230" s="15"/>
      <c r="L230" s="97" t="str">
        <f aca="false">IF(C230="","",IF(OR(C230="Material",C230="Equipo",C230="Suministro"),"Materiales y equipos",IF(C230="Mano de obra contratista","Mano de obra contratista",IF(C230="Transporte","Transporte y otros","Alquileres"))))</f>
        <v/>
      </c>
      <c r="M230" s="6"/>
    </row>
    <row r="231" customFormat="false" ht="16.5" hidden="false" customHeight="true" outlineLevel="0" collapsed="false">
      <c r="A231" s="95" t="str">
        <f aca="false">IF(AND(B231="",C231=""),"",ROW()-6)</f>
        <v/>
      </c>
      <c r="B231" s="83"/>
      <c r="C231" s="15"/>
      <c r="D231" s="15"/>
      <c r="E231" s="85"/>
      <c r="F231" s="15"/>
      <c r="G231" s="15"/>
      <c r="H231" s="96"/>
      <c r="I231" s="16"/>
      <c r="J231" s="37" t="str">
        <f aca="false">IF(I231="","",IF(H231="",1,H231)*I231)</f>
        <v/>
      </c>
      <c r="K231" s="15"/>
      <c r="L231" s="97" t="str">
        <f aca="false">IF(C231="","",IF(OR(C231="Material",C231="Equipo",C231="Suministro"),"Materiales y equipos",IF(C231="Mano de obra contratista","Mano de obra contratista",IF(C231="Transporte","Transporte y otros","Alquileres"))))</f>
        <v/>
      </c>
      <c r="M231" s="6"/>
    </row>
    <row r="232" customFormat="false" ht="16.5" hidden="false" customHeight="true" outlineLevel="0" collapsed="false">
      <c r="A232" s="95" t="str">
        <f aca="false">IF(AND(B232="",C232=""),"",ROW()-6)</f>
        <v/>
      </c>
      <c r="B232" s="83"/>
      <c r="C232" s="15"/>
      <c r="D232" s="15"/>
      <c r="E232" s="85"/>
      <c r="F232" s="15"/>
      <c r="G232" s="15"/>
      <c r="H232" s="96"/>
      <c r="I232" s="16"/>
      <c r="J232" s="37" t="str">
        <f aca="false">IF(I232="","",IF(H232="",1,H232)*I232)</f>
        <v/>
      </c>
      <c r="K232" s="15"/>
      <c r="L232" s="97" t="str">
        <f aca="false">IF(C232="","",IF(OR(C232="Material",C232="Equipo",C232="Suministro"),"Materiales y equipos",IF(C232="Mano de obra contratista","Mano de obra contratista",IF(C232="Transporte","Transporte y otros","Alquileres"))))</f>
        <v/>
      </c>
      <c r="M232" s="6"/>
    </row>
    <row r="233" customFormat="false" ht="16.5" hidden="false" customHeight="true" outlineLevel="0" collapsed="false">
      <c r="A233" s="95" t="str">
        <f aca="false">IF(AND(B233="",C233=""),"",ROW()-6)</f>
        <v/>
      </c>
      <c r="B233" s="83"/>
      <c r="C233" s="15"/>
      <c r="D233" s="15"/>
      <c r="E233" s="85"/>
      <c r="F233" s="15"/>
      <c r="G233" s="15"/>
      <c r="H233" s="96"/>
      <c r="I233" s="16"/>
      <c r="J233" s="37" t="str">
        <f aca="false">IF(I233="","",IF(H233="",1,H233)*I233)</f>
        <v/>
      </c>
      <c r="K233" s="15"/>
      <c r="L233" s="97" t="str">
        <f aca="false">IF(C233="","",IF(OR(C233="Material",C233="Equipo",C233="Suministro"),"Materiales y equipos",IF(C233="Mano de obra contratista","Mano de obra contratista",IF(C233="Transporte","Transporte y otros","Alquileres"))))</f>
        <v/>
      </c>
      <c r="M233" s="6"/>
    </row>
    <row r="234" customFormat="false" ht="16.5" hidden="false" customHeight="true" outlineLevel="0" collapsed="false">
      <c r="A234" s="95" t="str">
        <f aca="false">IF(AND(B234="",C234=""),"",ROW()-6)</f>
        <v/>
      </c>
      <c r="B234" s="83"/>
      <c r="C234" s="15"/>
      <c r="D234" s="15"/>
      <c r="E234" s="85"/>
      <c r="F234" s="15"/>
      <c r="G234" s="15"/>
      <c r="H234" s="96"/>
      <c r="I234" s="16"/>
      <c r="J234" s="37" t="str">
        <f aca="false">IF(I234="","",IF(H234="",1,H234)*I234)</f>
        <v/>
      </c>
      <c r="K234" s="15"/>
      <c r="L234" s="97" t="str">
        <f aca="false">IF(C234="","",IF(OR(C234="Material",C234="Equipo",C234="Suministro"),"Materiales y equipos",IF(C234="Mano de obra contratista","Mano de obra contratista",IF(C234="Transporte","Transporte y otros","Alquileres"))))</f>
        <v/>
      </c>
      <c r="M234" s="6"/>
    </row>
    <row r="235" customFormat="false" ht="16.5" hidden="false" customHeight="true" outlineLevel="0" collapsed="false">
      <c r="A235" s="95" t="str">
        <f aca="false">IF(AND(B235="",C235=""),"",ROW()-6)</f>
        <v/>
      </c>
      <c r="B235" s="83"/>
      <c r="C235" s="15"/>
      <c r="D235" s="15"/>
      <c r="E235" s="85"/>
      <c r="F235" s="15"/>
      <c r="G235" s="15"/>
      <c r="H235" s="96"/>
      <c r="I235" s="16"/>
      <c r="J235" s="37" t="str">
        <f aca="false">IF(I235="","",IF(H235="",1,H235)*I235)</f>
        <v/>
      </c>
      <c r="K235" s="15"/>
      <c r="L235" s="97" t="str">
        <f aca="false">IF(C235="","",IF(OR(C235="Material",C235="Equipo",C235="Suministro"),"Materiales y equipos",IF(C235="Mano de obra contratista","Mano de obra contratista",IF(C235="Transporte","Transporte y otros","Alquileres"))))</f>
        <v/>
      </c>
      <c r="M235" s="6"/>
    </row>
    <row r="236" customFormat="false" ht="16.5" hidden="false" customHeight="true" outlineLevel="0" collapsed="false">
      <c r="A236" s="95" t="str">
        <f aca="false">IF(AND(B236="",C236=""),"",ROW()-6)</f>
        <v/>
      </c>
      <c r="B236" s="83"/>
      <c r="C236" s="15"/>
      <c r="D236" s="15"/>
      <c r="E236" s="85"/>
      <c r="F236" s="15"/>
      <c r="G236" s="15"/>
      <c r="H236" s="96"/>
      <c r="I236" s="16"/>
      <c r="J236" s="37" t="str">
        <f aca="false">IF(I236="","",IF(H236="",1,H236)*I236)</f>
        <v/>
      </c>
      <c r="K236" s="15"/>
      <c r="L236" s="97" t="str">
        <f aca="false">IF(C236="","",IF(OR(C236="Material",C236="Equipo",C236="Suministro"),"Materiales y equipos",IF(C236="Mano de obra contratista","Mano de obra contratista",IF(C236="Transporte","Transporte y otros","Alquileres"))))</f>
        <v/>
      </c>
      <c r="M236" s="6"/>
    </row>
    <row r="237" customFormat="false" ht="16.5" hidden="false" customHeight="true" outlineLevel="0" collapsed="false">
      <c r="A237" s="95" t="str">
        <f aca="false">IF(AND(B237="",C237=""),"",ROW()-6)</f>
        <v/>
      </c>
      <c r="B237" s="83"/>
      <c r="C237" s="15"/>
      <c r="D237" s="15"/>
      <c r="E237" s="85"/>
      <c r="F237" s="15"/>
      <c r="G237" s="15"/>
      <c r="H237" s="96"/>
      <c r="I237" s="16"/>
      <c r="J237" s="37" t="str">
        <f aca="false">IF(I237="","",IF(H237="",1,H237)*I237)</f>
        <v/>
      </c>
      <c r="K237" s="15"/>
      <c r="L237" s="97" t="str">
        <f aca="false">IF(C237="","",IF(OR(C237="Material",C237="Equipo",C237="Suministro"),"Materiales y equipos",IF(C237="Mano de obra contratista","Mano de obra contratista",IF(C237="Transporte","Transporte y otros","Alquileres"))))</f>
        <v/>
      </c>
      <c r="M237" s="6"/>
    </row>
    <row r="238" customFormat="false" ht="16.5" hidden="false" customHeight="true" outlineLevel="0" collapsed="false">
      <c r="A238" s="95" t="str">
        <f aca="false">IF(AND(B238="",C238=""),"",ROW()-6)</f>
        <v/>
      </c>
      <c r="B238" s="83"/>
      <c r="C238" s="15"/>
      <c r="D238" s="15"/>
      <c r="E238" s="85"/>
      <c r="F238" s="15"/>
      <c r="G238" s="15"/>
      <c r="H238" s="96"/>
      <c r="I238" s="16"/>
      <c r="J238" s="37" t="str">
        <f aca="false">IF(I238="","",IF(H238="",1,H238)*I238)</f>
        <v/>
      </c>
      <c r="K238" s="15"/>
      <c r="L238" s="97" t="str">
        <f aca="false">IF(C238="","",IF(OR(C238="Material",C238="Equipo",C238="Suministro"),"Materiales y equipos",IF(C238="Mano de obra contratista","Mano de obra contratista",IF(C238="Transporte","Transporte y otros","Alquileres"))))</f>
        <v/>
      </c>
      <c r="M238" s="6"/>
    </row>
    <row r="239" customFormat="false" ht="16.5" hidden="false" customHeight="true" outlineLevel="0" collapsed="false">
      <c r="A239" s="95" t="str">
        <f aca="false">IF(AND(B239="",C239=""),"",ROW()-6)</f>
        <v/>
      </c>
      <c r="B239" s="83"/>
      <c r="C239" s="15"/>
      <c r="D239" s="15"/>
      <c r="E239" s="85"/>
      <c r="F239" s="15"/>
      <c r="G239" s="15"/>
      <c r="H239" s="96"/>
      <c r="I239" s="16"/>
      <c r="J239" s="37" t="str">
        <f aca="false">IF(I239="","",IF(H239="",1,H239)*I239)</f>
        <v/>
      </c>
      <c r="K239" s="15"/>
      <c r="L239" s="97" t="str">
        <f aca="false">IF(C239="","",IF(OR(C239="Material",C239="Equipo",C239="Suministro"),"Materiales y equipos",IF(C239="Mano de obra contratista","Mano de obra contratista",IF(C239="Transporte","Transporte y otros","Alquileres"))))</f>
        <v/>
      </c>
      <c r="M239" s="6"/>
    </row>
    <row r="240" customFormat="false" ht="16.5" hidden="false" customHeight="true" outlineLevel="0" collapsed="false">
      <c r="A240" s="95" t="str">
        <f aca="false">IF(AND(B240="",C240=""),"",ROW()-6)</f>
        <v/>
      </c>
      <c r="B240" s="83"/>
      <c r="C240" s="15"/>
      <c r="D240" s="15"/>
      <c r="E240" s="85"/>
      <c r="F240" s="15"/>
      <c r="G240" s="15"/>
      <c r="H240" s="96"/>
      <c r="I240" s="16"/>
      <c r="J240" s="37" t="str">
        <f aca="false">IF(I240="","",IF(H240="",1,H240)*I240)</f>
        <v/>
      </c>
      <c r="K240" s="15"/>
      <c r="L240" s="97" t="str">
        <f aca="false">IF(C240="","",IF(OR(C240="Material",C240="Equipo",C240="Suministro"),"Materiales y equipos",IF(C240="Mano de obra contratista","Mano de obra contratista",IF(C240="Transporte","Transporte y otros","Alquileres"))))</f>
        <v/>
      </c>
      <c r="M240" s="6"/>
    </row>
    <row r="241" customFormat="false" ht="16.5" hidden="false" customHeight="true" outlineLevel="0" collapsed="false">
      <c r="A241" s="95" t="str">
        <f aca="false">IF(AND(B241="",C241=""),"",ROW()-6)</f>
        <v/>
      </c>
      <c r="B241" s="83"/>
      <c r="C241" s="15"/>
      <c r="D241" s="15"/>
      <c r="E241" s="85"/>
      <c r="F241" s="15"/>
      <c r="G241" s="15"/>
      <c r="H241" s="96"/>
      <c r="I241" s="16"/>
      <c r="J241" s="37" t="str">
        <f aca="false">IF(I241="","",IF(H241="",1,H241)*I241)</f>
        <v/>
      </c>
      <c r="K241" s="15"/>
      <c r="L241" s="97" t="str">
        <f aca="false">IF(C241="","",IF(OR(C241="Material",C241="Equipo",C241="Suministro"),"Materiales y equipos",IF(C241="Mano de obra contratista","Mano de obra contratista",IF(C241="Transporte","Transporte y otros","Alquileres"))))</f>
        <v/>
      </c>
      <c r="M241" s="6"/>
    </row>
    <row r="242" customFormat="false" ht="16.5" hidden="false" customHeight="true" outlineLevel="0" collapsed="false">
      <c r="A242" s="95" t="str">
        <f aca="false">IF(AND(B242="",C242=""),"",ROW()-6)</f>
        <v/>
      </c>
      <c r="B242" s="83"/>
      <c r="C242" s="15"/>
      <c r="D242" s="15"/>
      <c r="E242" s="85"/>
      <c r="F242" s="15"/>
      <c r="G242" s="15"/>
      <c r="H242" s="96"/>
      <c r="I242" s="16"/>
      <c r="J242" s="37" t="str">
        <f aca="false">IF(I242="","",IF(H242="",1,H242)*I242)</f>
        <v/>
      </c>
      <c r="K242" s="15"/>
      <c r="L242" s="97" t="str">
        <f aca="false">IF(C242="","",IF(OR(C242="Material",C242="Equipo",C242="Suministro"),"Materiales y equipos",IF(C242="Mano de obra contratista","Mano de obra contratista",IF(C242="Transporte","Transporte y otros","Alquileres"))))</f>
        <v/>
      </c>
      <c r="M242" s="6"/>
    </row>
    <row r="243" customFormat="false" ht="16.5" hidden="false" customHeight="true" outlineLevel="0" collapsed="false">
      <c r="A243" s="95" t="str">
        <f aca="false">IF(AND(B243="",C243=""),"",ROW()-6)</f>
        <v/>
      </c>
      <c r="B243" s="83"/>
      <c r="C243" s="15"/>
      <c r="D243" s="15"/>
      <c r="E243" s="85"/>
      <c r="F243" s="15"/>
      <c r="G243" s="15"/>
      <c r="H243" s="96"/>
      <c r="I243" s="16"/>
      <c r="J243" s="37" t="str">
        <f aca="false">IF(I243="","",IF(H243="",1,H243)*I243)</f>
        <v/>
      </c>
      <c r="K243" s="15"/>
      <c r="L243" s="97" t="str">
        <f aca="false">IF(C243="","",IF(OR(C243="Material",C243="Equipo",C243="Suministro"),"Materiales y equipos",IF(C243="Mano de obra contratista","Mano de obra contratista",IF(C243="Transporte","Transporte y otros","Alquileres"))))</f>
        <v/>
      </c>
      <c r="M243" s="6"/>
    </row>
    <row r="244" customFormat="false" ht="16.5" hidden="false" customHeight="true" outlineLevel="0" collapsed="false">
      <c r="A244" s="95" t="str">
        <f aca="false">IF(AND(B244="",C244=""),"",ROW()-6)</f>
        <v/>
      </c>
      <c r="B244" s="83"/>
      <c r="C244" s="15"/>
      <c r="D244" s="15"/>
      <c r="E244" s="85"/>
      <c r="F244" s="15"/>
      <c r="G244" s="15"/>
      <c r="H244" s="96"/>
      <c r="I244" s="16"/>
      <c r="J244" s="37" t="str">
        <f aca="false">IF(I244="","",IF(H244="",1,H244)*I244)</f>
        <v/>
      </c>
      <c r="K244" s="15"/>
      <c r="L244" s="97" t="str">
        <f aca="false">IF(C244="","",IF(OR(C244="Material",C244="Equipo",C244="Suministro"),"Materiales y equipos",IF(C244="Mano de obra contratista","Mano de obra contratista",IF(C244="Transporte","Transporte y otros","Alquileres"))))</f>
        <v/>
      </c>
      <c r="M244" s="6"/>
    </row>
    <row r="245" customFormat="false" ht="16.5" hidden="false" customHeight="true" outlineLevel="0" collapsed="false">
      <c r="A245" s="95" t="str">
        <f aca="false">IF(AND(B245="",C245=""),"",ROW()-6)</f>
        <v/>
      </c>
      <c r="B245" s="83"/>
      <c r="C245" s="15"/>
      <c r="D245" s="15"/>
      <c r="E245" s="85"/>
      <c r="F245" s="15"/>
      <c r="G245" s="15"/>
      <c r="H245" s="96"/>
      <c r="I245" s="16"/>
      <c r="J245" s="37" t="str">
        <f aca="false">IF(I245="","",IF(H245="",1,H245)*I245)</f>
        <v/>
      </c>
      <c r="K245" s="15"/>
      <c r="L245" s="97" t="str">
        <f aca="false">IF(C245="","",IF(OR(C245="Material",C245="Equipo",C245="Suministro"),"Materiales y equipos",IF(C245="Mano de obra contratista","Mano de obra contratista",IF(C245="Transporte","Transporte y otros","Alquileres"))))</f>
        <v/>
      </c>
      <c r="M245" s="6"/>
    </row>
    <row r="246" customFormat="false" ht="16.5" hidden="false" customHeight="true" outlineLevel="0" collapsed="false">
      <c r="A246" s="95" t="str">
        <f aca="false">IF(AND(B246="",C246=""),"",ROW()-6)</f>
        <v/>
      </c>
      <c r="B246" s="83"/>
      <c r="C246" s="15"/>
      <c r="D246" s="15"/>
      <c r="E246" s="85"/>
      <c r="F246" s="15"/>
      <c r="G246" s="15"/>
      <c r="H246" s="96"/>
      <c r="I246" s="16"/>
      <c r="J246" s="37" t="str">
        <f aca="false">IF(I246="","",IF(H246="",1,H246)*I246)</f>
        <v/>
      </c>
      <c r="K246" s="15"/>
      <c r="L246" s="97" t="str">
        <f aca="false">IF(C246="","",IF(OR(C246="Material",C246="Equipo",C246="Suministro"),"Materiales y equipos",IF(C246="Mano de obra contratista","Mano de obra contratista",IF(C246="Transporte","Transporte y otros","Alquileres"))))</f>
        <v/>
      </c>
      <c r="M246" s="6"/>
    </row>
    <row r="247" customFormat="false" ht="16.5" hidden="false" customHeight="true" outlineLevel="0" collapsed="false">
      <c r="A247" s="95" t="str">
        <f aca="false">IF(AND(B247="",C247=""),"",ROW()-6)</f>
        <v/>
      </c>
      <c r="B247" s="83"/>
      <c r="C247" s="15"/>
      <c r="D247" s="15"/>
      <c r="E247" s="85"/>
      <c r="F247" s="15"/>
      <c r="G247" s="15"/>
      <c r="H247" s="96"/>
      <c r="I247" s="16"/>
      <c r="J247" s="37" t="str">
        <f aca="false">IF(I247="","",IF(H247="",1,H247)*I247)</f>
        <v/>
      </c>
      <c r="K247" s="15"/>
      <c r="L247" s="97" t="str">
        <f aca="false">IF(C247="","",IF(OR(C247="Material",C247="Equipo",C247="Suministro"),"Materiales y equipos",IF(C247="Mano de obra contratista","Mano de obra contratista",IF(C247="Transporte","Transporte y otros","Alquileres"))))</f>
        <v/>
      </c>
      <c r="M247" s="6"/>
    </row>
    <row r="248" customFormat="false" ht="16.5" hidden="false" customHeight="true" outlineLevel="0" collapsed="false">
      <c r="A248" s="95" t="str">
        <f aca="false">IF(AND(B248="",C248=""),"",ROW()-6)</f>
        <v/>
      </c>
      <c r="B248" s="83"/>
      <c r="C248" s="15"/>
      <c r="D248" s="15"/>
      <c r="E248" s="85"/>
      <c r="F248" s="15"/>
      <c r="G248" s="15"/>
      <c r="H248" s="96"/>
      <c r="I248" s="16"/>
      <c r="J248" s="37" t="str">
        <f aca="false">IF(I248="","",IF(H248="",1,H248)*I248)</f>
        <v/>
      </c>
      <c r="K248" s="15"/>
      <c r="L248" s="97" t="str">
        <f aca="false">IF(C248="","",IF(OR(C248="Material",C248="Equipo",C248="Suministro"),"Materiales y equipos",IF(C248="Mano de obra contratista","Mano de obra contratista",IF(C248="Transporte","Transporte y otros","Alquileres"))))</f>
        <v/>
      </c>
      <c r="M248" s="6"/>
    </row>
    <row r="249" customFormat="false" ht="16.5" hidden="false" customHeight="true" outlineLevel="0" collapsed="false">
      <c r="A249" s="95" t="str">
        <f aca="false">IF(AND(B249="",C249=""),"",ROW()-6)</f>
        <v/>
      </c>
      <c r="B249" s="83"/>
      <c r="C249" s="15"/>
      <c r="D249" s="15"/>
      <c r="E249" s="85"/>
      <c r="F249" s="15"/>
      <c r="G249" s="15"/>
      <c r="H249" s="96"/>
      <c r="I249" s="16"/>
      <c r="J249" s="37" t="str">
        <f aca="false">IF(I249="","",IF(H249="",1,H249)*I249)</f>
        <v/>
      </c>
      <c r="K249" s="15"/>
      <c r="L249" s="97" t="str">
        <f aca="false">IF(C249="","",IF(OR(C249="Material",C249="Equipo",C249="Suministro"),"Materiales y equipos",IF(C249="Mano de obra contratista","Mano de obra contratista",IF(C249="Transporte","Transporte y otros","Alquileres"))))</f>
        <v/>
      </c>
      <c r="M249" s="6"/>
    </row>
    <row r="250" customFormat="false" ht="16.5" hidden="false" customHeight="true" outlineLevel="0" collapsed="false">
      <c r="A250" s="95" t="str">
        <f aca="false">IF(AND(B250="",C250=""),"",ROW()-6)</f>
        <v/>
      </c>
      <c r="B250" s="83"/>
      <c r="C250" s="15"/>
      <c r="D250" s="15"/>
      <c r="E250" s="85"/>
      <c r="F250" s="15"/>
      <c r="G250" s="15"/>
      <c r="H250" s="96"/>
      <c r="I250" s="16"/>
      <c r="J250" s="37" t="str">
        <f aca="false">IF(I250="","",IF(H250="",1,H250)*I250)</f>
        <v/>
      </c>
      <c r="K250" s="15"/>
      <c r="L250" s="97" t="str">
        <f aca="false">IF(C250="","",IF(OR(C250="Material",C250="Equipo",C250="Suministro"),"Materiales y equipos",IF(C250="Mano de obra contratista","Mano de obra contratista",IF(C250="Transporte","Transporte y otros","Alquileres"))))</f>
        <v/>
      </c>
      <c r="M250" s="6"/>
    </row>
    <row r="251" customFormat="false" ht="16.5" hidden="false" customHeight="true" outlineLevel="0" collapsed="false">
      <c r="A251" s="95" t="str">
        <f aca="false">IF(AND(B251="",C251=""),"",ROW()-6)</f>
        <v/>
      </c>
      <c r="B251" s="83"/>
      <c r="C251" s="15"/>
      <c r="D251" s="15"/>
      <c r="E251" s="85"/>
      <c r="F251" s="15"/>
      <c r="G251" s="15"/>
      <c r="H251" s="96"/>
      <c r="I251" s="16"/>
      <c r="J251" s="37" t="str">
        <f aca="false">IF(I251="","",IF(H251="",1,H251)*I251)</f>
        <v/>
      </c>
      <c r="K251" s="15"/>
      <c r="L251" s="97" t="str">
        <f aca="false">IF(C251="","",IF(OR(C251="Material",C251="Equipo",C251="Suministro"),"Materiales y equipos",IF(C251="Mano de obra contratista","Mano de obra contratista",IF(C251="Transporte","Transporte y otros","Alquileres"))))</f>
        <v/>
      </c>
      <c r="M251" s="6"/>
    </row>
    <row r="252" customFormat="false" ht="16.5" hidden="false" customHeight="true" outlineLevel="0" collapsed="false">
      <c r="A252" s="95" t="str">
        <f aca="false">IF(AND(B252="",C252=""),"",ROW()-6)</f>
        <v/>
      </c>
      <c r="B252" s="83"/>
      <c r="C252" s="15"/>
      <c r="D252" s="15"/>
      <c r="E252" s="85"/>
      <c r="F252" s="15"/>
      <c r="G252" s="15"/>
      <c r="H252" s="96"/>
      <c r="I252" s="16"/>
      <c r="J252" s="37" t="str">
        <f aca="false">IF(I252="","",IF(H252="",1,H252)*I252)</f>
        <v/>
      </c>
      <c r="K252" s="15"/>
      <c r="L252" s="97" t="str">
        <f aca="false">IF(C252="","",IF(OR(C252="Material",C252="Equipo",C252="Suministro"),"Materiales y equipos",IF(C252="Mano de obra contratista","Mano de obra contratista",IF(C252="Transporte","Transporte y otros","Alquileres"))))</f>
        <v/>
      </c>
      <c r="M252" s="6"/>
    </row>
    <row r="253" customFormat="false" ht="16.5" hidden="false" customHeight="true" outlineLevel="0" collapsed="false">
      <c r="A253" s="95" t="str">
        <f aca="false">IF(AND(B253="",C253=""),"",ROW()-6)</f>
        <v/>
      </c>
      <c r="B253" s="83"/>
      <c r="C253" s="15"/>
      <c r="D253" s="15"/>
      <c r="E253" s="85"/>
      <c r="F253" s="15"/>
      <c r="G253" s="15"/>
      <c r="H253" s="96"/>
      <c r="I253" s="16"/>
      <c r="J253" s="37" t="str">
        <f aca="false">IF(I253="","",IF(H253="",1,H253)*I253)</f>
        <v/>
      </c>
      <c r="K253" s="15"/>
      <c r="L253" s="97" t="str">
        <f aca="false">IF(C253="","",IF(OR(C253="Material",C253="Equipo",C253="Suministro"),"Materiales y equipos",IF(C253="Mano de obra contratista","Mano de obra contratista",IF(C253="Transporte","Transporte y otros","Alquileres"))))</f>
        <v/>
      </c>
      <c r="M253" s="6"/>
    </row>
    <row r="254" customFormat="false" ht="16.5" hidden="false" customHeight="true" outlineLevel="0" collapsed="false">
      <c r="A254" s="95" t="str">
        <f aca="false">IF(AND(B254="",C254=""),"",ROW()-6)</f>
        <v/>
      </c>
      <c r="B254" s="83"/>
      <c r="C254" s="15"/>
      <c r="D254" s="15"/>
      <c r="E254" s="85"/>
      <c r="F254" s="15"/>
      <c r="G254" s="15"/>
      <c r="H254" s="96"/>
      <c r="I254" s="16"/>
      <c r="J254" s="37" t="str">
        <f aca="false">IF(I254="","",IF(H254="",1,H254)*I254)</f>
        <v/>
      </c>
      <c r="K254" s="15"/>
      <c r="L254" s="97" t="str">
        <f aca="false">IF(C254="","",IF(OR(C254="Material",C254="Equipo",C254="Suministro"),"Materiales y equipos",IF(C254="Mano de obra contratista","Mano de obra contratista",IF(C254="Transporte","Transporte y otros","Alquileres"))))</f>
        <v/>
      </c>
      <c r="M254" s="6"/>
    </row>
    <row r="255" customFormat="false" ht="16.5" hidden="false" customHeight="true" outlineLevel="0" collapsed="false">
      <c r="A255" s="95" t="str">
        <f aca="false">IF(AND(B255="",C255=""),"",ROW()-6)</f>
        <v/>
      </c>
      <c r="B255" s="83"/>
      <c r="C255" s="15"/>
      <c r="D255" s="15"/>
      <c r="E255" s="85"/>
      <c r="F255" s="15"/>
      <c r="G255" s="15"/>
      <c r="H255" s="96"/>
      <c r="I255" s="16"/>
      <c r="J255" s="37" t="str">
        <f aca="false">IF(I255="","",IF(H255="",1,H255)*I255)</f>
        <v/>
      </c>
      <c r="K255" s="15"/>
      <c r="L255" s="97" t="str">
        <f aca="false">IF(C255="","",IF(OR(C255="Material",C255="Equipo",C255="Suministro"),"Materiales y equipos",IF(C255="Mano de obra contratista","Mano de obra contratista",IF(C255="Transporte","Transporte y otros","Alquileres"))))</f>
        <v/>
      </c>
      <c r="M255" s="6"/>
    </row>
    <row r="256" customFormat="false" ht="16.5" hidden="false" customHeight="true" outlineLevel="0" collapsed="false">
      <c r="A256" s="95" t="str">
        <f aca="false">IF(AND(B256="",C256=""),"",ROW()-6)</f>
        <v/>
      </c>
      <c r="B256" s="83"/>
      <c r="C256" s="15"/>
      <c r="D256" s="15"/>
      <c r="E256" s="85"/>
      <c r="F256" s="15"/>
      <c r="G256" s="15"/>
      <c r="H256" s="96"/>
      <c r="I256" s="16"/>
      <c r="J256" s="37" t="str">
        <f aca="false">IF(I256="","",IF(H256="",1,H256)*I256)</f>
        <v/>
      </c>
      <c r="K256" s="15"/>
      <c r="L256" s="97" t="str">
        <f aca="false">IF(C256="","",IF(OR(C256="Material",C256="Equipo",C256="Suministro"),"Materiales y equipos",IF(C256="Mano de obra contratista","Mano de obra contratista",IF(C256="Transporte","Transporte y otros","Alquileres"))))</f>
        <v/>
      </c>
      <c r="M256" s="6"/>
    </row>
    <row r="257" customFormat="false" ht="16.5" hidden="false" customHeight="true" outlineLevel="0" collapsed="false">
      <c r="A257" s="95" t="str">
        <f aca="false">IF(AND(B257="",C257=""),"",ROW()-6)</f>
        <v/>
      </c>
      <c r="B257" s="83"/>
      <c r="C257" s="15"/>
      <c r="D257" s="15"/>
      <c r="E257" s="85"/>
      <c r="F257" s="15"/>
      <c r="G257" s="15"/>
      <c r="H257" s="96"/>
      <c r="I257" s="16"/>
      <c r="J257" s="37" t="str">
        <f aca="false">IF(I257="","",IF(H257="",1,H257)*I257)</f>
        <v/>
      </c>
      <c r="K257" s="15"/>
      <c r="L257" s="97" t="str">
        <f aca="false">IF(C257="","",IF(OR(C257="Material",C257="Equipo",C257="Suministro"),"Materiales y equipos",IF(C257="Mano de obra contratista","Mano de obra contratista",IF(C257="Transporte","Transporte y otros","Alquileres"))))</f>
        <v/>
      </c>
      <c r="M257" s="6"/>
    </row>
    <row r="258" customFormat="false" ht="16.5" hidden="false" customHeight="true" outlineLevel="0" collapsed="false">
      <c r="A258" s="95" t="str">
        <f aca="false">IF(AND(B258="",C258=""),"",ROW()-6)</f>
        <v/>
      </c>
      <c r="B258" s="83"/>
      <c r="C258" s="15"/>
      <c r="D258" s="15"/>
      <c r="E258" s="85"/>
      <c r="F258" s="15"/>
      <c r="G258" s="15"/>
      <c r="H258" s="96"/>
      <c r="I258" s="16"/>
      <c r="J258" s="37" t="str">
        <f aca="false">IF(I258="","",IF(H258="",1,H258)*I258)</f>
        <v/>
      </c>
      <c r="K258" s="15"/>
      <c r="L258" s="97" t="str">
        <f aca="false">IF(C258="","",IF(OR(C258="Material",C258="Equipo",C258="Suministro"),"Materiales y equipos",IF(C258="Mano de obra contratista","Mano de obra contratista",IF(C258="Transporte","Transporte y otros","Alquileres"))))</f>
        <v/>
      </c>
      <c r="M258" s="6"/>
    </row>
    <row r="259" customFormat="false" ht="16.5" hidden="false" customHeight="true" outlineLevel="0" collapsed="false">
      <c r="A259" s="95" t="str">
        <f aca="false">IF(AND(B259="",C259=""),"",ROW()-6)</f>
        <v/>
      </c>
      <c r="B259" s="83"/>
      <c r="C259" s="15"/>
      <c r="D259" s="15"/>
      <c r="E259" s="85"/>
      <c r="F259" s="15"/>
      <c r="G259" s="15"/>
      <c r="H259" s="96"/>
      <c r="I259" s="16"/>
      <c r="J259" s="37" t="str">
        <f aca="false">IF(I259="","",IF(H259="",1,H259)*I259)</f>
        <v/>
      </c>
      <c r="K259" s="15"/>
      <c r="L259" s="97" t="str">
        <f aca="false">IF(C259="","",IF(OR(C259="Material",C259="Equipo",C259="Suministro"),"Materiales y equipos",IF(C259="Mano de obra contratista","Mano de obra contratista",IF(C259="Transporte","Transporte y otros","Alquileres"))))</f>
        <v/>
      </c>
      <c r="M259" s="6"/>
    </row>
    <row r="260" customFormat="false" ht="16.5" hidden="false" customHeight="true" outlineLevel="0" collapsed="false">
      <c r="A260" s="95" t="str">
        <f aca="false">IF(AND(B260="",C260=""),"",ROW()-6)</f>
        <v/>
      </c>
      <c r="B260" s="83"/>
      <c r="C260" s="15"/>
      <c r="D260" s="15"/>
      <c r="E260" s="85"/>
      <c r="F260" s="15"/>
      <c r="G260" s="15"/>
      <c r="H260" s="96"/>
      <c r="I260" s="16"/>
      <c r="J260" s="37" t="str">
        <f aca="false">IF(I260="","",IF(H260="",1,H260)*I260)</f>
        <v/>
      </c>
      <c r="K260" s="15"/>
      <c r="L260" s="97" t="str">
        <f aca="false">IF(C260="","",IF(OR(C260="Material",C260="Equipo",C260="Suministro"),"Materiales y equipos",IF(C260="Mano de obra contratista","Mano de obra contratista",IF(C260="Transporte","Transporte y otros","Alquileres"))))</f>
        <v/>
      </c>
      <c r="M260" s="6"/>
    </row>
    <row r="261" customFormat="false" ht="16.5" hidden="false" customHeight="true" outlineLevel="0" collapsed="false">
      <c r="A261" s="95" t="str">
        <f aca="false">IF(AND(B261="",C261=""),"",ROW()-6)</f>
        <v/>
      </c>
      <c r="B261" s="83"/>
      <c r="C261" s="15"/>
      <c r="D261" s="15"/>
      <c r="E261" s="85"/>
      <c r="F261" s="15"/>
      <c r="G261" s="15"/>
      <c r="H261" s="96"/>
      <c r="I261" s="16"/>
      <c r="J261" s="37" t="str">
        <f aca="false">IF(I261="","",IF(H261="",1,H261)*I261)</f>
        <v/>
      </c>
      <c r="K261" s="15"/>
      <c r="L261" s="97" t="str">
        <f aca="false">IF(C261="","",IF(OR(C261="Material",C261="Equipo",C261="Suministro"),"Materiales y equipos",IF(C261="Mano de obra contratista","Mano de obra contratista",IF(C261="Transporte","Transporte y otros","Alquileres"))))</f>
        <v/>
      </c>
      <c r="M261" s="6"/>
    </row>
    <row r="262" customFormat="false" ht="16.5" hidden="false" customHeight="true" outlineLevel="0" collapsed="false">
      <c r="A262" s="95" t="str">
        <f aca="false">IF(AND(B262="",C262=""),"",ROW()-6)</f>
        <v/>
      </c>
      <c r="B262" s="83"/>
      <c r="C262" s="15"/>
      <c r="D262" s="15"/>
      <c r="E262" s="85"/>
      <c r="F262" s="15"/>
      <c r="G262" s="15"/>
      <c r="H262" s="96"/>
      <c r="I262" s="16"/>
      <c r="J262" s="37" t="str">
        <f aca="false">IF(I262="","",IF(H262="",1,H262)*I262)</f>
        <v/>
      </c>
      <c r="K262" s="15"/>
      <c r="L262" s="97" t="str">
        <f aca="false">IF(C262="","",IF(OR(C262="Material",C262="Equipo",C262="Suministro"),"Materiales y equipos",IF(C262="Mano de obra contratista","Mano de obra contratista",IF(C262="Transporte","Transporte y otros","Alquileres"))))</f>
        <v/>
      </c>
      <c r="M262" s="6"/>
    </row>
    <row r="263" customFormat="false" ht="16.5" hidden="false" customHeight="true" outlineLevel="0" collapsed="false">
      <c r="A263" s="95" t="str">
        <f aca="false">IF(AND(B263="",C263=""),"",ROW()-6)</f>
        <v/>
      </c>
      <c r="B263" s="83"/>
      <c r="C263" s="15"/>
      <c r="D263" s="15"/>
      <c r="E263" s="85"/>
      <c r="F263" s="15"/>
      <c r="G263" s="15"/>
      <c r="H263" s="96"/>
      <c r="I263" s="16"/>
      <c r="J263" s="37" t="str">
        <f aca="false">IF(I263="","",IF(H263="",1,H263)*I263)</f>
        <v/>
      </c>
      <c r="K263" s="15"/>
      <c r="L263" s="97" t="str">
        <f aca="false">IF(C263="","",IF(OR(C263="Material",C263="Equipo",C263="Suministro"),"Materiales y equipos",IF(C263="Mano de obra contratista","Mano de obra contratista",IF(C263="Transporte","Transporte y otros","Alquileres"))))</f>
        <v/>
      </c>
      <c r="M263" s="6"/>
    </row>
    <row r="264" customFormat="false" ht="16.5" hidden="false" customHeight="true" outlineLevel="0" collapsed="false">
      <c r="A264" s="95" t="str">
        <f aca="false">IF(AND(B264="",C264=""),"",ROW()-6)</f>
        <v/>
      </c>
      <c r="B264" s="83"/>
      <c r="C264" s="15"/>
      <c r="D264" s="15"/>
      <c r="E264" s="85"/>
      <c r="F264" s="15"/>
      <c r="G264" s="15"/>
      <c r="H264" s="96"/>
      <c r="I264" s="16"/>
      <c r="J264" s="37" t="str">
        <f aca="false">IF(I264="","",IF(H264="",1,H264)*I264)</f>
        <v/>
      </c>
      <c r="K264" s="15"/>
      <c r="L264" s="97" t="str">
        <f aca="false">IF(C264="","",IF(OR(C264="Material",C264="Equipo",C264="Suministro"),"Materiales y equipos",IF(C264="Mano de obra contratista","Mano de obra contratista",IF(C264="Transporte","Transporte y otros","Alquileres"))))</f>
        <v/>
      </c>
      <c r="M264" s="6"/>
    </row>
    <row r="265" customFormat="false" ht="16.5" hidden="false" customHeight="true" outlineLevel="0" collapsed="false">
      <c r="A265" s="95" t="str">
        <f aca="false">IF(AND(B265="",C265=""),"",ROW()-6)</f>
        <v/>
      </c>
      <c r="B265" s="83"/>
      <c r="C265" s="15"/>
      <c r="D265" s="15"/>
      <c r="E265" s="85"/>
      <c r="F265" s="15"/>
      <c r="G265" s="15"/>
      <c r="H265" s="96"/>
      <c r="I265" s="16"/>
      <c r="J265" s="37" t="str">
        <f aca="false">IF(I265="","",IF(H265="",1,H265)*I265)</f>
        <v/>
      </c>
      <c r="K265" s="15"/>
      <c r="L265" s="97" t="str">
        <f aca="false">IF(C265="","",IF(OR(C265="Material",C265="Equipo",C265="Suministro"),"Materiales y equipos",IF(C265="Mano de obra contratista","Mano de obra contratista",IF(C265="Transporte","Transporte y otros","Alquileres"))))</f>
        <v/>
      </c>
      <c r="M265" s="6"/>
    </row>
    <row r="266" customFormat="false" ht="16.5" hidden="false" customHeight="true" outlineLevel="0" collapsed="false">
      <c r="A266" s="95" t="str">
        <f aca="false">IF(AND(B266="",C266=""),"",ROW()-6)</f>
        <v/>
      </c>
      <c r="B266" s="83"/>
      <c r="C266" s="15"/>
      <c r="D266" s="15"/>
      <c r="E266" s="85"/>
      <c r="F266" s="15"/>
      <c r="G266" s="15"/>
      <c r="H266" s="96"/>
      <c r="I266" s="16"/>
      <c r="J266" s="37" t="str">
        <f aca="false">IF(I266="","",IF(H266="",1,H266)*I266)</f>
        <v/>
      </c>
      <c r="K266" s="15"/>
      <c r="L266" s="97" t="str">
        <f aca="false">IF(C266="","",IF(OR(C266="Material",C266="Equipo",C266="Suministro"),"Materiales y equipos",IF(C266="Mano de obra contratista","Mano de obra contratista",IF(C266="Transporte","Transporte y otros","Alquileres"))))</f>
        <v/>
      </c>
      <c r="M266" s="6"/>
    </row>
    <row r="267" customFormat="false" ht="16.5" hidden="false" customHeight="true" outlineLevel="0" collapsed="false">
      <c r="A267" s="95" t="str">
        <f aca="false">IF(AND(B267="",C267=""),"",ROW()-6)</f>
        <v/>
      </c>
      <c r="B267" s="83"/>
      <c r="C267" s="15"/>
      <c r="D267" s="15"/>
      <c r="E267" s="85"/>
      <c r="F267" s="15"/>
      <c r="G267" s="15"/>
      <c r="H267" s="96"/>
      <c r="I267" s="16"/>
      <c r="J267" s="37" t="str">
        <f aca="false">IF(I267="","",IF(H267="",1,H267)*I267)</f>
        <v/>
      </c>
      <c r="K267" s="15"/>
      <c r="L267" s="97" t="str">
        <f aca="false">IF(C267="","",IF(OR(C267="Material",C267="Equipo",C267="Suministro"),"Materiales y equipos",IF(C267="Mano de obra contratista","Mano de obra contratista",IF(C267="Transporte","Transporte y otros","Alquileres"))))</f>
        <v/>
      </c>
      <c r="M267" s="6"/>
    </row>
    <row r="268" customFormat="false" ht="16.5" hidden="false" customHeight="true" outlineLevel="0" collapsed="false">
      <c r="A268" s="95" t="str">
        <f aca="false">IF(AND(B268="",C268=""),"",ROW()-6)</f>
        <v/>
      </c>
      <c r="B268" s="83"/>
      <c r="C268" s="15"/>
      <c r="D268" s="15"/>
      <c r="E268" s="85"/>
      <c r="F268" s="15"/>
      <c r="G268" s="15"/>
      <c r="H268" s="96"/>
      <c r="I268" s="16"/>
      <c r="J268" s="37" t="str">
        <f aca="false">IF(I268="","",IF(H268="",1,H268)*I268)</f>
        <v/>
      </c>
      <c r="K268" s="15"/>
      <c r="L268" s="97" t="str">
        <f aca="false">IF(C268="","",IF(OR(C268="Material",C268="Equipo",C268="Suministro"),"Materiales y equipos",IF(C268="Mano de obra contratista","Mano de obra contratista",IF(C268="Transporte","Transporte y otros","Alquileres"))))</f>
        <v/>
      </c>
      <c r="M268" s="6"/>
    </row>
    <row r="269" customFormat="false" ht="16.5" hidden="false" customHeight="true" outlineLevel="0" collapsed="false">
      <c r="A269" s="95" t="str">
        <f aca="false">IF(AND(B269="",C269=""),"",ROW()-6)</f>
        <v/>
      </c>
      <c r="B269" s="83"/>
      <c r="C269" s="15"/>
      <c r="D269" s="15"/>
      <c r="E269" s="85"/>
      <c r="F269" s="15"/>
      <c r="G269" s="15"/>
      <c r="H269" s="96"/>
      <c r="I269" s="16"/>
      <c r="J269" s="37" t="str">
        <f aca="false">IF(I269="","",IF(H269="",1,H269)*I269)</f>
        <v/>
      </c>
      <c r="K269" s="15"/>
      <c r="L269" s="97" t="str">
        <f aca="false">IF(C269="","",IF(OR(C269="Material",C269="Equipo",C269="Suministro"),"Materiales y equipos",IF(C269="Mano de obra contratista","Mano de obra contratista",IF(C269="Transporte","Transporte y otros","Alquileres"))))</f>
        <v/>
      </c>
      <c r="M269" s="6"/>
    </row>
    <row r="270" customFormat="false" ht="16.5" hidden="false" customHeight="true" outlineLevel="0" collapsed="false">
      <c r="A270" s="95" t="str">
        <f aca="false">IF(AND(B270="",C270=""),"",ROW()-6)</f>
        <v/>
      </c>
      <c r="B270" s="83"/>
      <c r="C270" s="15"/>
      <c r="D270" s="15"/>
      <c r="E270" s="85"/>
      <c r="F270" s="15"/>
      <c r="G270" s="15"/>
      <c r="H270" s="96"/>
      <c r="I270" s="16"/>
      <c r="J270" s="37" t="str">
        <f aca="false">IF(I270="","",IF(H270="",1,H270)*I270)</f>
        <v/>
      </c>
      <c r="K270" s="15"/>
      <c r="L270" s="97" t="str">
        <f aca="false">IF(C270="","",IF(OR(C270="Material",C270="Equipo",C270="Suministro"),"Materiales y equipos",IF(C270="Mano de obra contratista","Mano de obra contratista",IF(C270="Transporte","Transporte y otros","Alquileres"))))</f>
        <v/>
      </c>
      <c r="M270" s="6"/>
    </row>
    <row r="271" customFormat="false" ht="16.5" hidden="false" customHeight="true" outlineLevel="0" collapsed="false">
      <c r="A271" s="95" t="str">
        <f aca="false">IF(AND(B271="",C271=""),"",ROW()-6)</f>
        <v/>
      </c>
      <c r="B271" s="83"/>
      <c r="C271" s="15"/>
      <c r="D271" s="15"/>
      <c r="E271" s="85"/>
      <c r="F271" s="15"/>
      <c r="G271" s="15"/>
      <c r="H271" s="96"/>
      <c r="I271" s="16"/>
      <c r="J271" s="37" t="str">
        <f aca="false">IF(I271="","",IF(H271="",1,H271)*I271)</f>
        <v/>
      </c>
      <c r="K271" s="15"/>
      <c r="L271" s="97" t="str">
        <f aca="false">IF(C271="","",IF(OR(C271="Material",C271="Equipo",C271="Suministro"),"Materiales y equipos",IF(C271="Mano de obra contratista","Mano de obra contratista",IF(C271="Transporte","Transporte y otros","Alquileres"))))</f>
        <v/>
      </c>
      <c r="M271" s="6"/>
    </row>
    <row r="272" customFormat="false" ht="16.5" hidden="false" customHeight="true" outlineLevel="0" collapsed="false">
      <c r="A272" s="95" t="str">
        <f aca="false">IF(AND(B272="",C272=""),"",ROW()-6)</f>
        <v/>
      </c>
      <c r="B272" s="83"/>
      <c r="C272" s="15"/>
      <c r="D272" s="15"/>
      <c r="E272" s="85"/>
      <c r="F272" s="15"/>
      <c r="G272" s="15"/>
      <c r="H272" s="96"/>
      <c r="I272" s="16"/>
      <c r="J272" s="37" t="str">
        <f aca="false">IF(I272="","",IF(H272="",1,H272)*I272)</f>
        <v/>
      </c>
      <c r="K272" s="15"/>
      <c r="L272" s="97" t="str">
        <f aca="false">IF(C272="","",IF(OR(C272="Material",C272="Equipo",C272="Suministro"),"Materiales y equipos",IF(C272="Mano de obra contratista","Mano de obra contratista",IF(C272="Transporte","Transporte y otros","Alquileres"))))</f>
        <v/>
      </c>
      <c r="M272" s="6"/>
    </row>
    <row r="273" customFormat="false" ht="16.5" hidden="false" customHeight="true" outlineLevel="0" collapsed="false">
      <c r="A273" s="95" t="str">
        <f aca="false">IF(AND(B273="",C273=""),"",ROW()-6)</f>
        <v/>
      </c>
      <c r="B273" s="83"/>
      <c r="C273" s="15"/>
      <c r="D273" s="15"/>
      <c r="E273" s="85"/>
      <c r="F273" s="15"/>
      <c r="G273" s="15"/>
      <c r="H273" s="96"/>
      <c r="I273" s="16"/>
      <c r="J273" s="37" t="str">
        <f aca="false">IF(I273="","",IF(H273="",1,H273)*I273)</f>
        <v/>
      </c>
      <c r="K273" s="15"/>
      <c r="L273" s="97" t="str">
        <f aca="false">IF(C273="","",IF(OR(C273="Material",C273="Equipo",C273="Suministro"),"Materiales y equipos",IF(C273="Mano de obra contratista","Mano de obra contratista",IF(C273="Transporte","Transporte y otros","Alquileres"))))</f>
        <v/>
      </c>
      <c r="M273" s="6"/>
    </row>
    <row r="274" customFormat="false" ht="16.5" hidden="false" customHeight="true" outlineLevel="0" collapsed="false">
      <c r="A274" s="95" t="str">
        <f aca="false">IF(AND(B274="",C274=""),"",ROW()-6)</f>
        <v/>
      </c>
      <c r="B274" s="83"/>
      <c r="C274" s="15"/>
      <c r="D274" s="15"/>
      <c r="E274" s="85"/>
      <c r="F274" s="15"/>
      <c r="G274" s="15"/>
      <c r="H274" s="96"/>
      <c r="I274" s="16"/>
      <c r="J274" s="37" t="str">
        <f aca="false">IF(I274="","",IF(H274="",1,H274)*I274)</f>
        <v/>
      </c>
      <c r="K274" s="15"/>
      <c r="L274" s="97" t="str">
        <f aca="false">IF(C274="","",IF(OR(C274="Material",C274="Equipo",C274="Suministro"),"Materiales y equipos",IF(C274="Mano de obra contratista","Mano de obra contratista",IF(C274="Transporte","Transporte y otros","Alquileres"))))</f>
        <v/>
      </c>
      <c r="M274" s="6"/>
    </row>
    <row r="275" customFormat="false" ht="16.5" hidden="false" customHeight="true" outlineLevel="0" collapsed="false">
      <c r="A275" s="95" t="str">
        <f aca="false">IF(AND(B275="",C275=""),"",ROW()-6)</f>
        <v/>
      </c>
      <c r="B275" s="83"/>
      <c r="C275" s="15"/>
      <c r="D275" s="15"/>
      <c r="E275" s="85"/>
      <c r="F275" s="15"/>
      <c r="G275" s="15"/>
      <c r="H275" s="96"/>
      <c r="I275" s="16"/>
      <c r="J275" s="37" t="str">
        <f aca="false">IF(I275="","",IF(H275="",1,H275)*I275)</f>
        <v/>
      </c>
      <c r="K275" s="15"/>
      <c r="L275" s="97" t="str">
        <f aca="false">IF(C275="","",IF(OR(C275="Material",C275="Equipo",C275="Suministro"),"Materiales y equipos",IF(C275="Mano de obra contratista","Mano de obra contratista",IF(C275="Transporte","Transporte y otros","Alquileres"))))</f>
        <v/>
      </c>
      <c r="M275" s="6"/>
    </row>
    <row r="276" customFormat="false" ht="16.5" hidden="false" customHeight="true" outlineLevel="0" collapsed="false">
      <c r="A276" s="95" t="str">
        <f aca="false">IF(AND(B276="",C276=""),"",ROW()-6)</f>
        <v/>
      </c>
      <c r="B276" s="83"/>
      <c r="C276" s="15"/>
      <c r="D276" s="15"/>
      <c r="E276" s="85"/>
      <c r="F276" s="15"/>
      <c r="G276" s="15"/>
      <c r="H276" s="96"/>
      <c r="I276" s="16"/>
      <c r="J276" s="37" t="str">
        <f aca="false">IF(I276="","",IF(H276="",1,H276)*I276)</f>
        <v/>
      </c>
      <c r="K276" s="15"/>
      <c r="L276" s="97" t="str">
        <f aca="false">IF(C276="","",IF(OR(C276="Material",C276="Equipo",C276="Suministro"),"Materiales y equipos",IF(C276="Mano de obra contratista","Mano de obra contratista",IF(C276="Transporte","Transporte y otros","Alquileres"))))</f>
        <v/>
      </c>
      <c r="M276" s="6"/>
    </row>
    <row r="277" customFormat="false" ht="16.5" hidden="false" customHeight="true" outlineLevel="0" collapsed="false">
      <c r="A277" s="95" t="str">
        <f aca="false">IF(AND(B277="",C277=""),"",ROW()-6)</f>
        <v/>
      </c>
      <c r="B277" s="83"/>
      <c r="C277" s="15"/>
      <c r="D277" s="15"/>
      <c r="E277" s="85"/>
      <c r="F277" s="15"/>
      <c r="G277" s="15"/>
      <c r="H277" s="96"/>
      <c r="I277" s="16"/>
      <c r="J277" s="37" t="str">
        <f aca="false">IF(I277="","",IF(H277="",1,H277)*I277)</f>
        <v/>
      </c>
      <c r="K277" s="15"/>
      <c r="L277" s="97" t="str">
        <f aca="false">IF(C277="","",IF(OR(C277="Material",C277="Equipo",C277="Suministro"),"Materiales y equipos",IF(C277="Mano de obra contratista","Mano de obra contratista",IF(C277="Transporte","Transporte y otros","Alquileres"))))</f>
        <v/>
      </c>
      <c r="M277" s="6"/>
    </row>
    <row r="278" customFormat="false" ht="16.5" hidden="false" customHeight="true" outlineLevel="0" collapsed="false">
      <c r="A278" s="95" t="str">
        <f aca="false">IF(AND(B278="",C278=""),"",ROW()-6)</f>
        <v/>
      </c>
      <c r="B278" s="83"/>
      <c r="C278" s="15"/>
      <c r="D278" s="15"/>
      <c r="E278" s="85"/>
      <c r="F278" s="15"/>
      <c r="G278" s="15"/>
      <c r="H278" s="96"/>
      <c r="I278" s="16"/>
      <c r="J278" s="37" t="str">
        <f aca="false">IF(I278="","",IF(H278="",1,H278)*I278)</f>
        <v/>
      </c>
      <c r="K278" s="15"/>
      <c r="L278" s="97" t="str">
        <f aca="false">IF(C278="","",IF(OR(C278="Material",C278="Equipo",C278="Suministro"),"Materiales y equipos",IF(C278="Mano de obra contratista","Mano de obra contratista",IF(C278="Transporte","Transporte y otros","Alquileres"))))</f>
        <v/>
      </c>
      <c r="M278" s="6"/>
    </row>
    <row r="279" customFormat="false" ht="16.5" hidden="false" customHeight="true" outlineLevel="0" collapsed="false">
      <c r="A279" s="95" t="str">
        <f aca="false">IF(AND(B279="",C279=""),"",ROW()-6)</f>
        <v/>
      </c>
      <c r="B279" s="83"/>
      <c r="C279" s="15"/>
      <c r="D279" s="15"/>
      <c r="E279" s="85"/>
      <c r="F279" s="15"/>
      <c r="G279" s="15"/>
      <c r="H279" s="96"/>
      <c r="I279" s="16"/>
      <c r="J279" s="37" t="str">
        <f aca="false">IF(I279="","",IF(H279="",1,H279)*I279)</f>
        <v/>
      </c>
      <c r="K279" s="15"/>
      <c r="L279" s="97" t="str">
        <f aca="false">IF(C279="","",IF(OR(C279="Material",C279="Equipo",C279="Suministro"),"Materiales y equipos",IF(C279="Mano de obra contratista","Mano de obra contratista",IF(C279="Transporte","Transporte y otros","Alquileres"))))</f>
        <v/>
      </c>
      <c r="M279" s="6"/>
    </row>
    <row r="280" customFormat="false" ht="16.5" hidden="false" customHeight="true" outlineLevel="0" collapsed="false">
      <c r="A280" s="95" t="str">
        <f aca="false">IF(AND(B280="",C280=""),"",ROW()-6)</f>
        <v/>
      </c>
      <c r="B280" s="83"/>
      <c r="C280" s="15"/>
      <c r="D280" s="15"/>
      <c r="E280" s="85"/>
      <c r="F280" s="15"/>
      <c r="G280" s="15"/>
      <c r="H280" s="96"/>
      <c r="I280" s="16"/>
      <c r="J280" s="37" t="str">
        <f aca="false">IF(I280="","",IF(H280="",1,H280)*I280)</f>
        <v/>
      </c>
      <c r="K280" s="15"/>
      <c r="L280" s="97" t="str">
        <f aca="false">IF(C280="","",IF(OR(C280="Material",C280="Equipo",C280="Suministro"),"Materiales y equipos",IF(C280="Mano de obra contratista","Mano de obra contratista",IF(C280="Transporte","Transporte y otros","Alquileres"))))</f>
        <v/>
      </c>
      <c r="M280" s="6"/>
    </row>
    <row r="281" customFormat="false" ht="16.5" hidden="false" customHeight="true" outlineLevel="0" collapsed="false">
      <c r="A281" s="95" t="str">
        <f aca="false">IF(AND(B281="",C281=""),"",ROW()-6)</f>
        <v/>
      </c>
      <c r="B281" s="83"/>
      <c r="C281" s="15"/>
      <c r="D281" s="15"/>
      <c r="E281" s="85"/>
      <c r="F281" s="15"/>
      <c r="G281" s="15"/>
      <c r="H281" s="96"/>
      <c r="I281" s="16"/>
      <c r="J281" s="37" t="str">
        <f aca="false">IF(I281="","",IF(H281="",1,H281)*I281)</f>
        <v/>
      </c>
      <c r="K281" s="15"/>
      <c r="L281" s="97" t="str">
        <f aca="false">IF(C281="","",IF(OR(C281="Material",C281="Equipo",C281="Suministro"),"Materiales y equipos",IF(C281="Mano de obra contratista","Mano de obra contratista",IF(C281="Transporte","Transporte y otros","Alquileres"))))</f>
        <v/>
      </c>
      <c r="M281" s="6"/>
    </row>
    <row r="282" customFormat="false" ht="16.5" hidden="false" customHeight="true" outlineLevel="0" collapsed="false">
      <c r="A282" s="95" t="str">
        <f aca="false">IF(AND(B282="",C282=""),"",ROW()-6)</f>
        <v/>
      </c>
      <c r="B282" s="83"/>
      <c r="C282" s="15"/>
      <c r="D282" s="15"/>
      <c r="E282" s="85"/>
      <c r="F282" s="15"/>
      <c r="G282" s="15"/>
      <c r="H282" s="96"/>
      <c r="I282" s="16"/>
      <c r="J282" s="37" t="str">
        <f aca="false">IF(I282="","",IF(H282="",1,H282)*I282)</f>
        <v/>
      </c>
      <c r="K282" s="15"/>
      <c r="L282" s="97" t="str">
        <f aca="false">IF(C282="","",IF(OR(C282="Material",C282="Equipo",C282="Suministro"),"Materiales y equipos",IF(C282="Mano de obra contratista","Mano de obra contratista",IF(C282="Transporte","Transporte y otros","Alquileres"))))</f>
        <v/>
      </c>
      <c r="M282" s="6"/>
    </row>
    <row r="283" customFormat="false" ht="16.5" hidden="false" customHeight="true" outlineLevel="0" collapsed="false">
      <c r="A283" s="95" t="str">
        <f aca="false">IF(AND(B283="",C283=""),"",ROW()-6)</f>
        <v/>
      </c>
      <c r="B283" s="83"/>
      <c r="C283" s="15"/>
      <c r="D283" s="15"/>
      <c r="E283" s="85"/>
      <c r="F283" s="15"/>
      <c r="G283" s="15"/>
      <c r="H283" s="96"/>
      <c r="I283" s="16"/>
      <c r="J283" s="37" t="str">
        <f aca="false">IF(I283="","",IF(H283="",1,H283)*I283)</f>
        <v/>
      </c>
      <c r="K283" s="15"/>
      <c r="L283" s="97" t="str">
        <f aca="false">IF(C283="","",IF(OR(C283="Material",C283="Equipo",C283="Suministro"),"Materiales y equipos",IF(C283="Mano de obra contratista","Mano de obra contratista",IF(C283="Transporte","Transporte y otros","Alquileres"))))</f>
        <v/>
      </c>
      <c r="M283" s="6"/>
    </row>
    <row r="284" customFormat="false" ht="16.5" hidden="false" customHeight="true" outlineLevel="0" collapsed="false">
      <c r="A284" s="95" t="str">
        <f aca="false">IF(AND(B284="",C284=""),"",ROW()-6)</f>
        <v/>
      </c>
      <c r="B284" s="83"/>
      <c r="C284" s="15"/>
      <c r="D284" s="15"/>
      <c r="E284" s="85"/>
      <c r="F284" s="15"/>
      <c r="G284" s="15"/>
      <c r="H284" s="96"/>
      <c r="I284" s="16"/>
      <c r="J284" s="37" t="str">
        <f aca="false">IF(I284="","",IF(H284="",1,H284)*I284)</f>
        <v/>
      </c>
      <c r="K284" s="15"/>
      <c r="L284" s="97" t="str">
        <f aca="false">IF(C284="","",IF(OR(C284="Material",C284="Equipo",C284="Suministro"),"Materiales y equipos",IF(C284="Mano de obra contratista","Mano de obra contratista",IF(C284="Transporte","Transporte y otros","Alquileres"))))</f>
        <v/>
      </c>
      <c r="M284" s="6"/>
    </row>
    <row r="285" customFormat="false" ht="16.5" hidden="false" customHeight="true" outlineLevel="0" collapsed="false">
      <c r="A285" s="95" t="str">
        <f aca="false">IF(AND(B285="",C285=""),"",ROW()-6)</f>
        <v/>
      </c>
      <c r="B285" s="83"/>
      <c r="C285" s="15"/>
      <c r="D285" s="15"/>
      <c r="E285" s="85"/>
      <c r="F285" s="15"/>
      <c r="G285" s="15"/>
      <c r="H285" s="96"/>
      <c r="I285" s="16"/>
      <c r="J285" s="37" t="str">
        <f aca="false">IF(I285="","",IF(H285="",1,H285)*I285)</f>
        <v/>
      </c>
      <c r="K285" s="15"/>
      <c r="L285" s="97" t="str">
        <f aca="false">IF(C285="","",IF(OR(C285="Material",C285="Equipo",C285="Suministro"),"Materiales y equipos",IF(C285="Mano de obra contratista","Mano de obra contratista",IF(C285="Transporte","Transporte y otros","Alquileres"))))</f>
        <v/>
      </c>
      <c r="M285" s="6"/>
    </row>
    <row r="286" customFormat="false" ht="16.5" hidden="false" customHeight="true" outlineLevel="0" collapsed="false">
      <c r="A286" s="95" t="str">
        <f aca="false">IF(AND(B286="",C286=""),"",ROW()-6)</f>
        <v/>
      </c>
      <c r="B286" s="83"/>
      <c r="C286" s="15"/>
      <c r="D286" s="15"/>
      <c r="E286" s="85"/>
      <c r="F286" s="15"/>
      <c r="G286" s="15"/>
      <c r="H286" s="96"/>
      <c r="I286" s="16"/>
      <c r="J286" s="37" t="str">
        <f aca="false">IF(I286="","",IF(H286="",1,H286)*I286)</f>
        <v/>
      </c>
      <c r="K286" s="15"/>
      <c r="L286" s="97" t="str">
        <f aca="false">IF(C286="","",IF(OR(C286="Material",C286="Equipo",C286="Suministro"),"Materiales y equipos",IF(C286="Mano de obra contratista","Mano de obra contratista",IF(C286="Transporte","Transporte y otros","Alquileres"))))</f>
        <v/>
      </c>
      <c r="M286" s="6"/>
    </row>
    <row r="287" customFormat="false" ht="16.5" hidden="false" customHeight="true" outlineLevel="0" collapsed="false">
      <c r="A287" s="95" t="str">
        <f aca="false">IF(AND(B287="",C287=""),"",ROW()-6)</f>
        <v/>
      </c>
      <c r="B287" s="83"/>
      <c r="C287" s="15"/>
      <c r="D287" s="15"/>
      <c r="E287" s="85"/>
      <c r="F287" s="15"/>
      <c r="G287" s="15"/>
      <c r="H287" s="96"/>
      <c r="I287" s="16"/>
      <c r="J287" s="37" t="str">
        <f aca="false">IF(I287="","",IF(H287="",1,H287)*I287)</f>
        <v/>
      </c>
      <c r="K287" s="15"/>
      <c r="L287" s="97" t="str">
        <f aca="false">IF(C287="","",IF(OR(C287="Material",C287="Equipo",C287="Suministro"),"Materiales y equipos",IF(C287="Mano de obra contratista","Mano de obra contratista",IF(C287="Transporte","Transporte y otros","Alquileres"))))</f>
        <v/>
      </c>
      <c r="M287" s="6"/>
    </row>
    <row r="288" customFormat="false" ht="16.5" hidden="false" customHeight="true" outlineLevel="0" collapsed="false">
      <c r="A288" s="95" t="str">
        <f aca="false">IF(AND(B288="",C288=""),"",ROW()-6)</f>
        <v/>
      </c>
      <c r="B288" s="83"/>
      <c r="C288" s="15"/>
      <c r="D288" s="15"/>
      <c r="E288" s="85"/>
      <c r="F288" s="15"/>
      <c r="G288" s="15"/>
      <c r="H288" s="96"/>
      <c r="I288" s="16"/>
      <c r="J288" s="37" t="str">
        <f aca="false">IF(I288="","",IF(H288="",1,H288)*I288)</f>
        <v/>
      </c>
      <c r="K288" s="15"/>
      <c r="L288" s="97" t="str">
        <f aca="false">IF(C288="","",IF(OR(C288="Material",C288="Equipo",C288="Suministro"),"Materiales y equipos",IF(C288="Mano de obra contratista","Mano de obra contratista",IF(C288="Transporte","Transporte y otros","Alquileres"))))</f>
        <v/>
      </c>
      <c r="M288" s="6"/>
    </row>
    <row r="289" customFormat="false" ht="16.5" hidden="false" customHeight="true" outlineLevel="0" collapsed="false">
      <c r="A289" s="95" t="str">
        <f aca="false">IF(AND(B289="",C289=""),"",ROW()-6)</f>
        <v/>
      </c>
      <c r="B289" s="83"/>
      <c r="C289" s="15"/>
      <c r="D289" s="15"/>
      <c r="E289" s="85"/>
      <c r="F289" s="15"/>
      <c r="G289" s="15"/>
      <c r="H289" s="96"/>
      <c r="I289" s="16"/>
      <c r="J289" s="37" t="str">
        <f aca="false">IF(I289="","",IF(H289="",1,H289)*I289)</f>
        <v/>
      </c>
      <c r="K289" s="15"/>
      <c r="L289" s="97" t="str">
        <f aca="false">IF(C289="","",IF(OR(C289="Material",C289="Equipo",C289="Suministro"),"Materiales y equipos",IF(C289="Mano de obra contratista","Mano de obra contratista",IF(C289="Transporte","Transporte y otros","Alquileres"))))</f>
        <v/>
      </c>
      <c r="M289" s="6"/>
    </row>
    <row r="290" customFormat="false" ht="16.5" hidden="false" customHeight="true" outlineLevel="0" collapsed="false">
      <c r="A290" s="95" t="str">
        <f aca="false">IF(AND(B290="",C290=""),"",ROW()-6)</f>
        <v/>
      </c>
      <c r="B290" s="83"/>
      <c r="C290" s="15"/>
      <c r="D290" s="15"/>
      <c r="E290" s="85"/>
      <c r="F290" s="15"/>
      <c r="G290" s="15"/>
      <c r="H290" s="96"/>
      <c r="I290" s="16"/>
      <c r="J290" s="37" t="str">
        <f aca="false">IF(I290="","",IF(H290="",1,H290)*I290)</f>
        <v/>
      </c>
      <c r="K290" s="15"/>
      <c r="L290" s="97" t="str">
        <f aca="false">IF(C290="","",IF(OR(C290="Material",C290="Equipo",C290="Suministro"),"Materiales y equipos",IF(C290="Mano de obra contratista","Mano de obra contratista",IF(C290="Transporte","Transporte y otros","Alquileres"))))</f>
        <v/>
      </c>
      <c r="M290" s="6"/>
    </row>
    <row r="291" customFormat="false" ht="16.5" hidden="false" customHeight="true" outlineLevel="0" collapsed="false">
      <c r="A291" s="95" t="str">
        <f aca="false">IF(AND(B291="",C291=""),"",ROW()-6)</f>
        <v/>
      </c>
      <c r="B291" s="83"/>
      <c r="C291" s="15"/>
      <c r="D291" s="15"/>
      <c r="E291" s="85"/>
      <c r="F291" s="15"/>
      <c r="G291" s="15"/>
      <c r="H291" s="96"/>
      <c r="I291" s="16"/>
      <c r="J291" s="37" t="str">
        <f aca="false">IF(I291="","",IF(H291="",1,H291)*I291)</f>
        <v/>
      </c>
      <c r="K291" s="15"/>
      <c r="L291" s="97" t="str">
        <f aca="false">IF(C291="","",IF(OR(C291="Material",C291="Equipo",C291="Suministro"),"Materiales y equipos",IF(C291="Mano de obra contratista","Mano de obra contratista",IF(C291="Transporte","Transporte y otros","Alquileres"))))</f>
        <v/>
      </c>
      <c r="M291" s="6"/>
    </row>
    <row r="292" customFormat="false" ht="16.5" hidden="false" customHeight="true" outlineLevel="0" collapsed="false">
      <c r="A292" s="95" t="str">
        <f aca="false">IF(AND(B292="",C292=""),"",ROW()-6)</f>
        <v/>
      </c>
      <c r="B292" s="83"/>
      <c r="C292" s="15"/>
      <c r="D292" s="15"/>
      <c r="E292" s="85"/>
      <c r="F292" s="15"/>
      <c r="G292" s="15"/>
      <c r="H292" s="96"/>
      <c r="I292" s="16"/>
      <c r="J292" s="37" t="str">
        <f aca="false">IF(I292="","",IF(H292="",1,H292)*I292)</f>
        <v/>
      </c>
      <c r="K292" s="15"/>
      <c r="L292" s="97" t="str">
        <f aca="false">IF(C292="","",IF(OR(C292="Material",C292="Equipo",C292="Suministro"),"Materiales y equipos",IF(C292="Mano de obra contratista","Mano de obra contratista",IF(C292="Transporte","Transporte y otros","Alquileres"))))</f>
        <v/>
      </c>
      <c r="M292" s="6"/>
    </row>
    <row r="293" customFormat="false" ht="16.5" hidden="false" customHeight="true" outlineLevel="0" collapsed="false">
      <c r="A293" s="95" t="str">
        <f aca="false">IF(AND(B293="",C293=""),"",ROW()-6)</f>
        <v/>
      </c>
      <c r="B293" s="83"/>
      <c r="C293" s="15"/>
      <c r="D293" s="15"/>
      <c r="E293" s="85"/>
      <c r="F293" s="15"/>
      <c r="G293" s="15"/>
      <c r="H293" s="96"/>
      <c r="I293" s="16"/>
      <c r="J293" s="37" t="str">
        <f aca="false">IF(I293="","",IF(H293="",1,H293)*I293)</f>
        <v/>
      </c>
      <c r="K293" s="15"/>
      <c r="L293" s="97" t="str">
        <f aca="false">IF(C293="","",IF(OR(C293="Material",C293="Equipo",C293="Suministro"),"Materiales y equipos",IF(C293="Mano de obra contratista","Mano de obra contratista",IF(C293="Transporte","Transporte y otros","Alquileres"))))</f>
        <v/>
      </c>
      <c r="M293" s="6"/>
    </row>
    <row r="294" customFormat="false" ht="16.5" hidden="false" customHeight="true" outlineLevel="0" collapsed="false">
      <c r="A294" s="95" t="str">
        <f aca="false">IF(AND(B294="",C294=""),"",ROW()-6)</f>
        <v/>
      </c>
      <c r="B294" s="83"/>
      <c r="C294" s="15"/>
      <c r="D294" s="15"/>
      <c r="E294" s="85"/>
      <c r="F294" s="15"/>
      <c r="G294" s="15"/>
      <c r="H294" s="96"/>
      <c r="I294" s="16"/>
      <c r="J294" s="37" t="str">
        <f aca="false">IF(I294="","",IF(H294="",1,H294)*I294)</f>
        <v/>
      </c>
      <c r="K294" s="15"/>
      <c r="L294" s="97" t="str">
        <f aca="false">IF(C294="","",IF(OR(C294="Material",C294="Equipo",C294="Suministro"),"Materiales y equipos",IF(C294="Mano de obra contratista","Mano de obra contratista",IF(C294="Transporte","Transporte y otros","Alquileres"))))</f>
        <v/>
      </c>
      <c r="M294" s="6"/>
    </row>
    <row r="295" customFormat="false" ht="16.5" hidden="false" customHeight="true" outlineLevel="0" collapsed="false">
      <c r="A295" s="95" t="str">
        <f aca="false">IF(AND(B295="",C295=""),"",ROW()-6)</f>
        <v/>
      </c>
      <c r="B295" s="83"/>
      <c r="C295" s="15"/>
      <c r="D295" s="15"/>
      <c r="E295" s="85"/>
      <c r="F295" s="15"/>
      <c r="G295" s="15"/>
      <c r="H295" s="96"/>
      <c r="I295" s="16"/>
      <c r="J295" s="37" t="str">
        <f aca="false">IF(I295="","",IF(H295="",1,H295)*I295)</f>
        <v/>
      </c>
      <c r="K295" s="15"/>
      <c r="L295" s="97" t="str">
        <f aca="false">IF(C295="","",IF(OR(C295="Material",C295="Equipo",C295="Suministro"),"Materiales y equipos",IF(C295="Mano de obra contratista","Mano de obra contratista",IF(C295="Transporte","Transporte y otros","Alquileres"))))</f>
        <v/>
      </c>
      <c r="M295" s="6"/>
    </row>
    <row r="296" customFormat="false" ht="16.5" hidden="false" customHeight="true" outlineLevel="0" collapsed="false">
      <c r="A296" s="95" t="str">
        <f aca="false">IF(AND(B296="",C296=""),"",ROW()-6)</f>
        <v/>
      </c>
      <c r="B296" s="83"/>
      <c r="C296" s="15"/>
      <c r="D296" s="15"/>
      <c r="E296" s="85"/>
      <c r="F296" s="15"/>
      <c r="G296" s="15"/>
      <c r="H296" s="96"/>
      <c r="I296" s="16"/>
      <c r="J296" s="37" t="str">
        <f aca="false">IF(I296="","",IF(H296="",1,H296)*I296)</f>
        <v/>
      </c>
      <c r="K296" s="15"/>
      <c r="L296" s="97" t="str">
        <f aca="false">IF(C296="","",IF(OR(C296="Material",C296="Equipo",C296="Suministro"),"Materiales y equipos",IF(C296="Mano de obra contratista","Mano de obra contratista",IF(C296="Transporte","Transporte y otros","Alquileres"))))</f>
        <v/>
      </c>
      <c r="M296" s="6"/>
    </row>
    <row r="297" customFormat="false" ht="16.5" hidden="false" customHeight="true" outlineLevel="0" collapsed="false">
      <c r="A297" s="95" t="str">
        <f aca="false">IF(AND(B297="",C297=""),"",ROW()-6)</f>
        <v/>
      </c>
      <c r="B297" s="83"/>
      <c r="C297" s="15"/>
      <c r="D297" s="15"/>
      <c r="E297" s="85"/>
      <c r="F297" s="15"/>
      <c r="G297" s="15"/>
      <c r="H297" s="96"/>
      <c r="I297" s="16"/>
      <c r="J297" s="37" t="str">
        <f aca="false">IF(I297="","",IF(H297="",1,H297)*I297)</f>
        <v/>
      </c>
      <c r="K297" s="15"/>
      <c r="L297" s="97" t="str">
        <f aca="false">IF(C297="","",IF(OR(C297="Material",C297="Equipo",C297="Suministro"),"Materiales y equipos",IF(C297="Mano de obra contratista","Mano de obra contratista",IF(C297="Transporte","Transporte y otros","Alquileres"))))</f>
        <v/>
      </c>
      <c r="M297" s="6"/>
    </row>
    <row r="298" customFormat="false" ht="16.5" hidden="false" customHeight="true" outlineLevel="0" collapsed="false">
      <c r="A298" s="95" t="str">
        <f aca="false">IF(AND(B298="",C298=""),"",ROW()-6)</f>
        <v/>
      </c>
      <c r="B298" s="83"/>
      <c r="C298" s="15"/>
      <c r="D298" s="15"/>
      <c r="E298" s="85"/>
      <c r="F298" s="15"/>
      <c r="G298" s="15"/>
      <c r="H298" s="96"/>
      <c r="I298" s="16"/>
      <c r="J298" s="37" t="str">
        <f aca="false">IF(I298="","",IF(H298="",1,H298)*I298)</f>
        <v/>
      </c>
      <c r="K298" s="15"/>
      <c r="L298" s="97" t="str">
        <f aca="false">IF(C298="","",IF(OR(C298="Material",C298="Equipo",C298="Suministro"),"Materiales y equipos",IF(C298="Mano de obra contratista","Mano de obra contratista",IF(C298="Transporte","Transporte y otros","Alquileres"))))</f>
        <v/>
      </c>
      <c r="M298" s="6"/>
    </row>
    <row r="299" customFormat="false" ht="16.5" hidden="false" customHeight="true" outlineLevel="0" collapsed="false">
      <c r="A299" s="95" t="str">
        <f aca="false">IF(AND(B299="",C299=""),"",ROW()-6)</f>
        <v/>
      </c>
      <c r="B299" s="83"/>
      <c r="C299" s="15"/>
      <c r="D299" s="15"/>
      <c r="E299" s="85"/>
      <c r="F299" s="15"/>
      <c r="G299" s="15"/>
      <c r="H299" s="96"/>
      <c r="I299" s="16"/>
      <c r="J299" s="37" t="str">
        <f aca="false">IF(I299="","",IF(H299="",1,H299)*I299)</f>
        <v/>
      </c>
      <c r="K299" s="15"/>
      <c r="L299" s="97" t="str">
        <f aca="false">IF(C299="","",IF(OR(C299="Material",C299="Equipo",C299="Suministro"),"Materiales y equipos",IF(C299="Mano de obra contratista","Mano de obra contratista",IF(C299="Transporte","Transporte y otros","Alquileres"))))</f>
        <v/>
      </c>
      <c r="M299" s="6"/>
    </row>
    <row r="300" customFormat="false" ht="16.5" hidden="false" customHeight="true" outlineLevel="0" collapsed="false">
      <c r="A300" s="95" t="str">
        <f aca="false">IF(AND(B300="",C300=""),"",ROW()-6)</f>
        <v/>
      </c>
      <c r="B300" s="83"/>
      <c r="C300" s="15"/>
      <c r="D300" s="15"/>
      <c r="E300" s="85"/>
      <c r="F300" s="15"/>
      <c r="G300" s="15"/>
      <c r="H300" s="96"/>
      <c r="I300" s="16"/>
      <c r="J300" s="37" t="str">
        <f aca="false">IF(I300="","",IF(H300="",1,H300)*I300)</f>
        <v/>
      </c>
      <c r="K300" s="15"/>
      <c r="L300" s="97" t="str">
        <f aca="false">IF(C300="","",IF(OR(C300="Material",C300="Equipo",C300="Suministro"),"Materiales y equipos",IF(C300="Mano de obra contratista","Mano de obra contratista",IF(C300="Transporte","Transporte y otros","Alquileres"))))</f>
        <v/>
      </c>
      <c r="M300" s="6"/>
    </row>
    <row r="301" customFormat="false" ht="16.5" hidden="false" customHeight="true" outlineLevel="0" collapsed="false">
      <c r="A301" s="95" t="str">
        <f aca="false">IF(AND(B301="",C301=""),"",ROW()-6)</f>
        <v/>
      </c>
      <c r="B301" s="83"/>
      <c r="C301" s="15"/>
      <c r="D301" s="15"/>
      <c r="E301" s="85"/>
      <c r="F301" s="15"/>
      <c r="G301" s="15"/>
      <c r="H301" s="96"/>
      <c r="I301" s="16"/>
      <c r="J301" s="37" t="str">
        <f aca="false">IF(I301="","",IF(H301="",1,H301)*I301)</f>
        <v/>
      </c>
      <c r="K301" s="15"/>
      <c r="L301" s="97" t="str">
        <f aca="false">IF(C301="","",IF(OR(C301="Material",C301="Equipo",C301="Suministro"),"Materiales y equipos",IF(C301="Mano de obra contratista","Mano de obra contratista",IF(C301="Transporte","Transporte y otros","Alquileres"))))</f>
        <v/>
      </c>
      <c r="M301" s="6"/>
    </row>
    <row r="302" customFormat="false" ht="16.5" hidden="false" customHeight="true" outlineLevel="0" collapsed="false">
      <c r="A302" s="95" t="str">
        <f aca="false">IF(AND(B302="",C302=""),"",ROW()-6)</f>
        <v/>
      </c>
      <c r="B302" s="83"/>
      <c r="C302" s="15"/>
      <c r="D302" s="15"/>
      <c r="E302" s="85"/>
      <c r="F302" s="15"/>
      <c r="G302" s="15"/>
      <c r="H302" s="96"/>
      <c r="I302" s="16"/>
      <c r="J302" s="37" t="str">
        <f aca="false">IF(I302="","",IF(H302="",1,H302)*I302)</f>
        <v/>
      </c>
      <c r="K302" s="15"/>
      <c r="L302" s="97" t="str">
        <f aca="false">IF(C302="","",IF(OR(C302="Material",C302="Equipo",C302="Suministro"),"Materiales y equipos",IF(C302="Mano de obra contratista","Mano de obra contratista",IF(C302="Transporte","Transporte y otros","Alquileres"))))</f>
        <v/>
      </c>
      <c r="M302" s="6"/>
    </row>
    <row r="303" customFormat="false" ht="16.5" hidden="false" customHeight="true" outlineLevel="0" collapsed="false">
      <c r="A303" s="95" t="str">
        <f aca="false">IF(AND(B303="",C303=""),"",ROW()-6)</f>
        <v/>
      </c>
      <c r="B303" s="83"/>
      <c r="C303" s="15"/>
      <c r="D303" s="15"/>
      <c r="E303" s="85"/>
      <c r="F303" s="15"/>
      <c r="G303" s="15"/>
      <c r="H303" s="96"/>
      <c r="I303" s="16"/>
      <c r="J303" s="37" t="str">
        <f aca="false">IF(I303="","",IF(H303="",1,H303)*I303)</f>
        <v/>
      </c>
      <c r="K303" s="15"/>
      <c r="L303" s="97" t="str">
        <f aca="false">IF(C303="","",IF(OR(C303="Material",C303="Equipo",C303="Suministro"),"Materiales y equipos",IF(C303="Mano de obra contratista","Mano de obra contratista",IF(C303="Transporte","Transporte y otros","Alquileres"))))</f>
        <v/>
      </c>
      <c r="M303" s="6"/>
    </row>
    <row r="304" customFormat="false" ht="16.5" hidden="false" customHeight="true" outlineLevel="0" collapsed="false">
      <c r="A304" s="95" t="str">
        <f aca="false">IF(AND(B304="",C304=""),"",ROW()-6)</f>
        <v/>
      </c>
      <c r="B304" s="83"/>
      <c r="C304" s="15"/>
      <c r="D304" s="15"/>
      <c r="E304" s="85"/>
      <c r="F304" s="15"/>
      <c r="G304" s="15"/>
      <c r="H304" s="96"/>
      <c r="I304" s="16"/>
      <c r="J304" s="37" t="str">
        <f aca="false">IF(I304="","",IF(H304="",1,H304)*I304)</f>
        <v/>
      </c>
      <c r="K304" s="15"/>
      <c r="L304" s="97" t="str">
        <f aca="false">IF(C304="","",IF(OR(C304="Material",C304="Equipo",C304="Suministro"),"Materiales y equipos",IF(C304="Mano de obra contratista","Mano de obra contratista",IF(C304="Transporte","Transporte y otros","Alquileres"))))</f>
        <v/>
      </c>
      <c r="M304" s="6"/>
    </row>
    <row r="305" customFormat="false" ht="16.5" hidden="false" customHeight="true" outlineLevel="0" collapsed="false">
      <c r="A305" s="95" t="str">
        <f aca="false">IF(AND(B305="",C305=""),"",ROW()-6)</f>
        <v/>
      </c>
      <c r="B305" s="83"/>
      <c r="C305" s="15"/>
      <c r="D305" s="15"/>
      <c r="E305" s="85"/>
      <c r="F305" s="15"/>
      <c r="G305" s="15"/>
      <c r="H305" s="96"/>
      <c r="I305" s="16"/>
      <c r="J305" s="37" t="str">
        <f aca="false">IF(I305="","",IF(H305="",1,H305)*I305)</f>
        <v/>
      </c>
      <c r="K305" s="15"/>
      <c r="L305" s="97" t="str">
        <f aca="false">IF(C305="","",IF(OR(C305="Material",C305="Equipo",C305="Suministro"),"Materiales y equipos",IF(C305="Mano de obra contratista","Mano de obra contratista",IF(C305="Transporte","Transporte y otros","Alquileres"))))</f>
        <v/>
      </c>
      <c r="M305" s="6"/>
    </row>
    <row r="306" customFormat="false" ht="16.5" hidden="false" customHeight="true" outlineLevel="0" collapsed="false">
      <c r="A306" s="95" t="str">
        <f aca="false">IF(AND(B306="",C306=""),"",ROW()-6)</f>
        <v/>
      </c>
      <c r="B306" s="83"/>
      <c r="C306" s="15"/>
      <c r="D306" s="15"/>
      <c r="E306" s="85"/>
      <c r="F306" s="15"/>
      <c r="G306" s="15"/>
      <c r="H306" s="96"/>
      <c r="I306" s="16"/>
      <c r="J306" s="37" t="str">
        <f aca="false">IF(I306="","",IF(H306="",1,H306)*I306)</f>
        <v/>
      </c>
      <c r="K306" s="15"/>
      <c r="L306" s="97" t="str">
        <f aca="false">IF(C306="","",IF(OR(C306="Material",C306="Equipo",C306="Suministro"),"Materiales y equipos",IF(C306="Mano de obra contratista","Mano de obra contratista",IF(C306="Transporte","Transporte y otros","Alquileres"))))</f>
        <v/>
      </c>
      <c r="M306" s="6"/>
    </row>
    <row r="307" customFormat="false" ht="16.5" hidden="false" customHeight="true" outlineLevel="0" collapsed="false">
      <c r="A307" s="95" t="str">
        <f aca="false">IF(AND(B307="",C307=""),"",ROW()-6)</f>
        <v/>
      </c>
      <c r="B307" s="83"/>
      <c r="C307" s="15"/>
      <c r="D307" s="15"/>
      <c r="E307" s="85"/>
      <c r="F307" s="15"/>
      <c r="G307" s="15"/>
      <c r="H307" s="96"/>
      <c r="I307" s="16"/>
      <c r="J307" s="37" t="str">
        <f aca="false">IF(I307="","",IF(H307="",1,H307)*I307)</f>
        <v/>
      </c>
      <c r="K307" s="15"/>
      <c r="L307" s="97" t="str">
        <f aca="false">IF(C307="","",IF(OR(C307="Material",C307="Equipo",C307="Suministro"),"Materiales y equipos",IF(C307="Mano de obra contratista","Mano de obra contratista",IF(C307="Transporte","Transporte y otros","Alquileres"))))</f>
        <v/>
      </c>
      <c r="M307" s="6"/>
    </row>
    <row r="308" customFormat="false" ht="16.5" hidden="false" customHeight="true" outlineLevel="0" collapsed="false">
      <c r="A308" s="95" t="str">
        <f aca="false">IF(AND(B308="",C308=""),"",ROW()-6)</f>
        <v/>
      </c>
      <c r="B308" s="83"/>
      <c r="C308" s="15"/>
      <c r="D308" s="15"/>
      <c r="E308" s="85"/>
      <c r="F308" s="15"/>
      <c r="G308" s="15"/>
      <c r="H308" s="96"/>
      <c r="I308" s="16"/>
      <c r="J308" s="37" t="str">
        <f aca="false">IF(I308="","",IF(H308="",1,H308)*I308)</f>
        <v/>
      </c>
      <c r="K308" s="15"/>
      <c r="L308" s="97" t="str">
        <f aca="false">IF(C308="","",IF(OR(C308="Material",C308="Equipo",C308="Suministro"),"Materiales y equipos",IF(C308="Mano de obra contratista","Mano de obra contratista",IF(C308="Transporte","Transporte y otros","Alquileres"))))</f>
        <v/>
      </c>
      <c r="M308" s="6"/>
    </row>
    <row r="309" customFormat="false" ht="16.5" hidden="false" customHeight="true" outlineLevel="0" collapsed="false">
      <c r="A309" s="95" t="str">
        <f aca="false">IF(AND(B309="",C309=""),"",ROW()-6)</f>
        <v/>
      </c>
      <c r="B309" s="83"/>
      <c r="C309" s="15"/>
      <c r="D309" s="15"/>
      <c r="E309" s="85"/>
      <c r="F309" s="15"/>
      <c r="G309" s="15"/>
      <c r="H309" s="96"/>
      <c r="I309" s="16"/>
      <c r="J309" s="37" t="str">
        <f aca="false">IF(I309="","",IF(H309="",1,H309)*I309)</f>
        <v/>
      </c>
      <c r="K309" s="15"/>
      <c r="L309" s="97" t="str">
        <f aca="false">IF(C309="","",IF(OR(C309="Material",C309="Equipo",C309="Suministro"),"Materiales y equipos",IF(C309="Mano de obra contratista","Mano de obra contratista",IF(C309="Transporte","Transporte y otros","Alquileres"))))</f>
        <v/>
      </c>
      <c r="M309" s="6"/>
    </row>
    <row r="310" customFormat="false" ht="16.5" hidden="false" customHeight="true" outlineLevel="0" collapsed="false">
      <c r="A310" s="95" t="str">
        <f aca="false">IF(AND(B310="",C310=""),"",ROW()-6)</f>
        <v/>
      </c>
      <c r="B310" s="83"/>
      <c r="C310" s="15"/>
      <c r="D310" s="15"/>
      <c r="E310" s="85"/>
      <c r="F310" s="15"/>
      <c r="G310" s="15"/>
      <c r="H310" s="96"/>
      <c r="I310" s="16"/>
      <c r="J310" s="37" t="str">
        <f aca="false">IF(I310="","",IF(H310="",1,H310)*I310)</f>
        <v/>
      </c>
      <c r="K310" s="15"/>
      <c r="L310" s="97" t="str">
        <f aca="false">IF(C310="","",IF(OR(C310="Material",C310="Equipo",C310="Suministro"),"Materiales y equipos",IF(C310="Mano de obra contratista","Mano de obra contratista",IF(C310="Transporte","Transporte y otros","Alquileres"))))</f>
        <v/>
      </c>
      <c r="M310" s="6"/>
    </row>
    <row r="311" customFormat="false" ht="16.5" hidden="false" customHeight="true" outlineLevel="0" collapsed="false">
      <c r="A311" s="95" t="str">
        <f aca="false">IF(AND(B311="",C311=""),"",ROW()-6)</f>
        <v/>
      </c>
      <c r="B311" s="83"/>
      <c r="C311" s="15"/>
      <c r="D311" s="15"/>
      <c r="E311" s="85"/>
      <c r="F311" s="15"/>
      <c r="G311" s="15"/>
      <c r="H311" s="96"/>
      <c r="I311" s="16"/>
      <c r="J311" s="37" t="str">
        <f aca="false">IF(I311="","",IF(H311="",1,H311)*I311)</f>
        <v/>
      </c>
      <c r="K311" s="15"/>
      <c r="L311" s="97" t="str">
        <f aca="false">IF(C311="","",IF(OR(C311="Material",C311="Equipo",C311="Suministro"),"Materiales y equipos",IF(C311="Mano de obra contratista","Mano de obra contratista",IF(C311="Transporte","Transporte y otros","Alquileres"))))</f>
        <v/>
      </c>
      <c r="M311" s="6"/>
    </row>
    <row r="312" customFormat="false" ht="16.5" hidden="false" customHeight="true" outlineLevel="0" collapsed="false">
      <c r="A312" s="95" t="str">
        <f aca="false">IF(AND(B312="",C312=""),"",ROW()-6)</f>
        <v/>
      </c>
      <c r="B312" s="83"/>
      <c r="C312" s="15"/>
      <c r="D312" s="15"/>
      <c r="E312" s="85"/>
      <c r="F312" s="15"/>
      <c r="G312" s="15"/>
      <c r="H312" s="96"/>
      <c r="I312" s="16"/>
      <c r="J312" s="37" t="str">
        <f aca="false">IF(I312="","",IF(H312="",1,H312)*I312)</f>
        <v/>
      </c>
      <c r="K312" s="15"/>
      <c r="L312" s="97" t="str">
        <f aca="false">IF(C312="","",IF(OR(C312="Material",C312="Equipo",C312="Suministro"),"Materiales y equipos",IF(C312="Mano de obra contratista","Mano de obra contratista",IF(C312="Transporte","Transporte y otros","Alquileres"))))</f>
        <v/>
      </c>
      <c r="M312" s="6"/>
    </row>
    <row r="313" customFormat="false" ht="16.5" hidden="false" customHeight="true" outlineLevel="0" collapsed="false">
      <c r="A313" s="95" t="str">
        <f aca="false">IF(AND(B313="",C313=""),"",ROW()-6)</f>
        <v/>
      </c>
      <c r="B313" s="83"/>
      <c r="C313" s="15"/>
      <c r="D313" s="15"/>
      <c r="E313" s="85"/>
      <c r="F313" s="15"/>
      <c r="G313" s="15"/>
      <c r="H313" s="96"/>
      <c r="I313" s="16"/>
      <c r="J313" s="37" t="str">
        <f aca="false">IF(I313="","",IF(H313="",1,H313)*I313)</f>
        <v/>
      </c>
      <c r="K313" s="15"/>
      <c r="L313" s="97" t="str">
        <f aca="false">IF(C313="","",IF(OR(C313="Material",C313="Equipo",C313="Suministro"),"Materiales y equipos",IF(C313="Mano de obra contratista","Mano de obra contratista",IF(C313="Transporte","Transporte y otros","Alquileres"))))</f>
        <v/>
      </c>
      <c r="M313" s="6"/>
    </row>
    <row r="314" customFormat="false" ht="16.5" hidden="false" customHeight="true" outlineLevel="0" collapsed="false">
      <c r="A314" s="95" t="str">
        <f aca="false">IF(AND(B314="",C314=""),"",ROW()-6)</f>
        <v/>
      </c>
      <c r="B314" s="83"/>
      <c r="C314" s="15"/>
      <c r="D314" s="15"/>
      <c r="E314" s="85"/>
      <c r="F314" s="15"/>
      <c r="G314" s="15"/>
      <c r="H314" s="96"/>
      <c r="I314" s="16"/>
      <c r="J314" s="37" t="str">
        <f aca="false">IF(I314="","",IF(H314="",1,H314)*I314)</f>
        <v/>
      </c>
      <c r="K314" s="15"/>
      <c r="L314" s="97" t="str">
        <f aca="false">IF(C314="","",IF(OR(C314="Material",C314="Equipo",C314="Suministro"),"Materiales y equipos",IF(C314="Mano de obra contratista","Mano de obra contratista",IF(C314="Transporte","Transporte y otros","Alquileres"))))</f>
        <v/>
      </c>
      <c r="M314" s="6"/>
    </row>
    <row r="315" customFormat="false" ht="16.5" hidden="false" customHeight="true" outlineLevel="0" collapsed="false">
      <c r="A315" s="95" t="str">
        <f aca="false">IF(AND(B315="",C315=""),"",ROW()-6)</f>
        <v/>
      </c>
      <c r="B315" s="83"/>
      <c r="C315" s="15"/>
      <c r="D315" s="15"/>
      <c r="E315" s="85"/>
      <c r="F315" s="15"/>
      <c r="G315" s="15"/>
      <c r="H315" s="96"/>
      <c r="I315" s="16"/>
      <c r="J315" s="37" t="str">
        <f aca="false">IF(I315="","",IF(H315="",1,H315)*I315)</f>
        <v/>
      </c>
      <c r="K315" s="15"/>
      <c r="L315" s="97" t="str">
        <f aca="false">IF(C315="","",IF(OR(C315="Material",C315="Equipo",C315="Suministro"),"Materiales y equipos",IF(C315="Mano de obra contratista","Mano de obra contratista",IF(C315="Transporte","Transporte y otros","Alquileres"))))</f>
        <v/>
      </c>
      <c r="M315" s="6"/>
    </row>
    <row r="316" customFormat="false" ht="16.5" hidden="false" customHeight="true" outlineLevel="0" collapsed="false">
      <c r="A316" s="95" t="str">
        <f aca="false">IF(AND(B316="",C316=""),"",ROW()-6)</f>
        <v/>
      </c>
      <c r="B316" s="83"/>
      <c r="C316" s="15"/>
      <c r="D316" s="15"/>
      <c r="E316" s="85"/>
      <c r="F316" s="15"/>
      <c r="G316" s="15"/>
      <c r="H316" s="96"/>
      <c r="I316" s="16"/>
      <c r="J316" s="37" t="str">
        <f aca="false">IF(I316="","",IF(H316="",1,H316)*I316)</f>
        <v/>
      </c>
      <c r="K316" s="15"/>
      <c r="L316" s="97" t="str">
        <f aca="false">IF(C316="","",IF(OR(C316="Material",C316="Equipo",C316="Suministro"),"Materiales y equipos",IF(C316="Mano de obra contratista","Mano de obra contratista",IF(C316="Transporte","Transporte y otros","Alquileres"))))</f>
        <v/>
      </c>
      <c r="M316" s="6"/>
    </row>
    <row r="317" customFormat="false" ht="16.5" hidden="false" customHeight="true" outlineLevel="0" collapsed="false">
      <c r="A317" s="95" t="str">
        <f aca="false">IF(AND(B317="",C317=""),"",ROW()-6)</f>
        <v/>
      </c>
      <c r="B317" s="83"/>
      <c r="C317" s="15"/>
      <c r="D317" s="15"/>
      <c r="E317" s="85"/>
      <c r="F317" s="15"/>
      <c r="G317" s="15"/>
      <c r="H317" s="96"/>
      <c r="I317" s="16"/>
      <c r="J317" s="37" t="str">
        <f aca="false">IF(I317="","",IF(H317="",1,H317)*I317)</f>
        <v/>
      </c>
      <c r="K317" s="15"/>
      <c r="L317" s="97" t="str">
        <f aca="false">IF(C317="","",IF(OR(C317="Material",C317="Equipo",C317="Suministro"),"Materiales y equipos",IF(C317="Mano de obra contratista","Mano de obra contratista",IF(C317="Transporte","Transporte y otros","Alquileres"))))</f>
        <v/>
      </c>
      <c r="M317" s="6"/>
    </row>
    <row r="318" customFormat="false" ht="16.5" hidden="false" customHeight="true" outlineLevel="0" collapsed="false">
      <c r="A318" s="95" t="str">
        <f aca="false">IF(AND(B318="",C318=""),"",ROW()-6)</f>
        <v/>
      </c>
      <c r="B318" s="83"/>
      <c r="C318" s="15"/>
      <c r="D318" s="15"/>
      <c r="E318" s="85"/>
      <c r="F318" s="15"/>
      <c r="G318" s="15"/>
      <c r="H318" s="96"/>
      <c r="I318" s="16"/>
      <c r="J318" s="37" t="str">
        <f aca="false">IF(I318="","",IF(H318="",1,H318)*I318)</f>
        <v/>
      </c>
      <c r="K318" s="15"/>
      <c r="L318" s="97" t="str">
        <f aca="false">IF(C318="","",IF(OR(C318="Material",C318="Equipo",C318="Suministro"),"Materiales y equipos",IF(C318="Mano de obra contratista","Mano de obra contratista",IF(C318="Transporte","Transporte y otros","Alquileres"))))</f>
        <v/>
      </c>
      <c r="M318" s="6"/>
    </row>
    <row r="319" customFormat="false" ht="16.5" hidden="false" customHeight="true" outlineLevel="0" collapsed="false">
      <c r="A319" s="95" t="str">
        <f aca="false">IF(AND(B319="",C319=""),"",ROW()-6)</f>
        <v/>
      </c>
      <c r="B319" s="83"/>
      <c r="C319" s="15"/>
      <c r="D319" s="15"/>
      <c r="E319" s="85"/>
      <c r="F319" s="15"/>
      <c r="G319" s="15"/>
      <c r="H319" s="96"/>
      <c r="I319" s="16"/>
      <c r="J319" s="37" t="str">
        <f aca="false">IF(I319="","",IF(H319="",1,H319)*I319)</f>
        <v/>
      </c>
      <c r="K319" s="15"/>
      <c r="L319" s="97" t="str">
        <f aca="false">IF(C319="","",IF(OR(C319="Material",C319="Equipo",C319="Suministro"),"Materiales y equipos",IF(C319="Mano de obra contratista","Mano de obra contratista",IF(C319="Transporte","Transporte y otros","Alquileres"))))</f>
        <v/>
      </c>
      <c r="M319" s="6"/>
    </row>
    <row r="320" customFormat="false" ht="16.5" hidden="false" customHeight="true" outlineLevel="0" collapsed="false">
      <c r="A320" s="95" t="str">
        <f aca="false">IF(AND(B320="",C320=""),"",ROW()-6)</f>
        <v/>
      </c>
      <c r="B320" s="83"/>
      <c r="C320" s="15"/>
      <c r="D320" s="15"/>
      <c r="E320" s="85"/>
      <c r="F320" s="15"/>
      <c r="G320" s="15"/>
      <c r="H320" s="96"/>
      <c r="I320" s="16"/>
      <c r="J320" s="37" t="str">
        <f aca="false">IF(I320="","",IF(H320="",1,H320)*I320)</f>
        <v/>
      </c>
      <c r="K320" s="15"/>
      <c r="L320" s="97" t="str">
        <f aca="false">IF(C320="","",IF(OR(C320="Material",C320="Equipo",C320="Suministro"),"Materiales y equipos",IF(C320="Mano de obra contratista","Mano de obra contratista",IF(C320="Transporte","Transporte y otros","Alquileres"))))</f>
        <v/>
      </c>
      <c r="M320" s="6"/>
    </row>
    <row r="321" customFormat="false" ht="16.5" hidden="false" customHeight="true" outlineLevel="0" collapsed="false">
      <c r="A321" s="95" t="str">
        <f aca="false">IF(AND(B321="",C321=""),"",ROW()-6)</f>
        <v/>
      </c>
      <c r="B321" s="83"/>
      <c r="C321" s="15"/>
      <c r="D321" s="15"/>
      <c r="E321" s="85"/>
      <c r="F321" s="15"/>
      <c r="G321" s="15"/>
      <c r="H321" s="96"/>
      <c r="I321" s="16"/>
      <c r="J321" s="37" t="str">
        <f aca="false">IF(I321="","",IF(H321="",1,H321)*I321)</f>
        <v/>
      </c>
      <c r="K321" s="15"/>
      <c r="L321" s="97" t="str">
        <f aca="false">IF(C321="","",IF(OR(C321="Material",C321="Equipo",C321="Suministro"),"Materiales y equipos",IF(C321="Mano de obra contratista","Mano de obra contratista",IF(C321="Transporte","Transporte y otros","Alquileres"))))</f>
        <v/>
      </c>
      <c r="M321" s="6"/>
    </row>
    <row r="322" customFormat="false" ht="16.5" hidden="false" customHeight="true" outlineLevel="0" collapsed="false">
      <c r="A322" s="95" t="str">
        <f aca="false">IF(AND(B322="",C322=""),"",ROW()-6)</f>
        <v/>
      </c>
      <c r="B322" s="83"/>
      <c r="C322" s="15"/>
      <c r="D322" s="15"/>
      <c r="E322" s="85"/>
      <c r="F322" s="15"/>
      <c r="G322" s="15"/>
      <c r="H322" s="96"/>
      <c r="I322" s="16"/>
      <c r="J322" s="37" t="str">
        <f aca="false">IF(I322="","",IF(H322="",1,H322)*I322)</f>
        <v/>
      </c>
      <c r="K322" s="15"/>
      <c r="L322" s="97" t="str">
        <f aca="false">IF(C322="","",IF(OR(C322="Material",C322="Equipo",C322="Suministro"),"Materiales y equipos",IF(C322="Mano de obra contratista","Mano de obra contratista",IF(C322="Transporte","Transporte y otros","Alquileres"))))</f>
        <v/>
      </c>
      <c r="M322" s="6"/>
    </row>
    <row r="323" customFormat="false" ht="16.5" hidden="false" customHeight="true" outlineLevel="0" collapsed="false">
      <c r="A323" s="95" t="str">
        <f aca="false">IF(AND(B323="",C323=""),"",ROW()-6)</f>
        <v/>
      </c>
      <c r="B323" s="83"/>
      <c r="C323" s="15"/>
      <c r="D323" s="15"/>
      <c r="E323" s="85"/>
      <c r="F323" s="15"/>
      <c r="G323" s="15"/>
      <c r="H323" s="96"/>
      <c r="I323" s="16"/>
      <c r="J323" s="37" t="str">
        <f aca="false">IF(I323="","",IF(H323="",1,H323)*I323)</f>
        <v/>
      </c>
      <c r="K323" s="15"/>
      <c r="L323" s="97" t="str">
        <f aca="false">IF(C323="","",IF(OR(C323="Material",C323="Equipo",C323="Suministro"),"Materiales y equipos",IF(C323="Mano de obra contratista","Mano de obra contratista",IF(C323="Transporte","Transporte y otros","Alquileres"))))</f>
        <v/>
      </c>
      <c r="M323" s="6"/>
    </row>
    <row r="324" customFormat="false" ht="16.5" hidden="false" customHeight="true" outlineLevel="0" collapsed="false">
      <c r="A324" s="95" t="str">
        <f aca="false">IF(AND(B324="",C324=""),"",ROW()-6)</f>
        <v/>
      </c>
      <c r="B324" s="83"/>
      <c r="C324" s="15"/>
      <c r="D324" s="15"/>
      <c r="E324" s="85"/>
      <c r="F324" s="15"/>
      <c r="G324" s="15"/>
      <c r="H324" s="96"/>
      <c r="I324" s="16"/>
      <c r="J324" s="37" t="str">
        <f aca="false">IF(I324="","",IF(H324="",1,H324)*I324)</f>
        <v/>
      </c>
      <c r="K324" s="15"/>
      <c r="L324" s="97" t="str">
        <f aca="false">IF(C324="","",IF(OR(C324="Material",C324="Equipo",C324="Suministro"),"Materiales y equipos",IF(C324="Mano de obra contratista","Mano de obra contratista",IF(C324="Transporte","Transporte y otros","Alquileres"))))</f>
        <v/>
      </c>
      <c r="M324" s="6"/>
    </row>
    <row r="325" customFormat="false" ht="16.5" hidden="false" customHeight="true" outlineLevel="0" collapsed="false">
      <c r="A325" s="95" t="str">
        <f aca="false">IF(AND(B325="",C325=""),"",ROW()-6)</f>
        <v/>
      </c>
      <c r="B325" s="83"/>
      <c r="C325" s="15"/>
      <c r="D325" s="15"/>
      <c r="E325" s="85"/>
      <c r="F325" s="15"/>
      <c r="G325" s="15"/>
      <c r="H325" s="96"/>
      <c r="I325" s="16"/>
      <c r="J325" s="37" t="str">
        <f aca="false">IF(I325="","",IF(H325="",1,H325)*I325)</f>
        <v/>
      </c>
      <c r="K325" s="15"/>
      <c r="L325" s="97" t="str">
        <f aca="false">IF(C325="","",IF(OR(C325="Material",C325="Equipo",C325="Suministro"),"Materiales y equipos",IF(C325="Mano de obra contratista","Mano de obra contratista",IF(C325="Transporte","Transporte y otros","Alquileres"))))</f>
        <v/>
      </c>
      <c r="M325" s="6"/>
    </row>
    <row r="326" customFormat="false" ht="16.5" hidden="false" customHeight="true" outlineLevel="0" collapsed="false">
      <c r="A326" s="95" t="str">
        <f aca="false">IF(AND(B326="",C326=""),"",ROW()-6)</f>
        <v/>
      </c>
      <c r="B326" s="83"/>
      <c r="C326" s="15"/>
      <c r="D326" s="15"/>
      <c r="E326" s="85"/>
      <c r="F326" s="15"/>
      <c r="G326" s="15"/>
      <c r="H326" s="96"/>
      <c r="I326" s="16"/>
      <c r="J326" s="37" t="str">
        <f aca="false">IF(I326="","",IF(H326="",1,H326)*I326)</f>
        <v/>
      </c>
      <c r="K326" s="15"/>
      <c r="L326" s="97" t="str">
        <f aca="false">IF(C326="","",IF(OR(C326="Material",C326="Equipo",C326="Suministro"),"Materiales y equipos",IF(C326="Mano de obra contratista","Mano de obra contratista",IF(C326="Transporte","Transporte y otros","Alquileres"))))</f>
        <v/>
      </c>
      <c r="M326" s="6"/>
    </row>
    <row r="327" customFormat="false" ht="16.5" hidden="false" customHeight="true" outlineLevel="0" collapsed="false">
      <c r="A327" s="95" t="str">
        <f aca="false">IF(AND(B327="",C327=""),"",ROW()-6)</f>
        <v/>
      </c>
      <c r="B327" s="83"/>
      <c r="C327" s="15"/>
      <c r="D327" s="15"/>
      <c r="E327" s="85"/>
      <c r="F327" s="15"/>
      <c r="G327" s="15"/>
      <c r="H327" s="96"/>
      <c r="I327" s="16"/>
      <c r="J327" s="37" t="str">
        <f aca="false">IF(I327="","",IF(H327="",1,H327)*I327)</f>
        <v/>
      </c>
      <c r="K327" s="15"/>
      <c r="L327" s="97" t="str">
        <f aca="false">IF(C327="","",IF(OR(C327="Material",C327="Equipo",C327="Suministro"),"Materiales y equipos",IF(C327="Mano de obra contratista","Mano de obra contratista",IF(C327="Transporte","Transporte y otros","Alquileres"))))</f>
        <v/>
      </c>
      <c r="M327" s="6"/>
    </row>
    <row r="328" customFormat="false" ht="16.5" hidden="false" customHeight="true" outlineLevel="0" collapsed="false">
      <c r="A328" s="95" t="str">
        <f aca="false">IF(AND(B328="",C328=""),"",ROW()-6)</f>
        <v/>
      </c>
      <c r="B328" s="83"/>
      <c r="C328" s="15"/>
      <c r="D328" s="15"/>
      <c r="E328" s="85"/>
      <c r="F328" s="15"/>
      <c r="G328" s="15"/>
      <c r="H328" s="96"/>
      <c r="I328" s="16"/>
      <c r="J328" s="37" t="str">
        <f aca="false">IF(I328="","",IF(H328="",1,H328)*I328)</f>
        <v/>
      </c>
      <c r="K328" s="15"/>
      <c r="L328" s="97" t="str">
        <f aca="false">IF(C328="","",IF(OR(C328="Material",C328="Equipo",C328="Suministro"),"Materiales y equipos",IF(C328="Mano de obra contratista","Mano de obra contratista",IF(C328="Transporte","Transporte y otros","Alquileres"))))</f>
        <v/>
      </c>
      <c r="M328" s="6"/>
    </row>
    <row r="329" customFormat="false" ht="16.5" hidden="false" customHeight="true" outlineLevel="0" collapsed="false">
      <c r="A329" s="95" t="str">
        <f aca="false">IF(AND(B329="",C329=""),"",ROW()-6)</f>
        <v/>
      </c>
      <c r="B329" s="83"/>
      <c r="C329" s="15"/>
      <c r="D329" s="15"/>
      <c r="E329" s="85"/>
      <c r="F329" s="15"/>
      <c r="G329" s="15"/>
      <c r="H329" s="96"/>
      <c r="I329" s="16"/>
      <c r="J329" s="37" t="str">
        <f aca="false">IF(I329="","",IF(H329="",1,H329)*I329)</f>
        <v/>
      </c>
      <c r="K329" s="15"/>
      <c r="L329" s="97" t="str">
        <f aca="false">IF(C329="","",IF(OR(C329="Material",C329="Equipo",C329="Suministro"),"Materiales y equipos",IF(C329="Mano de obra contratista","Mano de obra contratista",IF(C329="Transporte","Transporte y otros","Alquileres"))))</f>
        <v/>
      </c>
      <c r="M329" s="6"/>
    </row>
    <row r="330" customFormat="false" ht="16.5" hidden="false" customHeight="true" outlineLevel="0" collapsed="false">
      <c r="A330" s="95" t="str">
        <f aca="false">IF(AND(B330="",C330=""),"",ROW()-6)</f>
        <v/>
      </c>
      <c r="B330" s="83"/>
      <c r="C330" s="15"/>
      <c r="D330" s="15"/>
      <c r="E330" s="85"/>
      <c r="F330" s="15"/>
      <c r="G330" s="15"/>
      <c r="H330" s="96"/>
      <c r="I330" s="16"/>
      <c r="J330" s="37" t="str">
        <f aca="false">IF(I330="","",IF(H330="",1,H330)*I330)</f>
        <v/>
      </c>
      <c r="K330" s="15"/>
      <c r="L330" s="97" t="str">
        <f aca="false">IF(C330="","",IF(OR(C330="Material",C330="Equipo",C330="Suministro"),"Materiales y equipos",IF(C330="Mano de obra contratista","Mano de obra contratista",IF(C330="Transporte","Transporte y otros","Alquileres"))))</f>
        <v/>
      </c>
      <c r="M330" s="6"/>
    </row>
    <row r="331" customFormat="false" ht="16.5" hidden="false" customHeight="true" outlineLevel="0" collapsed="false">
      <c r="A331" s="95" t="str">
        <f aca="false">IF(AND(B331="",C331=""),"",ROW()-6)</f>
        <v/>
      </c>
      <c r="B331" s="83"/>
      <c r="C331" s="15"/>
      <c r="D331" s="15"/>
      <c r="E331" s="85"/>
      <c r="F331" s="15"/>
      <c r="G331" s="15"/>
      <c r="H331" s="96"/>
      <c r="I331" s="16"/>
      <c r="J331" s="37" t="str">
        <f aca="false">IF(I331="","",IF(H331="",1,H331)*I331)</f>
        <v/>
      </c>
      <c r="K331" s="15"/>
      <c r="L331" s="97" t="str">
        <f aca="false">IF(C331="","",IF(OR(C331="Material",C331="Equipo",C331="Suministro"),"Materiales y equipos",IF(C331="Mano de obra contratista","Mano de obra contratista",IF(C331="Transporte","Transporte y otros","Alquileres"))))</f>
        <v/>
      </c>
      <c r="M331" s="6"/>
    </row>
    <row r="332" customFormat="false" ht="16.5" hidden="false" customHeight="true" outlineLevel="0" collapsed="false">
      <c r="A332" s="95" t="str">
        <f aca="false">IF(AND(B332="",C332=""),"",ROW()-6)</f>
        <v/>
      </c>
      <c r="B332" s="83"/>
      <c r="C332" s="15"/>
      <c r="D332" s="15"/>
      <c r="E332" s="85"/>
      <c r="F332" s="15"/>
      <c r="G332" s="15"/>
      <c r="H332" s="96"/>
      <c r="I332" s="16"/>
      <c r="J332" s="37" t="str">
        <f aca="false">IF(I332="","",IF(H332="",1,H332)*I332)</f>
        <v/>
      </c>
      <c r="K332" s="15"/>
      <c r="L332" s="97" t="str">
        <f aca="false">IF(C332="","",IF(OR(C332="Material",C332="Equipo",C332="Suministro"),"Materiales y equipos",IF(C332="Mano de obra contratista","Mano de obra contratista",IF(C332="Transporte","Transporte y otros","Alquileres"))))</f>
        <v/>
      </c>
      <c r="M332" s="6"/>
    </row>
    <row r="333" customFormat="false" ht="16.5" hidden="false" customHeight="true" outlineLevel="0" collapsed="false">
      <c r="A333" s="95" t="str">
        <f aca="false">IF(AND(B333="",C333=""),"",ROW()-6)</f>
        <v/>
      </c>
      <c r="B333" s="83"/>
      <c r="C333" s="15"/>
      <c r="D333" s="15"/>
      <c r="E333" s="85"/>
      <c r="F333" s="15"/>
      <c r="G333" s="15"/>
      <c r="H333" s="96"/>
      <c r="I333" s="16"/>
      <c r="J333" s="37" t="str">
        <f aca="false">IF(I333="","",IF(H333="",1,H333)*I333)</f>
        <v/>
      </c>
      <c r="K333" s="15"/>
      <c r="L333" s="97" t="str">
        <f aca="false">IF(C333="","",IF(OR(C333="Material",C333="Equipo",C333="Suministro"),"Materiales y equipos",IF(C333="Mano de obra contratista","Mano de obra contratista",IF(C333="Transporte","Transporte y otros","Alquileres"))))</f>
        <v/>
      </c>
      <c r="M333" s="6"/>
    </row>
    <row r="334" customFormat="false" ht="16.5" hidden="false" customHeight="true" outlineLevel="0" collapsed="false">
      <c r="A334" s="95" t="str">
        <f aca="false">IF(AND(B334="",C334=""),"",ROW()-6)</f>
        <v/>
      </c>
      <c r="B334" s="83"/>
      <c r="C334" s="15"/>
      <c r="D334" s="15"/>
      <c r="E334" s="85"/>
      <c r="F334" s="15"/>
      <c r="G334" s="15"/>
      <c r="H334" s="96"/>
      <c r="I334" s="16"/>
      <c r="J334" s="37" t="str">
        <f aca="false">IF(I334="","",IF(H334="",1,H334)*I334)</f>
        <v/>
      </c>
      <c r="K334" s="15"/>
      <c r="L334" s="97" t="str">
        <f aca="false">IF(C334="","",IF(OR(C334="Material",C334="Equipo",C334="Suministro"),"Materiales y equipos",IF(C334="Mano de obra contratista","Mano de obra contratista",IF(C334="Transporte","Transporte y otros","Alquileres"))))</f>
        <v/>
      </c>
      <c r="M334" s="6"/>
    </row>
    <row r="335" customFormat="false" ht="16.5" hidden="false" customHeight="true" outlineLevel="0" collapsed="false">
      <c r="A335" s="95" t="str">
        <f aca="false">IF(AND(B335="",C335=""),"",ROW()-6)</f>
        <v/>
      </c>
      <c r="B335" s="83"/>
      <c r="C335" s="15"/>
      <c r="D335" s="15"/>
      <c r="E335" s="85"/>
      <c r="F335" s="15"/>
      <c r="G335" s="15"/>
      <c r="H335" s="96"/>
      <c r="I335" s="16"/>
      <c r="J335" s="37" t="str">
        <f aca="false">IF(I335="","",IF(H335="",1,H335)*I335)</f>
        <v/>
      </c>
      <c r="K335" s="15"/>
      <c r="L335" s="97" t="str">
        <f aca="false">IF(C335="","",IF(OR(C335="Material",C335="Equipo",C335="Suministro"),"Materiales y equipos",IF(C335="Mano de obra contratista","Mano de obra contratista",IF(C335="Transporte","Transporte y otros","Alquileres"))))</f>
        <v/>
      </c>
      <c r="M335" s="6"/>
    </row>
    <row r="336" customFormat="false" ht="16.5" hidden="false" customHeight="true" outlineLevel="0" collapsed="false">
      <c r="A336" s="95" t="str">
        <f aca="false">IF(AND(B336="",C336=""),"",ROW()-6)</f>
        <v/>
      </c>
      <c r="B336" s="83"/>
      <c r="C336" s="15"/>
      <c r="D336" s="15"/>
      <c r="E336" s="85"/>
      <c r="F336" s="15"/>
      <c r="G336" s="15"/>
      <c r="H336" s="96"/>
      <c r="I336" s="16"/>
      <c r="J336" s="37" t="str">
        <f aca="false">IF(I336="","",IF(H336="",1,H336)*I336)</f>
        <v/>
      </c>
      <c r="K336" s="15"/>
      <c r="L336" s="97" t="str">
        <f aca="false">IF(C336="","",IF(OR(C336="Material",C336="Equipo",C336="Suministro"),"Materiales y equipos",IF(C336="Mano de obra contratista","Mano de obra contratista",IF(C336="Transporte","Transporte y otros","Alquileres"))))</f>
        <v/>
      </c>
      <c r="M336" s="6"/>
    </row>
    <row r="337" customFormat="false" ht="16.5" hidden="false" customHeight="true" outlineLevel="0" collapsed="false">
      <c r="A337" s="95" t="str">
        <f aca="false">IF(AND(B337="",C337=""),"",ROW()-6)</f>
        <v/>
      </c>
      <c r="B337" s="83"/>
      <c r="C337" s="15"/>
      <c r="D337" s="15"/>
      <c r="E337" s="85"/>
      <c r="F337" s="15"/>
      <c r="G337" s="15"/>
      <c r="H337" s="96"/>
      <c r="I337" s="16"/>
      <c r="J337" s="37" t="str">
        <f aca="false">IF(I337="","",IF(H337="",1,H337)*I337)</f>
        <v/>
      </c>
      <c r="K337" s="15"/>
      <c r="L337" s="97" t="str">
        <f aca="false">IF(C337="","",IF(OR(C337="Material",C337="Equipo",C337="Suministro"),"Materiales y equipos",IF(C337="Mano de obra contratista","Mano de obra contratista",IF(C337="Transporte","Transporte y otros","Alquileres"))))</f>
        <v/>
      </c>
      <c r="M337" s="6"/>
    </row>
    <row r="338" customFormat="false" ht="16.5" hidden="false" customHeight="true" outlineLevel="0" collapsed="false">
      <c r="A338" s="95" t="str">
        <f aca="false">IF(AND(B338="",C338=""),"",ROW()-6)</f>
        <v/>
      </c>
      <c r="B338" s="83"/>
      <c r="C338" s="15"/>
      <c r="D338" s="15"/>
      <c r="E338" s="85"/>
      <c r="F338" s="15"/>
      <c r="G338" s="15"/>
      <c r="H338" s="96"/>
      <c r="I338" s="16"/>
      <c r="J338" s="37" t="str">
        <f aca="false">IF(I338="","",IF(H338="",1,H338)*I338)</f>
        <v/>
      </c>
      <c r="K338" s="15"/>
      <c r="L338" s="97" t="str">
        <f aca="false">IF(C338="","",IF(OR(C338="Material",C338="Equipo",C338="Suministro"),"Materiales y equipos",IF(C338="Mano de obra contratista","Mano de obra contratista",IF(C338="Transporte","Transporte y otros","Alquileres"))))</f>
        <v/>
      </c>
      <c r="M338" s="6"/>
    </row>
    <row r="339" customFormat="false" ht="16.5" hidden="false" customHeight="true" outlineLevel="0" collapsed="false">
      <c r="A339" s="95" t="str">
        <f aca="false">IF(AND(B339="",C339=""),"",ROW()-6)</f>
        <v/>
      </c>
      <c r="B339" s="83"/>
      <c r="C339" s="15"/>
      <c r="D339" s="15"/>
      <c r="E339" s="85"/>
      <c r="F339" s="15"/>
      <c r="G339" s="15"/>
      <c r="H339" s="96"/>
      <c r="I339" s="16"/>
      <c r="J339" s="37" t="str">
        <f aca="false">IF(I339="","",IF(H339="",1,H339)*I339)</f>
        <v/>
      </c>
      <c r="K339" s="15"/>
      <c r="L339" s="97" t="str">
        <f aca="false">IF(C339="","",IF(OR(C339="Material",C339="Equipo",C339="Suministro"),"Materiales y equipos",IF(C339="Mano de obra contratista","Mano de obra contratista",IF(C339="Transporte","Transporte y otros","Alquileres"))))</f>
        <v/>
      </c>
      <c r="M339" s="6"/>
    </row>
    <row r="340" customFormat="false" ht="16.5" hidden="false" customHeight="true" outlineLevel="0" collapsed="false">
      <c r="A340" s="95" t="str">
        <f aca="false">IF(AND(B340="",C340=""),"",ROW()-6)</f>
        <v/>
      </c>
      <c r="B340" s="83"/>
      <c r="C340" s="15"/>
      <c r="D340" s="15"/>
      <c r="E340" s="85"/>
      <c r="F340" s="15"/>
      <c r="G340" s="15"/>
      <c r="H340" s="96"/>
      <c r="I340" s="16"/>
      <c r="J340" s="37" t="str">
        <f aca="false">IF(I340="","",IF(H340="",1,H340)*I340)</f>
        <v/>
      </c>
      <c r="K340" s="15"/>
      <c r="L340" s="97" t="str">
        <f aca="false">IF(C340="","",IF(OR(C340="Material",C340="Equipo",C340="Suministro"),"Materiales y equipos",IF(C340="Mano de obra contratista","Mano de obra contratista",IF(C340="Transporte","Transporte y otros","Alquileres"))))</f>
        <v/>
      </c>
      <c r="M340" s="6"/>
    </row>
    <row r="341" customFormat="false" ht="16.5" hidden="false" customHeight="true" outlineLevel="0" collapsed="false">
      <c r="A341" s="95" t="str">
        <f aca="false">IF(AND(B341="",C341=""),"",ROW()-6)</f>
        <v/>
      </c>
      <c r="B341" s="83"/>
      <c r="C341" s="15"/>
      <c r="D341" s="15"/>
      <c r="E341" s="85"/>
      <c r="F341" s="15"/>
      <c r="G341" s="15"/>
      <c r="H341" s="96"/>
      <c r="I341" s="16"/>
      <c r="J341" s="37" t="str">
        <f aca="false">IF(I341="","",IF(H341="",1,H341)*I341)</f>
        <v/>
      </c>
      <c r="K341" s="15"/>
      <c r="L341" s="97" t="str">
        <f aca="false">IF(C341="","",IF(OR(C341="Material",C341="Equipo",C341="Suministro"),"Materiales y equipos",IF(C341="Mano de obra contratista","Mano de obra contratista",IF(C341="Transporte","Transporte y otros","Alquileres"))))</f>
        <v/>
      </c>
      <c r="M341" s="6"/>
    </row>
    <row r="342" customFormat="false" ht="16.5" hidden="false" customHeight="true" outlineLevel="0" collapsed="false">
      <c r="A342" s="95" t="str">
        <f aca="false">IF(AND(B342="",C342=""),"",ROW()-6)</f>
        <v/>
      </c>
      <c r="B342" s="83"/>
      <c r="C342" s="15"/>
      <c r="D342" s="15"/>
      <c r="E342" s="85"/>
      <c r="F342" s="15"/>
      <c r="G342" s="15"/>
      <c r="H342" s="96"/>
      <c r="I342" s="16"/>
      <c r="J342" s="37" t="str">
        <f aca="false">IF(I342="","",IF(H342="",1,H342)*I342)</f>
        <v/>
      </c>
      <c r="K342" s="15"/>
      <c r="L342" s="97" t="str">
        <f aca="false">IF(C342="","",IF(OR(C342="Material",C342="Equipo",C342="Suministro"),"Materiales y equipos",IF(C342="Mano de obra contratista","Mano de obra contratista",IF(C342="Transporte","Transporte y otros","Alquileres"))))</f>
        <v/>
      </c>
      <c r="M342" s="6"/>
    </row>
    <row r="343" customFormat="false" ht="16.5" hidden="false" customHeight="true" outlineLevel="0" collapsed="false">
      <c r="A343" s="95" t="str">
        <f aca="false">IF(AND(B343="",C343=""),"",ROW()-6)</f>
        <v/>
      </c>
      <c r="B343" s="83"/>
      <c r="C343" s="15"/>
      <c r="D343" s="15"/>
      <c r="E343" s="85"/>
      <c r="F343" s="15"/>
      <c r="G343" s="15"/>
      <c r="H343" s="96"/>
      <c r="I343" s="16"/>
      <c r="J343" s="37" t="str">
        <f aca="false">IF(I343="","",IF(H343="",1,H343)*I343)</f>
        <v/>
      </c>
      <c r="K343" s="15"/>
      <c r="L343" s="97" t="str">
        <f aca="false">IF(C343="","",IF(OR(C343="Material",C343="Equipo",C343="Suministro"),"Materiales y equipos",IF(C343="Mano de obra contratista","Mano de obra contratista",IF(C343="Transporte","Transporte y otros","Alquileres"))))</f>
        <v/>
      </c>
      <c r="M343" s="6"/>
    </row>
    <row r="344" customFormat="false" ht="16.5" hidden="false" customHeight="true" outlineLevel="0" collapsed="false">
      <c r="A344" s="95" t="str">
        <f aca="false">IF(AND(B344="",C344=""),"",ROW()-6)</f>
        <v/>
      </c>
      <c r="B344" s="83"/>
      <c r="C344" s="15"/>
      <c r="D344" s="15"/>
      <c r="E344" s="85"/>
      <c r="F344" s="15"/>
      <c r="G344" s="15"/>
      <c r="H344" s="96"/>
      <c r="I344" s="16"/>
      <c r="J344" s="37" t="str">
        <f aca="false">IF(I344="","",IF(H344="",1,H344)*I344)</f>
        <v/>
      </c>
      <c r="K344" s="15"/>
      <c r="L344" s="97" t="str">
        <f aca="false">IF(C344="","",IF(OR(C344="Material",C344="Equipo",C344="Suministro"),"Materiales y equipos",IF(C344="Mano de obra contratista","Mano de obra contratista",IF(C344="Transporte","Transporte y otros","Alquileres"))))</f>
        <v/>
      </c>
      <c r="M344" s="6"/>
    </row>
    <row r="345" customFormat="false" ht="16.5" hidden="false" customHeight="true" outlineLevel="0" collapsed="false">
      <c r="A345" s="95" t="str">
        <f aca="false">IF(AND(B345="",C345=""),"",ROW()-6)</f>
        <v/>
      </c>
      <c r="B345" s="83"/>
      <c r="C345" s="15"/>
      <c r="D345" s="15"/>
      <c r="E345" s="85"/>
      <c r="F345" s="15"/>
      <c r="G345" s="15"/>
      <c r="H345" s="96"/>
      <c r="I345" s="16"/>
      <c r="J345" s="37" t="str">
        <f aca="false">IF(I345="","",IF(H345="",1,H345)*I345)</f>
        <v/>
      </c>
      <c r="K345" s="15"/>
      <c r="L345" s="97" t="str">
        <f aca="false">IF(C345="","",IF(OR(C345="Material",C345="Equipo",C345="Suministro"),"Materiales y equipos",IF(C345="Mano de obra contratista","Mano de obra contratista",IF(C345="Transporte","Transporte y otros","Alquileres"))))</f>
        <v/>
      </c>
      <c r="M345" s="6"/>
    </row>
    <row r="346" customFormat="false" ht="16.5" hidden="false" customHeight="true" outlineLevel="0" collapsed="false">
      <c r="A346" s="95" t="str">
        <f aca="false">IF(AND(B346="",C346=""),"",ROW()-6)</f>
        <v/>
      </c>
      <c r="B346" s="83"/>
      <c r="C346" s="15"/>
      <c r="D346" s="15"/>
      <c r="E346" s="85"/>
      <c r="F346" s="15"/>
      <c r="G346" s="15"/>
      <c r="H346" s="96"/>
      <c r="I346" s="16"/>
      <c r="J346" s="37" t="str">
        <f aca="false">IF(I346="","",IF(H346="",1,H346)*I346)</f>
        <v/>
      </c>
      <c r="K346" s="15"/>
      <c r="L346" s="97" t="str">
        <f aca="false">IF(C346="","",IF(OR(C346="Material",C346="Equipo",C346="Suministro"),"Materiales y equipos",IF(C346="Mano de obra contratista","Mano de obra contratista",IF(C346="Transporte","Transporte y otros","Alquileres"))))</f>
        <v/>
      </c>
      <c r="M346" s="6"/>
    </row>
    <row r="347" customFormat="false" ht="16.5" hidden="false" customHeight="true" outlineLevel="0" collapsed="false">
      <c r="A347" s="95" t="str">
        <f aca="false">IF(AND(B347="",C347=""),"",ROW()-6)</f>
        <v/>
      </c>
      <c r="B347" s="83"/>
      <c r="C347" s="15"/>
      <c r="D347" s="15"/>
      <c r="E347" s="85"/>
      <c r="F347" s="15"/>
      <c r="G347" s="15"/>
      <c r="H347" s="96"/>
      <c r="I347" s="16"/>
      <c r="J347" s="37" t="str">
        <f aca="false">IF(I347="","",IF(H347="",1,H347)*I347)</f>
        <v/>
      </c>
      <c r="K347" s="15"/>
      <c r="L347" s="97" t="str">
        <f aca="false">IF(C347="","",IF(OR(C347="Material",C347="Equipo",C347="Suministro"),"Materiales y equipos",IF(C347="Mano de obra contratista","Mano de obra contratista",IF(C347="Transporte","Transporte y otros","Alquileres"))))</f>
        <v/>
      </c>
      <c r="M347" s="6"/>
    </row>
    <row r="348" customFormat="false" ht="16.5" hidden="false" customHeight="true" outlineLevel="0" collapsed="false">
      <c r="A348" s="95" t="str">
        <f aca="false">IF(AND(B348="",C348=""),"",ROW()-6)</f>
        <v/>
      </c>
      <c r="B348" s="83"/>
      <c r="C348" s="15"/>
      <c r="D348" s="15"/>
      <c r="E348" s="85"/>
      <c r="F348" s="15"/>
      <c r="G348" s="15"/>
      <c r="H348" s="96"/>
      <c r="I348" s="16"/>
      <c r="J348" s="37" t="str">
        <f aca="false">IF(I348="","",IF(H348="",1,H348)*I348)</f>
        <v/>
      </c>
      <c r="K348" s="15"/>
      <c r="L348" s="97" t="str">
        <f aca="false">IF(C348="","",IF(OR(C348="Material",C348="Equipo",C348="Suministro"),"Materiales y equipos",IF(C348="Mano de obra contratista","Mano de obra contratista",IF(C348="Transporte","Transporte y otros","Alquileres"))))</f>
        <v/>
      </c>
      <c r="M348" s="6"/>
    </row>
    <row r="349" customFormat="false" ht="16.5" hidden="false" customHeight="true" outlineLevel="0" collapsed="false">
      <c r="A349" s="95" t="str">
        <f aca="false">IF(AND(B349="",C349=""),"",ROW()-6)</f>
        <v/>
      </c>
      <c r="B349" s="83"/>
      <c r="C349" s="15"/>
      <c r="D349" s="15"/>
      <c r="E349" s="85"/>
      <c r="F349" s="15"/>
      <c r="G349" s="15"/>
      <c r="H349" s="96"/>
      <c r="I349" s="16"/>
      <c r="J349" s="37" t="str">
        <f aca="false">IF(I349="","",IF(H349="",1,H349)*I349)</f>
        <v/>
      </c>
      <c r="K349" s="15"/>
      <c r="L349" s="97" t="str">
        <f aca="false">IF(C349="","",IF(OR(C349="Material",C349="Equipo",C349="Suministro"),"Materiales y equipos",IF(C349="Mano de obra contratista","Mano de obra contratista",IF(C349="Transporte","Transporte y otros","Alquileres"))))</f>
        <v/>
      </c>
      <c r="M349" s="6"/>
    </row>
    <row r="350" customFormat="false" ht="16.5" hidden="false" customHeight="true" outlineLevel="0" collapsed="false">
      <c r="A350" s="95" t="str">
        <f aca="false">IF(AND(B350="",C350=""),"",ROW()-6)</f>
        <v/>
      </c>
      <c r="B350" s="83"/>
      <c r="C350" s="15"/>
      <c r="D350" s="15"/>
      <c r="E350" s="85"/>
      <c r="F350" s="15"/>
      <c r="G350" s="15"/>
      <c r="H350" s="96"/>
      <c r="I350" s="16"/>
      <c r="J350" s="37" t="str">
        <f aca="false">IF(I350="","",IF(H350="",1,H350)*I350)</f>
        <v/>
      </c>
      <c r="K350" s="15"/>
      <c r="L350" s="97" t="str">
        <f aca="false">IF(C350="","",IF(OR(C350="Material",C350="Equipo",C350="Suministro"),"Materiales y equipos",IF(C350="Mano de obra contratista","Mano de obra contratista",IF(C350="Transporte","Transporte y otros","Alquileres"))))</f>
        <v/>
      </c>
      <c r="M350" s="6"/>
    </row>
    <row r="351" customFormat="false" ht="16.5" hidden="false" customHeight="true" outlineLevel="0" collapsed="false">
      <c r="A351" s="95" t="str">
        <f aca="false">IF(AND(B351="",C351=""),"",ROW()-6)</f>
        <v/>
      </c>
      <c r="B351" s="83"/>
      <c r="C351" s="15"/>
      <c r="D351" s="15"/>
      <c r="E351" s="85"/>
      <c r="F351" s="15"/>
      <c r="G351" s="15"/>
      <c r="H351" s="96"/>
      <c r="I351" s="16"/>
      <c r="J351" s="37" t="str">
        <f aca="false">IF(I351="","",IF(H351="",1,H351)*I351)</f>
        <v/>
      </c>
      <c r="K351" s="15"/>
      <c r="L351" s="97" t="str">
        <f aca="false">IF(C351="","",IF(OR(C351="Material",C351="Equipo",C351="Suministro"),"Materiales y equipos",IF(C351="Mano de obra contratista","Mano de obra contratista",IF(C351="Transporte","Transporte y otros","Alquileres"))))</f>
        <v/>
      </c>
      <c r="M351" s="6"/>
    </row>
    <row r="352" customFormat="false" ht="16.5" hidden="false" customHeight="true" outlineLevel="0" collapsed="false">
      <c r="A352" s="95" t="str">
        <f aca="false">IF(AND(B352="",C352=""),"",ROW()-6)</f>
        <v/>
      </c>
      <c r="B352" s="83"/>
      <c r="C352" s="15"/>
      <c r="D352" s="15"/>
      <c r="E352" s="85"/>
      <c r="F352" s="15"/>
      <c r="G352" s="15"/>
      <c r="H352" s="96"/>
      <c r="I352" s="16"/>
      <c r="J352" s="37" t="str">
        <f aca="false">IF(I352="","",IF(H352="",1,H352)*I352)</f>
        <v/>
      </c>
      <c r="K352" s="15"/>
      <c r="L352" s="97" t="str">
        <f aca="false">IF(C352="","",IF(OR(C352="Material",C352="Equipo",C352="Suministro"),"Materiales y equipos",IF(C352="Mano de obra contratista","Mano de obra contratista",IF(C352="Transporte","Transporte y otros","Alquileres"))))</f>
        <v/>
      </c>
      <c r="M352" s="6"/>
    </row>
    <row r="353" customFormat="false" ht="16.5" hidden="false" customHeight="true" outlineLevel="0" collapsed="false">
      <c r="A353" s="95" t="str">
        <f aca="false">IF(AND(B353="",C353=""),"",ROW()-6)</f>
        <v/>
      </c>
      <c r="B353" s="83"/>
      <c r="C353" s="15"/>
      <c r="D353" s="15"/>
      <c r="E353" s="85"/>
      <c r="F353" s="15"/>
      <c r="G353" s="15"/>
      <c r="H353" s="96"/>
      <c r="I353" s="16"/>
      <c r="J353" s="37" t="str">
        <f aca="false">IF(I353="","",IF(H353="",1,H353)*I353)</f>
        <v/>
      </c>
      <c r="K353" s="15"/>
      <c r="L353" s="97" t="str">
        <f aca="false">IF(C353="","",IF(OR(C353="Material",C353="Equipo",C353="Suministro"),"Materiales y equipos",IF(C353="Mano de obra contratista","Mano de obra contratista",IF(C353="Transporte","Transporte y otros","Alquileres"))))</f>
        <v/>
      </c>
      <c r="M353" s="6"/>
    </row>
    <row r="354" customFormat="false" ht="16.5" hidden="false" customHeight="true" outlineLevel="0" collapsed="false">
      <c r="A354" s="95" t="str">
        <f aca="false">IF(AND(B354="",C354=""),"",ROW()-6)</f>
        <v/>
      </c>
      <c r="B354" s="83"/>
      <c r="C354" s="15"/>
      <c r="D354" s="15"/>
      <c r="E354" s="85"/>
      <c r="F354" s="15"/>
      <c r="G354" s="15"/>
      <c r="H354" s="96"/>
      <c r="I354" s="16"/>
      <c r="J354" s="37" t="str">
        <f aca="false">IF(I354="","",IF(H354="",1,H354)*I354)</f>
        <v/>
      </c>
      <c r="K354" s="15"/>
      <c r="L354" s="97" t="str">
        <f aca="false">IF(C354="","",IF(OR(C354="Material",C354="Equipo",C354="Suministro"),"Materiales y equipos",IF(C354="Mano de obra contratista","Mano de obra contratista",IF(C354="Transporte","Transporte y otros","Alquileres"))))</f>
        <v/>
      </c>
      <c r="M354" s="6"/>
    </row>
    <row r="355" customFormat="false" ht="16.5" hidden="false" customHeight="true" outlineLevel="0" collapsed="false">
      <c r="A355" s="95" t="str">
        <f aca="false">IF(AND(B355="",C355=""),"",ROW()-6)</f>
        <v/>
      </c>
      <c r="B355" s="83"/>
      <c r="C355" s="15"/>
      <c r="D355" s="15"/>
      <c r="E355" s="85"/>
      <c r="F355" s="15"/>
      <c r="G355" s="15"/>
      <c r="H355" s="96"/>
      <c r="I355" s="16"/>
      <c r="J355" s="37" t="str">
        <f aca="false">IF(I355="","",IF(H355="",1,H355)*I355)</f>
        <v/>
      </c>
      <c r="K355" s="15"/>
      <c r="L355" s="97" t="str">
        <f aca="false">IF(C355="","",IF(OR(C355="Material",C355="Equipo",C355="Suministro"),"Materiales y equipos",IF(C355="Mano de obra contratista","Mano de obra contratista",IF(C355="Transporte","Transporte y otros","Alquileres"))))</f>
        <v/>
      </c>
      <c r="M355" s="6"/>
    </row>
    <row r="356" customFormat="false" ht="16.5" hidden="false" customHeight="true" outlineLevel="0" collapsed="false">
      <c r="A356" s="95" t="str">
        <f aca="false">IF(AND(B356="",C356=""),"",ROW()-6)</f>
        <v/>
      </c>
      <c r="B356" s="83"/>
      <c r="C356" s="15"/>
      <c r="D356" s="15"/>
      <c r="E356" s="85"/>
      <c r="F356" s="15"/>
      <c r="G356" s="15"/>
      <c r="H356" s="96"/>
      <c r="I356" s="16"/>
      <c r="J356" s="37" t="str">
        <f aca="false">IF(I356="","",IF(H356="",1,H356)*I356)</f>
        <v/>
      </c>
      <c r="K356" s="15"/>
      <c r="L356" s="97" t="str">
        <f aca="false">IF(C356="","",IF(OR(C356="Material",C356="Equipo",C356="Suministro"),"Materiales y equipos",IF(C356="Mano de obra contratista","Mano de obra contratista",IF(C356="Transporte","Transporte y otros","Alquileres"))))</f>
        <v/>
      </c>
      <c r="M356" s="6"/>
    </row>
    <row r="357" customFormat="false" ht="16.5" hidden="false" customHeight="true" outlineLevel="0" collapsed="false">
      <c r="A357" s="95" t="str">
        <f aca="false">IF(AND(B357="",C357=""),"",ROW()-6)</f>
        <v/>
      </c>
      <c r="B357" s="83"/>
      <c r="C357" s="15"/>
      <c r="D357" s="15"/>
      <c r="E357" s="85"/>
      <c r="F357" s="15"/>
      <c r="G357" s="15"/>
      <c r="H357" s="96"/>
      <c r="I357" s="16"/>
      <c r="J357" s="37" t="str">
        <f aca="false">IF(I357="","",IF(H357="",1,H357)*I357)</f>
        <v/>
      </c>
      <c r="K357" s="15"/>
      <c r="L357" s="97" t="str">
        <f aca="false">IF(C357="","",IF(OR(C357="Material",C357="Equipo",C357="Suministro"),"Materiales y equipos",IF(C357="Mano de obra contratista","Mano de obra contratista",IF(C357="Transporte","Transporte y otros","Alquileres"))))</f>
        <v/>
      </c>
      <c r="M357" s="6"/>
    </row>
    <row r="358" customFormat="false" ht="16.5" hidden="false" customHeight="true" outlineLevel="0" collapsed="false">
      <c r="A358" s="95" t="str">
        <f aca="false">IF(AND(B358="",C358=""),"",ROW()-6)</f>
        <v/>
      </c>
      <c r="B358" s="83"/>
      <c r="C358" s="15"/>
      <c r="D358" s="15"/>
      <c r="E358" s="85"/>
      <c r="F358" s="15"/>
      <c r="G358" s="15"/>
      <c r="H358" s="96"/>
      <c r="I358" s="16"/>
      <c r="J358" s="37" t="str">
        <f aca="false">IF(I358="","",IF(H358="",1,H358)*I358)</f>
        <v/>
      </c>
      <c r="K358" s="15"/>
      <c r="L358" s="97" t="str">
        <f aca="false">IF(C358="","",IF(OR(C358="Material",C358="Equipo",C358="Suministro"),"Materiales y equipos",IF(C358="Mano de obra contratista","Mano de obra contratista",IF(C358="Transporte","Transporte y otros","Alquileres"))))</f>
        <v/>
      </c>
      <c r="M358" s="6"/>
    </row>
    <row r="359" customFormat="false" ht="16.5" hidden="false" customHeight="true" outlineLevel="0" collapsed="false">
      <c r="A359" s="95" t="str">
        <f aca="false">IF(AND(B359="",C359=""),"",ROW()-6)</f>
        <v/>
      </c>
      <c r="B359" s="83"/>
      <c r="C359" s="15"/>
      <c r="D359" s="15"/>
      <c r="E359" s="85"/>
      <c r="F359" s="15"/>
      <c r="G359" s="15"/>
      <c r="H359" s="96"/>
      <c r="I359" s="16"/>
      <c r="J359" s="37" t="str">
        <f aca="false">IF(I359="","",IF(H359="",1,H359)*I359)</f>
        <v/>
      </c>
      <c r="K359" s="15"/>
      <c r="L359" s="97" t="str">
        <f aca="false">IF(C359="","",IF(OR(C359="Material",C359="Equipo",C359="Suministro"),"Materiales y equipos",IF(C359="Mano de obra contratista","Mano de obra contratista",IF(C359="Transporte","Transporte y otros","Alquileres"))))</f>
        <v/>
      </c>
      <c r="M359" s="6"/>
    </row>
    <row r="360" customFormat="false" ht="16.5" hidden="false" customHeight="true" outlineLevel="0" collapsed="false">
      <c r="A360" s="95" t="str">
        <f aca="false">IF(AND(B360="",C360=""),"",ROW()-6)</f>
        <v/>
      </c>
      <c r="B360" s="83"/>
      <c r="C360" s="15"/>
      <c r="D360" s="15"/>
      <c r="E360" s="85"/>
      <c r="F360" s="15"/>
      <c r="G360" s="15"/>
      <c r="H360" s="96"/>
      <c r="I360" s="16"/>
      <c r="J360" s="37" t="str">
        <f aca="false">IF(I360="","",IF(H360="",1,H360)*I360)</f>
        <v/>
      </c>
      <c r="K360" s="15"/>
      <c r="L360" s="97" t="str">
        <f aca="false">IF(C360="","",IF(OR(C360="Material",C360="Equipo",C360="Suministro"),"Materiales y equipos",IF(C360="Mano de obra contratista","Mano de obra contratista",IF(C360="Transporte","Transporte y otros","Alquileres"))))</f>
        <v/>
      </c>
      <c r="M360" s="6"/>
    </row>
    <row r="361" customFormat="false" ht="16.5" hidden="false" customHeight="true" outlineLevel="0" collapsed="false">
      <c r="A361" s="95" t="str">
        <f aca="false">IF(AND(B361="",C361=""),"",ROW()-6)</f>
        <v/>
      </c>
      <c r="B361" s="83"/>
      <c r="C361" s="15"/>
      <c r="D361" s="15"/>
      <c r="E361" s="85"/>
      <c r="F361" s="15"/>
      <c r="G361" s="15"/>
      <c r="H361" s="96"/>
      <c r="I361" s="16"/>
      <c r="J361" s="37" t="str">
        <f aca="false">IF(I361="","",IF(H361="",1,H361)*I361)</f>
        <v/>
      </c>
      <c r="K361" s="15"/>
      <c r="L361" s="97" t="str">
        <f aca="false">IF(C361="","",IF(OR(C361="Material",C361="Equipo",C361="Suministro"),"Materiales y equipos",IF(C361="Mano de obra contratista","Mano de obra contratista",IF(C361="Transporte","Transporte y otros","Alquileres"))))</f>
        <v/>
      </c>
      <c r="M361" s="6"/>
    </row>
    <row r="362" customFormat="false" ht="16.5" hidden="false" customHeight="true" outlineLevel="0" collapsed="false">
      <c r="A362" s="95" t="str">
        <f aca="false">IF(AND(B362="",C362=""),"",ROW()-6)</f>
        <v/>
      </c>
      <c r="B362" s="83"/>
      <c r="C362" s="15"/>
      <c r="D362" s="15"/>
      <c r="E362" s="85"/>
      <c r="F362" s="15"/>
      <c r="G362" s="15"/>
      <c r="H362" s="96"/>
      <c r="I362" s="16"/>
      <c r="J362" s="37" t="str">
        <f aca="false">IF(I362="","",IF(H362="",1,H362)*I362)</f>
        <v/>
      </c>
      <c r="K362" s="15"/>
      <c r="L362" s="97" t="str">
        <f aca="false">IF(C362="","",IF(OR(C362="Material",C362="Equipo",C362="Suministro"),"Materiales y equipos",IF(C362="Mano de obra contratista","Mano de obra contratista",IF(C362="Transporte","Transporte y otros","Alquileres"))))</f>
        <v/>
      </c>
      <c r="M362" s="6"/>
    </row>
    <row r="363" customFormat="false" ht="16.5" hidden="false" customHeight="true" outlineLevel="0" collapsed="false">
      <c r="A363" s="95" t="str">
        <f aca="false">IF(AND(B363="",C363=""),"",ROW()-6)</f>
        <v/>
      </c>
      <c r="B363" s="83"/>
      <c r="C363" s="15"/>
      <c r="D363" s="15"/>
      <c r="E363" s="85"/>
      <c r="F363" s="15"/>
      <c r="G363" s="15"/>
      <c r="H363" s="96"/>
      <c r="I363" s="16"/>
      <c r="J363" s="37" t="str">
        <f aca="false">IF(I363="","",IF(H363="",1,H363)*I363)</f>
        <v/>
      </c>
      <c r="K363" s="15"/>
      <c r="L363" s="97" t="str">
        <f aca="false">IF(C363="","",IF(OR(C363="Material",C363="Equipo",C363="Suministro"),"Materiales y equipos",IF(C363="Mano de obra contratista","Mano de obra contratista",IF(C363="Transporte","Transporte y otros","Alquileres"))))</f>
        <v/>
      </c>
      <c r="M363" s="6"/>
    </row>
    <row r="364" customFormat="false" ht="16.5" hidden="false" customHeight="true" outlineLevel="0" collapsed="false">
      <c r="A364" s="95" t="str">
        <f aca="false">IF(AND(B364="",C364=""),"",ROW()-6)</f>
        <v/>
      </c>
      <c r="B364" s="83"/>
      <c r="C364" s="15"/>
      <c r="D364" s="15"/>
      <c r="E364" s="85"/>
      <c r="F364" s="15"/>
      <c r="G364" s="15"/>
      <c r="H364" s="96"/>
      <c r="I364" s="16"/>
      <c r="J364" s="37" t="str">
        <f aca="false">IF(I364="","",IF(H364="",1,H364)*I364)</f>
        <v/>
      </c>
      <c r="K364" s="15"/>
      <c r="L364" s="97" t="str">
        <f aca="false">IF(C364="","",IF(OR(C364="Material",C364="Equipo",C364="Suministro"),"Materiales y equipos",IF(C364="Mano de obra contratista","Mano de obra contratista",IF(C364="Transporte","Transporte y otros","Alquileres"))))</f>
        <v/>
      </c>
      <c r="M364" s="6"/>
    </row>
    <row r="365" customFormat="false" ht="16.5" hidden="false" customHeight="true" outlineLevel="0" collapsed="false">
      <c r="A365" s="95" t="str">
        <f aca="false">IF(AND(B365="",C365=""),"",ROW()-6)</f>
        <v/>
      </c>
      <c r="B365" s="83"/>
      <c r="C365" s="15"/>
      <c r="D365" s="15"/>
      <c r="E365" s="85"/>
      <c r="F365" s="15"/>
      <c r="G365" s="15"/>
      <c r="H365" s="96"/>
      <c r="I365" s="16"/>
      <c r="J365" s="37" t="str">
        <f aca="false">IF(I365="","",IF(H365="",1,H365)*I365)</f>
        <v/>
      </c>
      <c r="K365" s="15"/>
      <c r="L365" s="97" t="str">
        <f aca="false">IF(C365="","",IF(OR(C365="Material",C365="Equipo",C365="Suministro"),"Materiales y equipos",IF(C365="Mano de obra contratista","Mano de obra contratista",IF(C365="Transporte","Transporte y otros","Alquileres"))))</f>
        <v/>
      </c>
      <c r="M365" s="6"/>
    </row>
    <row r="366" customFormat="false" ht="16.5" hidden="false" customHeight="true" outlineLevel="0" collapsed="false">
      <c r="A366" s="95" t="str">
        <f aca="false">IF(AND(B366="",C366=""),"",ROW()-6)</f>
        <v/>
      </c>
      <c r="B366" s="83"/>
      <c r="C366" s="15"/>
      <c r="D366" s="15"/>
      <c r="E366" s="85"/>
      <c r="F366" s="15"/>
      <c r="G366" s="15"/>
      <c r="H366" s="96"/>
      <c r="I366" s="16"/>
      <c r="J366" s="37" t="str">
        <f aca="false">IF(I366="","",IF(H366="",1,H366)*I366)</f>
        <v/>
      </c>
      <c r="K366" s="15"/>
      <c r="L366" s="97" t="str">
        <f aca="false">IF(C366="","",IF(OR(C366="Material",C366="Equipo",C366="Suministro"),"Materiales y equipos",IF(C366="Mano de obra contratista","Mano de obra contratista",IF(C366="Transporte","Transporte y otros","Alquileres"))))</f>
        <v/>
      </c>
      <c r="M366" s="6"/>
    </row>
    <row r="367" customFormat="false" ht="16.5" hidden="false" customHeight="true" outlineLevel="0" collapsed="false">
      <c r="A367" s="95" t="str">
        <f aca="false">IF(AND(B367="",C367=""),"",ROW()-6)</f>
        <v/>
      </c>
      <c r="B367" s="83"/>
      <c r="C367" s="15"/>
      <c r="D367" s="15"/>
      <c r="E367" s="85"/>
      <c r="F367" s="15"/>
      <c r="G367" s="15"/>
      <c r="H367" s="96"/>
      <c r="I367" s="16"/>
      <c r="J367" s="37" t="str">
        <f aca="false">IF(I367="","",IF(H367="",1,H367)*I367)</f>
        <v/>
      </c>
      <c r="K367" s="15"/>
      <c r="L367" s="97" t="str">
        <f aca="false">IF(C367="","",IF(OR(C367="Material",C367="Equipo",C367="Suministro"),"Materiales y equipos",IF(C367="Mano de obra contratista","Mano de obra contratista",IF(C367="Transporte","Transporte y otros","Alquileres"))))</f>
        <v/>
      </c>
      <c r="M367" s="6"/>
    </row>
    <row r="368" customFormat="false" ht="16.5" hidden="false" customHeight="true" outlineLevel="0" collapsed="false">
      <c r="A368" s="95" t="str">
        <f aca="false">IF(AND(B368="",C368=""),"",ROW()-6)</f>
        <v/>
      </c>
      <c r="B368" s="83"/>
      <c r="C368" s="15"/>
      <c r="D368" s="15"/>
      <c r="E368" s="85"/>
      <c r="F368" s="15"/>
      <c r="G368" s="15"/>
      <c r="H368" s="96"/>
      <c r="I368" s="16"/>
      <c r="J368" s="37" t="str">
        <f aca="false">IF(I368="","",IF(H368="",1,H368)*I368)</f>
        <v/>
      </c>
      <c r="K368" s="15"/>
      <c r="L368" s="97" t="str">
        <f aca="false">IF(C368="","",IF(OR(C368="Material",C368="Equipo",C368="Suministro"),"Materiales y equipos",IF(C368="Mano de obra contratista","Mano de obra contratista",IF(C368="Transporte","Transporte y otros","Alquileres"))))</f>
        <v/>
      </c>
      <c r="M368" s="6"/>
    </row>
    <row r="369" customFormat="false" ht="16.5" hidden="false" customHeight="true" outlineLevel="0" collapsed="false">
      <c r="A369" s="95" t="str">
        <f aca="false">IF(AND(B369="",C369=""),"",ROW()-6)</f>
        <v/>
      </c>
      <c r="B369" s="83"/>
      <c r="C369" s="15"/>
      <c r="D369" s="15"/>
      <c r="E369" s="85"/>
      <c r="F369" s="15"/>
      <c r="G369" s="15"/>
      <c r="H369" s="96"/>
      <c r="I369" s="16"/>
      <c r="J369" s="37" t="str">
        <f aca="false">IF(I369="","",IF(H369="",1,H369)*I369)</f>
        <v/>
      </c>
      <c r="K369" s="15"/>
      <c r="L369" s="97" t="str">
        <f aca="false">IF(C369="","",IF(OR(C369="Material",C369="Equipo",C369="Suministro"),"Materiales y equipos",IF(C369="Mano de obra contratista","Mano de obra contratista",IF(C369="Transporte","Transporte y otros","Alquileres"))))</f>
        <v/>
      </c>
      <c r="M369" s="6"/>
    </row>
    <row r="370" customFormat="false" ht="16.5" hidden="false" customHeight="true" outlineLevel="0" collapsed="false">
      <c r="A370" s="95" t="str">
        <f aca="false">IF(AND(B370="",C370=""),"",ROW()-6)</f>
        <v/>
      </c>
      <c r="B370" s="83"/>
      <c r="C370" s="15"/>
      <c r="D370" s="15"/>
      <c r="E370" s="85"/>
      <c r="F370" s="15"/>
      <c r="G370" s="15"/>
      <c r="H370" s="96"/>
      <c r="I370" s="16"/>
      <c r="J370" s="37" t="str">
        <f aca="false">IF(I370="","",IF(H370="",1,H370)*I370)</f>
        <v/>
      </c>
      <c r="K370" s="15"/>
      <c r="L370" s="97" t="str">
        <f aca="false">IF(C370="","",IF(OR(C370="Material",C370="Equipo",C370="Suministro"),"Materiales y equipos",IF(C370="Mano de obra contratista","Mano de obra contratista",IF(C370="Transporte","Transporte y otros","Alquileres"))))</f>
        <v/>
      </c>
      <c r="M370" s="6"/>
    </row>
    <row r="371" customFormat="false" ht="16.5" hidden="false" customHeight="true" outlineLevel="0" collapsed="false">
      <c r="A371" s="95" t="str">
        <f aca="false">IF(AND(B371="",C371=""),"",ROW()-6)</f>
        <v/>
      </c>
      <c r="B371" s="83"/>
      <c r="C371" s="15"/>
      <c r="D371" s="15"/>
      <c r="E371" s="85"/>
      <c r="F371" s="15"/>
      <c r="G371" s="15"/>
      <c r="H371" s="96"/>
      <c r="I371" s="16"/>
      <c r="J371" s="37" t="str">
        <f aca="false">IF(I371="","",IF(H371="",1,H371)*I371)</f>
        <v/>
      </c>
      <c r="K371" s="15"/>
      <c r="L371" s="97" t="str">
        <f aca="false">IF(C371="","",IF(OR(C371="Material",C371="Equipo",C371="Suministro"),"Materiales y equipos",IF(C371="Mano de obra contratista","Mano de obra contratista",IF(C371="Transporte","Transporte y otros","Alquileres"))))</f>
        <v/>
      </c>
      <c r="M371" s="6"/>
    </row>
    <row r="372" customFormat="false" ht="16.5" hidden="false" customHeight="true" outlineLevel="0" collapsed="false">
      <c r="A372" s="95" t="str">
        <f aca="false">IF(AND(B372="",C372=""),"",ROW()-6)</f>
        <v/>
      </c>
      <c r="B372" s="83"/>
      <c r="C372" s="15"/>
      <c r="D372" s="15"/>
      <c r="E372" s="85"/>
      <c r="F372" s="15"/>
      <c r="G372" s="15"/>
      <c r="H372" s="96"/>
      <c r="I372" s="16"/>
      <c r="J372" s="37" t="str">
        <f aca="false">IF(I372="","",IF(H372="",1,H372)*I372)</f>
        <v/>
      </c>
      <c r="K372" s="15"/>
      <c r="L372" s="97" t="str">
        <f aca="false">IF(C372="","",IF(OR(C372="Material",C372="Equipo",C372="Suministro"),"Materiales y equipos",IF(C372="Mano de obra contratista","Mano de obra contratista",IF(C372="Transporte","Transporte y otros","Alquileres"))))</f>
        <v/>
      </c>
      <c r="M372" s="6"/>
    </row>
    <row r="373" customFormat="false" ht="16.5" hidden="false" customHeight="true" outlineLevel="0" collapsed="false">
      <c r="A373" s="95" t="str">
        <f aca="false">IF(AND(B373="",C373=""),"",ROW()-6)</f>
        <v/>
      </c>
      <c r="B373" s="83"/>
      <c r="C373" s="15"/>
      <c r="D373" s="15"/>
      <c r="E373" s="85"/>
      <c r="F373" s="15"/>
      <c r="G373" s="15"/>
      <c r="H373" s="96"/>
      <c r="I373" s="16"/>
      <c r="J373" s="37" t="str">
        <f aca="false">IF(I373="","",IF(H373="",1,H373)*I373)</f>
        <v/>
      </c>
      <c r="K373" s="15"/>
      <c r="L373" s="97" t="str">
        <f aca="false">IF(C373="","",IF(OR(C373="Material",C373="Equipo",C373="Suministro"),"Materiales y equipos",IF(C373="Mano de obra contratista","Mano de obra contratista",IF(C373="Transporte","Transporte y otros","Alquileres"))))</f>
        <v/>
      </c>
      <c r="M373" s="6"/>
    </row>
    <row r="374" customFormat="false" ht="16.5" hidden="false" customHeight="true" outlineLevel="0" collapsed="false">
      <c r="A374" s="95" t="str">
        <f aca="false">IF(AND(B374="",C374=""),"",ROW()-6)</f>
        <v/>
      </c>
      <c r="B374" s="83"/>
      <c r="C374" s="15"/>
      <c r="D374" s="15"/>
      <c r="E374" s="85"/>
      <c r="F374" s="15"/>
      <c r="G374" s="15"/>
      <c r="H374" s="96"/>
      <c r="I374" s="16"/>
      <c r="J374" s="37" t="str">
        <f aca="false">IF(I374="","",IF(H374="",1,H374)*I374)</f>
        <v/>
      </c>
      <c r="K374" s="15"/>
      <c r="L374" s="97" t="str">
        <f aca="false">IF(C374="","",IF(OR(C374="Material",C374="Equipo",C374="Suministro"),"Materiales y equipos",IF(C374="Mano de obra contratista","Mano de obra contratista",IF(C374="Transporte","Transporte y otros","Alquileres"))))</f>
        <v/>
      </c>
      <c r="M374" s="6"/>
    </row>
    <row r="375" customFormat="false" ht="16.5" hidden="false" customHeight="true" outlineLevel="0" collapsed="false">
      <c r="A375" s="95" t="str">
        <f aca="false">IF(AND(B375="",C375=""),"",ROW()-6)</f>
        <v/>
      </c>
      <c r="B375" s="83"/>
      <c r="C375" s="15"/>
      <c r="D375" s="15"/>
      <c r="E375" s="85"/>
      <c r="F375" s="15"/>
      <c r="G375" s="15"/>
      <c r="H375" s="96"/>
      <c r="I375" s="16"/>
      <c r="J375" s="37" t="str">
        <f aca="false">IF(I375="","",IF(H375="",1,H375)*I375)</f>
        <v/>
      </c>
      <c r="K375" s="15"/>
      <c r="L375" s="97" t="str">
        <f aca="false">IF(C375="","",IF(OR(C375="Material",C375="Equipo",C375="Suministro"),"Materiales y equipos",IF(C375="Mano de obra contratista","Mano de obra contratista",IF(C375="Transporte","Transporte y otros","Alquileres"))))</f>
        <v/>
      </c>
      <c r="M375" s="6"/>
    </row>
    <row r="376" customFormat="false" ht="16.5" hidden="false" customHeight="true" outlineLevel="0" collapsed="false">
      <c r="A376" s="95" t="str">
        <f aca="false">IF(AND(B376="",C376=""),"",ROW()-6)</f>
        <v/>
      </c>
      <c r="B376" s="83"/>
      <c r="C376" s="15"/>
      <c r="D376" s="15"/>
      <c r="E376" s="85"/>
      <c r="F376" s="15"/>
      <c r="G376" s="15"/>
      <c r="H376" s="96"/>
      <c r="I376" s="16"/>
      <c r="J376" s="37" t="str">
        <f aca="false">IF(I376="","",IF(H376="",1,H376)*I376)</f>
        <v/>
      </c>
      <c r="K376" s="15"/>
      <c r="L376" s="97" t="str">
        <f aca="false">IF(C376="","",IF(OR(C376="Material",C376="Equipo",C376="Suministro"),"Materiales y equipos",IF(C376="Mano de obra contratista","Mano de obra contratista",IF(C376="Transporte","Transporte y otros","Alquileres"))))</f>
        <v/>
      </c>
      <c r="M376" s="6"/>
    </row>
    <row r="377" customFormat="false" ht="16.5" hidden="false" customHeight="true" outlineLevel="0" collapsed="false">
      <c r="A377" s="95" t="str">
        <f aca="false">IF(AND(B377="",C377=""),"",ROW()-6)</f>
        <v/>
      </c>
      <c r="B377" s="83"/>
      <c r="C377" s="15"/>
      <c r="D377" s="15"/>
      <c r="E377" s="85"/>
      <c r="F377" s="15"/>
      <c r="G377" s="15"/>
      <c r="H377" s="96"/>
      <c r="I377" s="16"/>
      <c r="J377" s="37" t="str">
        <f aca="false">IF(I377="","",IF(H377="",1,H377)*I377)</f>
        <v/>
      </c>
      <c r="K377" s="15"/>
      <c r="L377" s="97" t="str">
        <f aca="false">IF(C377="","",IF(OR(C377="Material",C377="Equipo",C377="Suministro"),"Materiales y equipos",IF(C377="Mano de obra contratista","Mano de obra contratista",IF(C377="Transporte","Transporte y otros","Alquileres"))))</f>
        <v/>
      </c>
      <c r="M377" s="6"/>
    </row>
    <row r="378" customFormat="false" ht="16.5" hidden="false" customHeight="true" outlineLevel="0" collapsed="false">
      <c r="A378" s="95" t="str">
        <f aca="false">IF(AND(B378="",C378=""),"",ROW()-6)</f>
        <v/>
      </c>
      <c r="B378" s="83"/>
      <c r="C378" s="15"/>
      <c r="D378" s="15"/>
      <c r="E378" s="85"/>
      <c r="F378" s="15"/>
      <c r="G378" s="15"/>
      <c r="H378" s="96"/>
      <c r="I378" s="16"/>
      <c r="J378" s="37" t="str">
        <f aca="false">IF(I378="","",IF(H378="",1,H378)*I378)</f>
        <v/>
      </c>
      <c r="K378" s="15"/>
      <c r="L378" s="97" t="str">
        <f aca="false">IF(C378="","",IF(OR(C378="Material",C378="Equipo",C378="Suministro"),"Materiales y equipos",IF(C378="Mano de obra contratista","Mano de obra contratista",IF(C378="Transporte","Transporte y otros","Alquileres"))))</f>
        <v/>
      </c>
      <c r="M378" s="6"/>
    </row>
    <row r="379" customFormat="false" ht="16.5" hidden="false" customHeight="true" outlineLevel="0" collapsed="false">
      <c r="A379" s="95" t="str">
        <f aca="false">IF(AND(B379="",C379=""),"",ROW()-6)</f>
        <v/>
      </c>
      <c r="B379" s="83"/>
      <c r="C379" s="15"/>
      <c r="D379" s="15"/>
      <c r="E379" s="85"/>
      <c r="F379" s="15"/>
      <c r="G379" s="15"/>
      <c r="H379" s="96"/>
      <c r="I379" s="16"/>
      <c r="J379" s="37" t="str">
        <f aca="false">IF(I379="","",IF(H379="",1,H379)*I379)</f>
        <v/>
      </c>
      <c r="K379" s="15"/>
      <c r="L379" s="97" t="str">
        <f aca="false">IF(C379="","",IF(OR(C379="Material",C379="Equipo",C379="Suministro"),"Materiales y equipos",IF(C379="Mano de obra contratista","Mano de obra contratista",IF(C379="Transporte","Transporte y otros","Alquileres"))))</f>
        <v/>
      </c>
      <c r="M379" s="6"/>
    </row>
    <row r="380" customFormat="false" ht="16.5" hidden="false" customHeight="true" outlineLevel="0" collapsed="false">
      <c r="A380" s="95" t="str">
        <f aca="false">IF(AND(B380="",C380=""),"",ROW()-6)</f>
        <v/>
      </c>
      <c r="B380" s="83"/>
      <c r="C380" s="15"/>
      <c r="D380" s="15"/>
      <c r="E380" s="85"/>
      <c r="F380" s="15"/>
      <c r="G380" s="15"/>
      <c r="H380" s="96"/>
      <c r="I380" s="16"/>
      <c r="J380" s="37" t="str">
        <f aca="false">IF(I380="","",IF(H380="",1,H380)*I380)</f>
        <v/>
      </c>
      <c r="K380" s="15"/>
      <c r="L380" s="97" t="str">
        <f aca="false">IF(C380="","",IF(OR(C380="Material",C380="Equipo",C380="Suministro"),"Materiales y equipos",IF(C380="Mano de obra contratista","Mano de obra contratista",IF(C380="Transporte","Transporte y otros","Alquileres"))))</f>
        <v/>
      </c>
      <c r="M380" s="6"/>
    </row>
    <row r="381" customFormat="false" ht="16.5" hidden="false" customHeight="true" outlineLevel="0" collapsed="false">
      <c r="A381" s="95" t="str">
        <f aca="false">IF(AND(B381="",C381=""),"",ROW()-6)</f>
        <v/>
      </c>
      <c r="B381" s="83"/>
      <c r="C381" s="15"/>
      <c r="D381" s="15"/>
      <c r="E381" s="85"/>
      <c r="F381" s="15"/>
      <c r="G381" s="15"/>
      <c r="H381" s="96"/>
      <c r="I381" s="16"/>
      <c r="J381" s="37" t="str">
        <f aca="false">IF(I381="","",IF(H381="",1,H381)*I381)</f>
        <v/>
      </c>
      <c r="K381" s="15"/>
      <c r="L381" s="97" t="str">
        <f aca="false">IF(C381="","",IF(OR(C381="Material",C381="Equipo",C381="Suministro"),"Materiales y equipos",IF(C381="Mano de obra contratista","Mano de obra contratista",IF(C381="Transporte","Transporte y otros","Alquileres"))))</f>
        <v/>
      </c>
      <c r="M381" s="6"/>
    </row>
    <row r="382" customFormat="false" ht="16.5" hidden="false" customHeight="true" outlineLevel="0" collapsed="false">
      <c r="A382" s="95" t="str">
        <f aca="false">IF(AND(B382="",C382=""),"",ROW()-6)</f>
        <v/>
      </c>
      <c r="B382" s="83"/>
      <c r="C382" s="15"/>
      <c r="D382" s="15"/>
      <c r="E382" s="85"/>
      <c r="F382" s="15"/>
      <c r="G382" s="15"/>
      <c r="H382" s="96"/>
      <c r="I382" s="16"/>
      <c r="J382" s="37" t="str">
        <f aca="false">IF(I382="","",IF(H382="",1,H382)*I382)</f>
        <v/>
      </c>
      <c r="K382" s="15"/>
      <c r="L382" s="97" t="str">
        <f aca="false">IF(C382="","",IF(OR(C382="Material",C382="Equipo",C382="Suministro"),"Materiales y equipos",IF(C382="Mano de obra contratista","Mano de obra contratista",IF(C382="Transporte","Transporte y otros","Alquileres"))))</f>
        <v/>
      </c>
      <c r="M382" s="6"/>
    </row>
    <row r="383" customFormat="false" ht="16.5" hidden="false" customHeight="true" outlineLevel="0" collapsed="false">
      <c r="A383" s="95" t="str">
        <f aca="false">IF(AND(B383="",C383=""),"",ROW()-6)</f>
        <v/>
      </c>
      <c r="B383" s="83"/>
      <c r="C383" s="15"/>
      <c r="D383" s="15"/>
      <c r="E383" s="85"/>
      <c r="F383" s="15"/>
      <c r="G383" s="15"/>
      <c r="H383" s="96"/>
      <c r="I383" s="16"/>
      <c r="J383" s="37" t="str">
        <f aca="false">IF(I383="","",IF(H383="",1,H383)*I383)</f>
        <v/>
      </c>
      <c r="K383" s="15"/>
      <c r="L383" s="97" t="str">
        <f aca="false">IF(C383="","",IF(OR(C383="Material",C383="Equipo",C383="Suministro"),"Materiales y equipos",IF(C383="Mano de obra contratista","Mano de obra contratista",IF(C383="Transporte","Transporte y otros","Alquileres"))))</f>
        <v/>
      </c>
      <c r="M383" s="6"/>
    </row>
    <row r="384" customFormat="false" ht="16.5" hidden="false" customHeight="true" outlineLevel="0" collapsed="false">
      <c r="A384" s="95" t="str">
        <f aca="false">IF(AND(B384="",C384=""),"",ROW()-6)</f>
        <v/>
      </c>
      <c r="B384" s="83"/>
      <c r="C384" s="15"/>
      <c r="D384" s="15"/>
      <c r="E384" s="85"/>
      <c r="F384" s="15"/>
      <c r="G384" s="15"/>
      <c r="H384" s="96"/>
      <c r="I384" s="16"/>
      <c r="J384" s="37" t="str">
        <f aca="false">IF(I384="","",IF(H384="",1,H384)*I384)</f>
        <v/>
      </c>
      <c r="K384" s="15"/>
      <c r="L384" s="97" t="str">
        <f aca="false">IF(C384="","",IF(OR(C384="Material",C384="Equipo",C384="Suministro"),"Materiales y equipos",IF(C384="Mano de obra contratista","Mano de obra contratista",IF(C384="Transporte","Transporte y otros","Alquileres"))))</f>
        <v/>
      </c>
      <c r="M384" s="6"/>
    </row>
    <row r="385" customFormat="false" ht="16.5" hidden="false" customHeight="true" outlineLevel="0" collapsed="false">
      <c r="A385" s="95" t="str">
        <f aca="false">IF(AND(B385="",C385=""),"",ROW()-6)</f>
        <v/>
      </c>
      <c r="B385" s="83"/>
      <c r="C385" s="15"/>
      <c r="D385" s="15"/>
      <c r="E385" s="85"/>
      <c r="F385" s="15"/>
      <c r="G385" s="15"/>
      <c r="H385" s="96"/>
      <c r="I385" s="16"/>
      <c r="J385" s="37" t="str">
        <f aca="false">IF(I385="","",IF(H385="",1,H385)*I385)</f>
        <v/>
      </c>
      <c r="K385" s="15"/>
      <c r="L385" s="97" t="str">
        <f aca="false">IF(C385="","",IF(OR(C385="Material",C385="Equipo",C385="Suministro"),"Materiales y equipos",IF(C385="Mano de obra contratista","Mano de obra contratista",IF(C385="Transporte","Transporte y otros","Alquileres"))))</f>
        <v/>
      </c>
      <c r="M385" s="6"/>
    </row>
    <row r="386" customFormat="false" ht="16.5" hidden="false" customHeight="true" outlineLevel="0" collapsed="false">
      <c r="A386" s="95" t="str">
        <f aca="false">IF(AND(B386="",C386=""),"",ROW()-6)</f>
        <v/>
      </c>
      <c r="B386" s="83"/>
      <c r="C386" s="15"/>
      <c r="D386" s="15"/>
      <c r="E386" s="85"/>
      <c r="F386" s="15"/>
      <c r="G386" s="15"/>
      <c r="H386" s="96"/>
      <c r="I386" s="16"/>
      <c r="J386" s="37" t="str">
        <f aca="false">IF(I386="","",IF(H386="",1,H386)*I386)</f>
        <v/>
      </c>
      <c r="K386" s="15"/>
      <c r="L386" s="97" t="str">
        <f aca="false">IF(C386="","",IF(OR(C386="Material",C386="Equipo",C386="Suministro"),"Materiales y equipos",IF(C386="Mano de obra contratista","Mano de obra contratista",IF(C386="Transporte","Transporte y otros","Alquileres"))))</f>
        <v/>
      </c>
      <c r="M386" s="6"/>
    </row>
    <row r="387" customFormat="false" ht="16.5" hidden="false" customHeight="true" outlineLevel="0" collapsed="false">
      <c r="A387" s="95" t="str">
        <f aca="false">IF(AND(B387="",C387=""),"",ROW()-6)</f>
        <v/>
      </c>
      <c r="B387" s="83"/>
      <c r="C387" s="15"/>
      <c r="D387" s="15"/>
      <c r="E387" s="85"/>
      <c r="F387" s="15"/>
      <c r="G387" s="15"/>
      <c r="H387" s="96"/>
      <c r="I387" s="16"/>
      <c r="J387" s="37" t="str">
        <f aca="false">IF(I387="","",IF(H387="",1,H387)*I387)</f>
        <v/>
      </c>
      <c r="K387" s="15"/>
      <c r="L387" s="97" t="str">
        <f aca="false">IF(C387="","",IF(OR(C387="Material",C387="Equipo",C387="Suministro"),"Materiales y equipos",IF(C387="Mano de obra contratista","Mano de obra contratista",IF(C387="Transporte","Transporte y otros","Alquileres"))))</f>
        <v/>
      </c>
      <c r="M387" s="6"/>
    </row>
    <row r="388" customFormat="false" ht="16.5" hidden="false" customHeight="true" outlineLevel="0" collapsed="false">
      <c r="A388" s="95" t="str">
        <f aca="false">IF(AND(B388="",C388=""),"",ROW()-6)</f>
        <v/>
      </c>
      <c r="B388" s="83"/>
      <c r="C388" s="15"/>
      <c r="D388" s="15"/>
      <c r="E388" s="85"/>
      <c r="F388" s="15"/>
      <c r="G388" s="15"/>
      <c r="H388" s="96"/>
      <c r="I388" s="16"/>
      <c r="J388" s="37" t="str">
        <f aca="false">IF(I388="","",IF(H388="",1,H388)*I388)</f>
        <v/>
      </c>
      <c r="K388" s="15"/>
      <c r="L388" s="97" t="str">
        <f aca="false">IF(C388="","",IF(OR(C388="Material",C388="Equipo",C388="Suministro"),"Materiales y equipos",IF(C388="Mano de obra contratista","Mano de obra contratista",IF(C388="Transporte","Transporte y otros","Alquileres"))))</f>
        <v/>
      </c>
      <c r="M388" s="6"/>
    </row>
    <row r="389" customFormat="false" ht="16.5" hidden="false" customHeight="true" outlineLevel="0" collapsed="false">
      <c r="A389" s="95" t="str">
        <f aca="false">IF(AND(B389="",C389=""),"",ROW()-6)</f>
        <v/>
      </c>
      <c r="B389" s="83"/>
      <c r="C389" s="15"/>
      <c r="D389" s="15"/>
      <c r="E389" s="85"/>
      <c r="F389" s="15"/>
      <c r="G389" s="15"/>
      <c r="H389" s="96"/>
      <c r="I389" s="16"/>
      <c r="J389" s="37" t="str">
        <f aca="false">IF(I389="","",IF(H389="",1,H389)*I389)</f>
        <v/>
      </c>
      <c r="K389" s="15"/>
      <c r="L389" s="97" t="str">
        <f aca="false">IF(C389="","",IF(OR(C389="Material",C389="Equipo",C389="Suministro"),"Materiales y equipos",IF(C389="Mano de obra contratista","Mano de obra contratista",IF(C389="Transporte","Transporte y otros","Alquileres"))))</f>
        <v/>
      </c>
      <c r="M389" s="6"/>
    </row>
    <row r="390" customFormat="false" ht="16.5" hidden="false" customHeight="true" outlineLevel="0" collapsed="false">
      <c r="A390" s="95" t="str">
        <f aca="false">IF(AND(B390="",C390=""),"",ROW()-6)</f>
        <v/>
      </c>
      <c r="B390" s="83"/>
      <c r="C390" s="15"/>
      <c r="D390" s="15"/>
      <c r="E390" s="85"/>
      <c r="F390" s="15"/>
      <c r="G390" s="15"/>
      <c r="H390" s="96"/>
      <c r="I390" s="16"/>
      <c r="J390" s="37" t="str">
        <f aca="false">IF(I390="","",IF(H390="",1,H390)*I390)</f>
        <v/>
      </c>
      <c r="K390" s="15"/>
      <c r="L390" s="97" t="str">
        <f aca="false">IF(C390="","",IF(OR(C390="Material",C390="Equipo",C390="Suministro"),"Materiales y equipos",IF(C390="Mano de obra contratista","Mano de obra contratista",IF(C390="Transporte","Transporte y otros","Alquileres"))))</f>
        <v/>
      </c>
      <c r="M390" s="6"/>
    </row>
    <row r="391" customFormat="false" ht="16.5" hidden="false" customHeight="true" outlineLevel="0" collapsed="false">
      <c r="A391" s="95" t="str">
        <f aca="false">IF(AND(B391="",C391=""),"",ROW()-6)</f>
        <v/>
      </c>
      <c r="B391" s="83"/>
      <c r="C391" s="15"/>
      <c r="D391" s="15"/>
      <c r="E391" s="85"/>
      <c r="F391" s="15"/>
      <c r="G391" s="15"/>
      <c r="H391" s="96"/>
      <c r="I391" s="16"/>
      <c r="J391" s="37" t="str">
        <f aca="false">IF(I391="","",IF(H391="",1,H391)*I391)</f>
        <v/>
      </c>
      <c r="K391" s="15"/>
      <c r="L391" s="97" t="str">
        <f aca="false">IF(C391="","",IF(OR(C391="Material",C391="Equipo",C391="Suministro"),"Materiales y equipos",IF(C391="Mano de obra contratista","Mano de obra contratista",IF(C391="Transporte","Transporte y otros","Alquileres"))))</f>
        <v/>
      </c>
      <c r="M391" s="6"/>
    </row>
    <row r="392" customFormat="false" ht="16.5" hidden="false" customHeight="true" outlineLevel="0" collapsed="false">
      <c r="A392" s="95" t="str">
        <f aca="false">IF(AND(B392="",C392=""),"",ROW()-6)</f>
        <v/>
      </c>
      <c r="B392" s="83"/>
      <c r="C392" s="15"/>
      <c r="D392" s="15"/>
      <c r="E392" s="85"/>
      <c r="F392" s="15"/>
      <c r="G392" s="15"/>
      <c r="H392" s="96"/>
      <c r="I392" s="16"/>
      <c r="J392" s="37" t="str">
        <f aca="false">IF(I392="","",IF(H392="",1,H392)*I392)</f>
        <v/>
      </c>
      <c r="K392" s="15"/>
      <c r="L392" s="97" t="str">
        <f aca="false">IF(C392="","",IF(OR(C392="Material",C392="Equipo",C392="Suministro"),"Materiales y equipos",IF(C392="Mano de obra contratista","Mano de obra contratista",IF(C392="Transporte","Transporte y otros","Alquileres"))))</f>
        <v/>
      </c>
      <c r="M392" s="6"/>
    </row>
    <row r="393" customFormat="false" ht="16.5" hidden="false" customHeight="true" outlineLevel="0" collapsed="false">
      <c r="A393" s="95" t="str">
        <f aca="false">IF(AND(B393="",C393=""),"",ROW()-6)</f>
        <v/>
      </c>
      <c r="B393" s="83"/>
      <c r="C393" s="15"/>
      <c r="D393" s="15"/>
      <c r="E393" s="85"/>
      <c r="F393" s="15"/>
      <c r="G393" s="15"/>
      <c r="H393" s="96"/>
      <c r="I393" s="16"/>
      <c r="J393" s="37" t="str">
        <f aca="false">IF(I393="","",IF(H393="",1,H393)*I393)</f>
        <v/>
      </c>
      <c r="K393" s="15"/>
      <c r="L393" s="97" t="str">
        <f aca="false">IF(C393="","",IF(OR(C393="Material",C393="Equipo",C393="Suministro"),"Materiales y equipos",IF(C393="Mano de obra contratista","Mano de obra contratista",IF(C393="Transporte","Transporte y otros","Alquileres"))))</f>
        <v/>
      </c>
      <c r="M393" s="6"/>
    </row>
    <row r="394" customFormat="false" ht="16.5" hidden="false" customHeight="true" outlineLevel="0" collapsed="false">
      <c r="A394" s="95" t="str">
        <f aca="false">IF(AND(B394="",C394=""),"",ROW()-6)</f>
        <v/>
      </c>
      <c r="B394" s="83"/>
      <c r="C394" s="15"/>
      <c r="D394" s="15"/>
      <c r="E394" s="85"/>
      <c r="F394" s="15"/>
      <c r="G394" s="15"/>
      <c r="H394" s="96"/>
      <c r="I394" s="16"/>
      <c r="J394" s="37" t="str">
        <f aca="false">IF(I394="","",IF(H394="",1,H394)*I394)</f>
        <v/>
      </c>
      <c r="K394" s="15"/>
      <c r="L394" s="97" t="str">
        <f aca="false">IF(C394="","",IF(OR(C394="Material",C394="Equipo",C394="Suministro"),"Materiales y equipos",IF(C394="Mano de obra contratista","Mano de obra contratista",IF(C394="Transporte","Transporte y otros","Alquileres"))))</f>
        <v/>
      </c>
      <c r="M394" s="6"/>
    </row>
    <row r="395" customFormat="false" ht="16.5" hidden="false" customHeight="true" outlineLevel="0" collapsed="false">
      <c r="A395" s="95" t="str">
        <f aca="false">IF(AND(B395="",C395=""),"",ROW()-6)</f>
        <v/>
      </c>
      <c r="B395" s="83"/>
      <c r="C395" s="15"/>
      <c r="D395" s="15"/>
      <c r="E395" s="85"/>
      <c r="F395" s="15"/>
      <c r="G395" s="15"/>
      <c r="H395" s="96"/>
      <c r="I395" s="16"/>
      <c r="J395" s="37" t="str">
        <f aca="false">IF(I395="","",IF(H395="",1,H395)*I395)</f>
        <v/>
      </c>
      <c r="K395" s="15"/>
      <c r="L395" s="97" t="str">
        <f aca="false">IF(C395="","",IF(OR(C395="Material",C395="Equipo",C395="Suministro"),"Materiales y equipos",IF(C395="Mano de obra contratista","Mano de obra contratista",IF(C395="Transporte","Transporte y otros","Alquileres"))))</f>
        <v/>
      </c>
      <c r="M395" s="6"/>
    </row>
    <row r="396" customFormat="false" ht="16.5" hidden="false" customHeight="true" outlineLevel="0" collapsed="false">
      <c r="A396" s="95" t="str">
        <f aca="false">IF(AND(B396="",C396=""),"",ROW()-6)</f>
        <v/>
      </c>
      <c r="B396" s="83"/>
      <c r="C396" s="15"/>
      <c r="D396" s="15"/>
      <c r="E396" s="85"/>
      <c r="F396" s="15"/>
      <c r="G396" s="15"/>
      <c r="H396" s="96"/>
      <c r="I396" s="16"/>
      <c r="J396" s="37" t="str">
        <f aca="false">IF(I396="","",IF(H396="",1,H396)*I396)</f>
        <v/>
      </c>
      <c r="K396" s="15"/>
      <c r="L396" s="97" t="str">
        <f aca="false">IF(C396="","",IF(OR(C396="Material",C396="Equipo",C396="Suministro"),"Materiales y equipos",IF(C396="Mano de obra contratista","Mano de obra contratista",IF(C396="Transporte","Transporte y otros","Alquileres"))))</f>
        <v/>
      </c>
      <c r="M396" s="6"/>
    </row>
    <row r="397" customFormat="false" ht="16.5" hidden="false" customHeight="true" outlineLevel="0" collapsed="false">
      <c r="A397" s="95" t="str">
        <f aca="false">IF(AND(B397="",C397=""),"",ROW()-6)</f>
        <v/>
      </c>
      <c r="B397" s="83"/>
      <c r="C397" s="15"/>
      <c r="D397" s="15"/>
      <c r="E397" s="85"/>
      <c r="F397" s="15"/>
      <c r="G397" s="15"/>
      <c r="H397" s="96"/>
      <c r="I397" s="16"/>
      <c r="J397" s="37" t="str">
        <f aca="false">IF(I397="","",IF(H397="",1,H397)*I397)</f>
        <v/>
      </c>
      <c r="K397" s="15"/>
      <c r="L397" s="97" t="str">
        <f aca="false">IF(C397="","",IF(OR(C397="Material",C397="Equipo",C397="Suministro"),"Materiales y equipos",IF(C397="Mano de obra contratista","Mano de obra contratista",IF(C397="Transporte","Transporte y otros","Alquileres"))))</f>
        <v/>
      </c>
      <c r="M397" s="6"/>
    </row>
    <row r="398" customFormat="false" ht="16.5" hidden="false" customHeight="true" outlineLevel="0" collapsed="false">
      <c r="A398" s="95" t="str">
        <f aca="false">IF(AND(B398="",C398=""),"",ROW()-6)</f>
        <v/>
      </c>
      <c r="B398" s="83"/>
      <c r="C398" s="15"/>
      <c r="D398" s="15"/>
      <c r="E398" s="85"/>
      <c r="F398" s="15"/>
      <c r="G398" s="15"/>
      <c r="H398" s="96"/>
      <c r="I398" s="16"/>
      <c r="J398" s="37" t="str">
        <f aca="false">IF(I398="","",IF(H398="",1,H398)*I398)</f>
        <v/>
      </c>
      <c r="K398" s="15"/>
      <c r="L398" s="97" t="str">
        <f aca="false">IF(C398="","",IF(OR(C398="Material",C398="Equipo",C398="Suministro"),"Materiales y equipos",IF(C398="Mano de obra contratista","Mano de obra contratista",IF(C398="Transporte","Transporte y otros","Alquileres"))))</f>
        <v/>
      </c>
      <c r="M398" s="6"/>
    </row>
    <row r="399" customFormat="false" ht="16.5" hidden="false" customHeight="true" outlineLevel="0" collapsed="false">
      <c r="A399" s="95" t="str">
        <f aca="false">IF(AND(B399="",C399=""),"",ROW()-6)</f>
        <v/>
      </c>
      <c r="B399" s="83"/>
      <c r="C399" s="15"/>
      <c r="D399" s="15"/>
      <c r="E399" s="85"/>
      <c r="F399" s="15"/>
      <c r="G399" s="15"/>
      <c r="H399" s="96"/>
      <c r="I399" s="16"/>
      <c r="J399" s="37" t="str">
        <f aca="false">IF(I399="","",IF(H399="",1,H399)*I399)</f>
        <v/>
      </c>
      <c r="K399" s="15"/>
      <c r="L399" s="97" t="str">
        <f aca="false">IF(C399="","",IF(OR(C399="Material",C399="Equipo",C399="Suministro"),"Materiales y equipos",IF(C399="Mano de obra contratista","Mano de obra contratista",IF(C399="Transporte","Transporte y otros","Alquileres"))))</f>
        <v/>
      </c>
      <c r="M399" s="6"/>
    </row>
    <row r="400" customFormat="false" ht="16.5" hidden="false" customHeight="true" outlineLevel="0" collapsed="false">
      <c r="A400" s="95" t="str">
        <f aca="false">IF(AND(B400="",C400=""),"",ROW()-6)</f>
        <v/>
      </c>
      <c r="B400" s="83"/>
      <c r="C400" s="15"/>
      <c r="D400" s="15"/>
      <c r="E400" s="85"/>
      <c r="F400" s="15"/>
      <c r="G400" s="15"/>
      <c r="H400" s="96"/>
      <c r="I400" s="16"/>
      <c r="J400" s="37" t="str">
        <f aca="false">IF(I400="","",IF(H400="",1,H400)*I400)</f>
        <v/>
      </c>
      <c r="K400" s="15"/>
      <c r="L400" s="97" t="str">
        <f aca="false">IF(C400="","",IF(OR(C400="Material",C400="Equipo",C400="Suministro"),"Materiales y equipos",IF(C400="Mano de obra contratista","Mano de obra contratista",IF(C400="Transporte","Transporte y otros","Alquileres"))))</f>
        <v/>
      </c>
      <c r="M400" s="6"/>
    </row>
    <row r="401" customFormat="false" ht="16.5" hidden="false" customHeight="true" outlineLevel="0" collapsed="false">
      <c r="A401" s="95" t="str">
        <f aca="false">IF(AND(B401="",C401=""),"",ROW()-6)</f>
        <v/>
      </c>
      <c r="B401" s="83"/>
      <c r="C401" s="15"/>
      <c r="D401" s="15"/>
      <c r="E401" s="85"/>
      <c r="F401" s="15"/>
      <c r="G401" s="15"/>
      <c r="H401" s="96"/>
      <c r="I401" s="16"/>
      <c r="J401" s="37" t="str">
        <f aca="false">IF(I401="","",IF(H401="",1,H401)*I401)</f>
        <v/>
      </c>
      <c r="K401" s="15"/>
      <c r="L401" s="97" t="str">
        <f aca="false">IF(C401="","",IF(OR(C401="Material",C401="Equipo",C401="Suministro"),"Materiales y equipos",IF(C401="Mano de obra contratista","Mano de obra contratista",IF(C401="Transporte","Transporte y otros","Alquileres"))))</f>
        <v/>
      </c>
      <c r="M401" s="6"/>
    </row>
    <row r="402" customFormat="false" ht="16.5" hidden="false" customHeight="true" outlineLevel="0" collapsed="false">
      <c r="A402" s="95" t="str">
        <f aca="false">IF(AND(B402="",C402=""),"",ROW()-6)</f>
        <v/>
      </c>
      <c r="B402" s="83"/>
      <c r="C402" s="15"/>
      <c r="D402" s="15"/>
      <c r="E402" s="85"/>
      <c r="F402" s="15"/>
      <c r="G402" s="15"/>
      <c r="H402" s="96"/>
      <c r="I402" s="16"/>
      <c r="J402" s="37" t="str">
        <f aca="false">IF(I402="","",IF(H402="",1,H402)*I402)</f>
        <v/>
      </c>
      <c r="K402" s="15"/>
      <c r="L402" s="97" t="str">
        <f aca="false">IF(C402="","",IF(OR(C402="Material",C402="Equipo",C402="Suministro"),"Materiales y equipos",IF(C402="Mano de obra contratista","Mano de obra contratista",IF(C402="Transporte","Transporte y otros","Alquileres"))))</f>
        <v/>
      </c>
      <c r="M402" s="6"/>
    </row>
    <row r="403" customFormat="false" ht="16.5" hidden="false" customHeight="true" outlineLevel="0" collapsed="false">
      <c r="A403" s="95" t="str">
        <f aca="false">IF(AND(B403="",C403=""),"",ROW()-6)</f>
        <v/>
      </c>
      <c r="B403" s="83"/>
      <c r="C403" s="15"/>
      <c r="D403" s="15"/>
      <c r="E403" s="85"/>
      <c r="F403" s="15"/>
      <c r="G403" s="15"/>
      <c r="H403" s="96"/>
      <c r="I403" s="16"/>
      <c r="J403" s="37" t="str">
        <f aca="false">IF(I403="","",IF(H403="",1,H403)*I403)</f>
        <v/>
      </c>
      <c r="K403" s="15"/>
      <c r="L403" s="97" t="str">
        <f aca="false">IF(C403="","",IF(OR(C403="Material",C403="Equipo",C403="Suministro"),"Materiales y equipos",IF(C403="Mano de obra contratista","Mano de obra contratista",IF(C403="Transporte","Transporte y otros","Alquileres"))))</f>
        <v/>
      </c>
      <c r="M403" s="6"/>
    </row>
    <row r="404" customFormat="false" ht="16.5" hidden="false" customHeight="true" outlineLevel="0" collapsed="false">
      <c r="A404" s="95" t="str">
        <f aca="false">IF(AND(B404="",C404=""),"",ROW()-6)</f>
        <v/>
      </c>
      <c r="B404" s="83"/>
      <c r="C404" s="15"/>
      <c r="D404" s="15"/>
      <c r="E404" s="85"/>
      <c r="F404" s="15"/>
      <c r="G404" s="15"/>
      <c r="H404" s="96"/>
      <c r="I404" s="16"/>
      <c r="J404" s="37" t="str">
        <f aca="false">IF(I404="","",IF(H404="",1,H404)*I404)</f>
        <v/>
      </c>
      <c r="K404" s="15"/>
      <c r="L404" s="97" t="str">
        <f aca="false">IF(C404="","",IF(OR(C404="Material",C404="Equipo",C404="Suministro"),"Materiales y equipos",IF(C404="Mano de obra contratista","Mano de obra contratista",IF(C404="Transporte","Transporte y otros","Alquileres"))))</f>
        <v/>
      </c>
      <c r="M404" s="6"/>
    </row>
    <row r="405" customFormat="false" ht="16.5" hidden="false" customHeight="true" outlineLevel="0" collapsed="false">
      <c r="A405" s="95" t="str">
        <f aca="false">IF(AND(B405="",C405=""),"",ROW()-6)</f>
        <v/>
      </c>
      <c r="B405" s="83"/>
      <c r="C405" s="15"/>
      <c r="D405" s="15"/>
      <c r="E405" s="85"/>
      <c r="F405" s="15"/>
      <c r="G405" s="15"/>
      <c r="H405" s="96"/>
      <c r="I405" s="16"/>
      <c r="J405" s="37" t="str">
        <f aca="false">IF(I405="","",IF(H405="",1,H405)*I405)</f>
        <v/>
      </c>
      <c r="K405" s="15"/>
      <c r="L405" s="97" t="str">
        <f aca="false">IF(C405="","",IF(OR(C405="Material",C405="Equipo",C405="Suministro"),"Materiales y equipos",IF(C405="Mano de obra contratista","Mano de obra contratista",IF(C405="Transporte","Transporte y otros","Alquileres"))))</f>
        <v/>
      </c>
      <c r="M405" s="6"/>
    </row>
    <row r="406" customFormat="false" ht="16.5" hidden="false" customHeight="true" outlineLevel="0" collapsed="false">
      <c r="A406" s="95" t="str">
        <f aca="false">IF(AND(B406="",C406=""),"",ROW()-6)</f>
        <v/>
      </c>
      <c r="B406" s="83"/>
      <c r="C406" s="15"/>
      <c r="D406" s="15"/>
      <c r="E406" s="85"/>
      <c r="F406" s="15"/>
      <c r="G406" s="15"/>
      <c r="H406" s="96"/>
      <c r="I406" s="16"/>
      <c r="J406" s="37" t="str">
        <f aca="false">IF(I406="","",IF(H406="",1,H406)*I406)</f>
        <v/>
      </c>
      <c r="K406" s="15"/>
      <c r="L406" s="97" t="str">
        <f aca="false">IF(C406="","",IF(OR(C406="Material",C406="Equipo",C406="Suministro"),"Materiales y equipos",IF(C406="Mano de obra contratista","Mano de obra contratista",IF(C406="Transporte","Transporte y otros","Alquileres"))))</f>
        <v/>
      </c>
      <c r="M406" s="6"/>
    </row>
    <row r="407" customFormat="false" ht="16.5" hidden="false" customHeight="true" outlineLevel="0" collapsed="false">
      <c r="A407" s="95" t="str">
        <f aca="false">IF(AND(B407="",C407=""),"",ROW()-6)</f>
        <v/>
      </c>
      <c r="B407" s="83"/>
      <c r="C407" s="15"/>
      <c r="D407" s="15"/>
      <c r="E407" s="85"/>
      <c r="F407" s="15"/>
      <c r="G407" s="15"/>
      <c r="H407" s="96"/>
      <c r="I407" s="16"/>
      <c r="J407" s="37" t="str">
        <f aca="false">IF(I407="","",IF(H407="",1,H407)*I407)</f>
        <v/>
      </c>
      <c r="K407" s="15"/>
      <c r="L407" s="97" t="str">
        <f aca="false">IF(C407="","",IF(OR(C407="Material",C407="Equipo",C407="Suministro"),"Materiales y equipos",IF(C407="Mano de obra contratista","Mano de obra contratista",IF(C407="Transporte","Transporte y otros","Alquileres"))))</f>
        <v/>
      </c>
      <c r="M407" s="6"/>
    </row>
    <row r="408" customFormat="false" ht="16.5" hidden="false" customHeight="true" outlineLevel="0" collapsed="false">
      <c r="A408" s="95" t="str">
        <f aca="false">IF(AND(B408="",C408=""),"",ROW()-6)</f>
        <v/>
      </c>
      <c r="B408" s="83"/>
      <c r="C408" s="15"/>
      <c r="D408" s="15"/>
      <c r="E408" s="85"/>
      <c r="F408" s="15"/>
      <c r="G408" s="15"/>
      <c r="H408" s="96"/>
      <c r="I408" s="16"/>
      <c r="J408" s="37" t="str">
        <f aca="false">IF(I408="","",IF(H408="",1,H408)*I408)</f>
        <v/>
      </c>
      <c r="K408" s="15"/>
      <c r="L408" s="97" t="str">
        <f aca="false">IF(C408="","",IF(OR(C408="Material",C408="Equipo",C408="Suministro"),"Materiales y equipos",IF(C408="Mano de obra contratista","Mano de obra contratista",IF(C408="Transporte","Transporte y otros","Alquileres"))))</f>
        <v/>
      </c>
      <c r="M408" s="6"/>
    </row>
    <row r="409" customFormat="false" ht="16.5" hidden="false" customHeight="true" outlineLevel="0" collapsed="false">
      <c r="A409" s="95" t="str">
        <f aca="false">IF(AND(B409="",C409=""),"",ROW()-6)</f>
        <v/>
      </c>
      <c r="B409" s="83"/>
      <c r="C409" s="15"/>
      <c r="D409" s="15"/>
      <c r="E409" s="85"/>
      <c r="F409" s="15"/>
      <c r="G409" s="15"/>
      <c r="H409" s="96"/>
      <c r="I409" s="16"/>
      <c r="J409" s="37" t="str">
        <f aca="false">IF(I409="","",IF(H409="",1,H409)*I409)</f>
        <v/>
      </c>
      <c r="K409" s="15"/>
      <c r="L409" s="97" t="str">
        <f aca="false">IF(C409="","",IF(OR(C409="Material",C409="Equipo",C409="Suministro"),"Materiales y equipos",IF(C409="Mano de obra contratista","Mano de obra contratista",IF(C409="Transporte","Transporte y otros","Alquileres"))))</f>
        <v/>
      </c>
      <c r="M409" s="6"/>
    </row>
    <row r="410" customFormat="false" ht="16.5" hidden="false" customHeight="true" outlineLevel="0" collapsed="false">
      <c r="A410" s="95" t="str">
        <f aca="false">IF(AND(B410="",C410=""),"",ROW()-6)</f>
        <v/>
      </c>
      <c r="B410" s="83"/>
      <c r="C410" s="15"/>
      <c r="D410" s="15"/>
      <c r="E410" s="85"/>
      <c r="F410" s="15"/>
      <c r="G410" s="15"/>
      <c r="H410" s="96"/>
      <c r="I410" s="16"/>
      <c r="J410" s="37" t="str">
        <f aca="false">IF(I410="","",IF(H410="",1,H410)*I410)</f>
        <v/>
      </c>
      <c r="K410" s="15"/>
      <c r="L410" s="97" t="str">
        <f aca="false">IF(C410="","",IF(OR(C410="Material",C410="Equipo",C410="Suministro"),"Materiales y equipos",IF(C410="Mano de obra contratista","Mano de obra contratista",IF(C410="Transporte","Transporte y otros","Alquileres"))))</f>
        <v/>
      </c>
      <c r="M410" s="6"/>
    </row>
    <row r="411" customFormat="false" ht="16.5" hidden="false" customHeight="true" outlineLevel="0" collapsed="false">
      <c r="A411" s="95" t="str">
        <f aca="false">IF(AND(B411="",C411=""),"",ROW()-6)</f>
        <v/>
      </c>
      <c r="B411" s="83"/>
      <c r="C411" s="15"/>
      <c r="D411" s="15"/>
      <c r="E411" s="85"/>
      <c r="F411" s="15"/>
      <c r="G411" s="15"/>
      <c r="H411" s="96"/>
      <c r="I411" s="16"/>
      <c r="J411" s="37" t="str">
        <f aca="false">IF(I411="","",IF(H411="",1,H411)*I411)</f>
        <v/>
      </c>
      <c r="K411" s="15"/>
      <c r="L411" s="97" t="str">
        <f aca="false">IF(C411="","",IF(OR(C411="Material",C411="Equipo",C411="Suministro"),"Materiales y equipos",IF(C411="Mano de obra contratista","Mano de obra contratista",IF(C411="Transporte","Transporte y otros","Alquileres"))))</f>
        <v/>
      </c>
      <c r="M411" s="6"/>
    </row>
    <row r="412" customFormat="false" ht="16.5" hidden="false" customHeight="true" outlineLevel="0" collapsed="false">
      <c r="A412" s="95" t="str">
        <f aca="false">IF(AND(B412="",C412=""),"",ROW()-6)</f>
        <v/>
      </c>
      <c r="B412" s="83"/>
      <c r="C412" s="15"/>
      <c r="D412" s="15"/>
      <c r="E412" s="85"/>
      <c r="F412" s="15"/>
      <c r="G412" s="15"/>
      <c r="H412" s="96"/>
      <c r="I412" s="16"/>
      <c r="J412" s="37" t="str">
        <f aca="false">IF(I412="","",IF(H412="",1,H412)*I412)</f>
        <v/>
      </c>
      <c r="K412" s="15"/>
      <c r="L412" s="97" t="str">
        <f aca="false">IF(C412="","",IF(OR(C412="Material",C412="Equipo",C412="Suministro"),"Materiales y equipos",IF(C412="Mano de obra contratista","Mano de obra contratista",IF(C412="Transporte","Transporte y otros","Alquileres"))))</f>
        <v/>
      </c>
      <c r="M412" s="6"/>
    </row>
    <row r="413" customFormat="false" ht="16.5" hidden="false" customHeight="true" outlineLevel="0" collapsed="false">
      <c r="A413" s="95" t="str">
        <f aca="false">IF(AND(B413="",C413=""),"",ROW()-6)</f>
        <v/>
      </c>
      <c r="B413" s="83"/>
      <c r="C413" s="15"/>
      <c r="D413" s="15"/>
      <c r="E413" s="85"/>
      <c r="F413" s="15"/>
      <c r="G413" s="15"/>
      <c r="H413" s="96"/>
      <c r="I413" s="16"/>
      <c r="J413" s="37" t="str">
        <f aca="false">IF(I413="","",IF(H413="",1,H413)*I413)</f>
        <v/>
      </c>
      <c r="K413" s="15"/>
      <c r="L413" s="97" t="str">
        <f aca="false">IF(C413="","",IF(OR(C413="Material",C413="Equipo",C413="Suministro"),"Materiales y equipos",IF(C413="Mano de obra contratista","Mano de obra contratista",IF(C413="Transporte","Transporte y otros","Alquileres"))))</f>
        <v/>
      </c>
      <c r="M413" s="6"/>
    </row>
    <row r="414" customFormat="false" ht="16.5" hidden="false" customHeight="true" outlineLevel="0" collapsed="false">
      <c r="A414" s="95" t="str">
        <f aca="false">IF(AND(B414="",C414=""),"",ROW()-6)</f>
        <v/>
      </c>
      <c r="B414" s="83"/>
      <c r="C414" s="15"/>
      <c r="D414" s="15"/>
      <c r="E414" s="85"/>
      <c r="F414" s="15"/>
      <c r="G414" s="15"/>
      <c r="H414" s="96"/>
      <c r="I414" s="16"/>
      <c r="J414" s="37" t="str">
        <f aca="false">IF(I414="","",IF(H414="",1,H414)*I414)</f>
        <v/>
      </c>
      <c r="K414" s="15"/>
      <c r="L414" s="97" t="str">
        <f aca="false">IF(C414="","",IF(OR(C414="Material",C414="Equipo",C414="Suministro"),"Materiales y equipos",IF(C414="Mano de obra contratista","Mano de obra contratista",IF(C414="Transporte","Transporte y otros","Alquileres"))))</f>
        <v/>
      </c>
      <c r="M414" s="6"/>
    </row>
    <row r="415" customFormat="false" ht="16.5" hidden="false" customHeight="true" outlineLevel="0" collapsed="false">
      <c r="A415" s="95" t="str">
        <f aca="false">IF(AND(B415="",C415=""),"",ROW()-6)</f>
        <v/>
      </c>
      <c r="B415" s="83"/>
      <c r="C415" s="15"/>
      <c r="D415" s="15"/>
      <c r="E415" s="85"/>
      <c r="F415" s="15"/>
      <c r="G415" s="15"/>
      <c r="H415" s="96"/>
      <c r="I415" s="16"/>
      <c r="J415" s="37" t="str">
        <f aca="false">IF(I415="","",IF(H415="",1,H415)*I415)</f>
        <v/>
      </c>
      <c r="K415" s="15"/>
      <c r="L415" s="97" t="str">
        <f aca="false">IF(C415="","",IF(OR(C415="Material",C415="Equipo",C415="Suministro"),"Materiales y equipos",IF(C415="Mano de obra contratista","Mano de obra contratista",IF(C415="Transporte","Transporte y otros","Alquileres"))))</f>
        <v/>
      </c>
      <c r="M415" s="6"/>
    </row>
    <row r="416" customFormat="false" ht="16.5" hidden="false" customHeight="true" outlineLevel="0" collapsed="false">
      <c r="A416" s="95" t="str">
        <f aca="false">IF(AND(B416="",C416=""),"",ROW()-6)</f>
        <v/>
      </c>
      <c r="B416" s="83"/>
      <c r="C416" s="15"/>
      <c r="D416" s="15"/>
      <c r="E416" s="85"/>
      <c r="F416" s="15"/>
      <c r="G416" s="15"/>
      <c r="H416" s="96"/>
      <c r="I416" s="16"/>
      <c r="J416" s="37" t="str">
        <f aca="false">IF(I416="","",IF(H416="",1,H416)*I416)</f>
        <v/>
      </c>
      <c r="K416" s="15"/>
      <c r="L416" s="97" t="str">
        <f aca="false">IF(C416="","",IF(OR(C416="Material",C416="Equipo",C416="Suministro"),"Materiales y equipos",IF(C416="Mano de obra contratista","Mano de obra contratista",IF(C416="Transporte","Transporte y otros","Alquileres"))))</f>
        <v/>
      </c>
      <c r="M416" s="6"/>
    </row>
    <row r="417" customFormat="false" ht="16.5" hidden="false" customHeight="true" outlineLevel="0" collapsed="false">
      <c r="A417" s="95" t="str">
        <f aca="false">IF(AND(B417="",C417=""),"",ROW()-6)</f>
        <v/>
      </c>
      <c r="B417" s="83"/>
      <c r="C417" s="15"/>
      <c r="D417" s="15"/>
      <c r="E417" s="85"/>
      <c r="F417" s="15"/>
      <c r="G417" s="15"/>
      <c r="H417" s="96"/>
      <c r="I417" s="16"/>
      <c r="J417" s="37" t="str">
        <f aca="false">IF(I417="","",IF(H417="",1,H417)*I417)</f>
        <v/>
      </c>
      <c r="K417" s="15"/>
      <c r="L417" s="97" t="str">
        <f aca="false">IF(C417="","",IF(OR(C417="Material",C417="Equipo",C417="Suministro"),"Materiales y equipos",IF(C417="Mano de obra contratista","Mano de obra contratista",IF(C417="Transporte","Transporte y otros","Alquileres"))))</f>
        <v/>
      </c>
      <c r="M417" s="6"/>
    </row>
    <row r="418" customFormat="false" ht="16.5" hidden="false" customHeight="true" outlineLevel="0" collapsed="false">
      <c r="A418" s="95" t="str">
        <f aca="false">IF(AND(B418="",C418=""),"",ROW()-6)</f>
        <v/>
      </c>
      <c r="B418" s="83"/>
      <c r="C418" s="15"/>
      <c r="D418" s="15"/>
      <c r="E418" s="85"/>
      <c r="F418" s="15"/>
      <c r="G418" s="15"/>
      <c r="H418" s="96"/>
      <c r="I418" s="16"/>
      <c r="J418" s="37" t="str">
        <f aca="false">IF(I418="","",IF(H418="",1,H418)*I418)</f>
        <v/>
      </c>
      <c r="K418" s="15"/>
      <c r="L418" s="97" t="str">
        <f aca="false">IF(C418="","",IF(OR(C418="Material",C418="Equipo",C418="Suministro"),"Materiales y equipos",IF(C418="Mano de obra contratista","Mano de obra contratista",IF(C418="Transporte","Transporte y otros","Alquileres"))))</f>
        <v/>
      </c>
      <c r="M418" s="6"/>
    </row>
    <row r="419" customFormat="false" ht="16.5" hidden="false" customHeight="true" outlineLevel="0" collapsed="false">
      <c r="A419" s="95" t="str">
        <f aca="false">IF(AND(B419="",C419=""),"",ROW()-6)</f>
        <v/>
      </c>
      <c r="B419" s="83"/>
      <c r="C419" s="15"/>
      <c r="D419" s="15"/>
      <c r="E419" s="85"/>
      <c r="F419" s="15"/>
      <c r="G419" s="15"/>
      <c r="H419" s="96"/>
      <c r="I419" s="16"/>
      <c r="J419" s="37" t="str">
        <f aca="false">IF(I419="","",IF(H419="",1,H419)*I419)</f>
        <v/>
      </c>
      <c r="K419" s="15"/>
      <c r="L419" s="97" t="str">
        <f aca="false">IF(C419="","",IF(OR(C419="Material",C419="Equipo",C419="Suministro"),"Materiales y equipos",IF(C419="Mano de obra contratista","Mano de obra contratista",IF(C419="Transporte","Transporte y otros","Alquileres"))))</f>
        <v/>
      </c>
      <c r="M419" s="6"/>
    </row>
    <row r="420" customFormat="false" ht="16.5" hidden="false" customHeight="true" outlineLevel="0" collapsed="false">
      <c r="A420" s="95" t="str">
        <f aca="false">IF(AND(B420="",C420=""),"",ROW()-6)</f>
        <v/>
      </c>
      <c r="B420" s="83"/>
      <c r="C420" s="15"/>
      <c r="D420" s="15"/>
      <c r="E420" s="85"/>
      <c r="F420" s="15"/>
      <c r="G420" s="15"/>
      <c r="H420" s="96"/>
      <c r="I420" s="16"/>
      <c r="J420" s="37" t="str">
        <f aca="false">IF(I420="","",IF(H420="",1,H420)*I420)</f>
        <v/>
      </c>
      <c r="K420" s="15"/>
      <c r="L420" s="97" t="str">
        <f aca="false">IF(C420="","",IF(OR(C420="Material",C420="Equipo",C420="Suministro"),"Materiales y equipos",IF(C420="Mano de obra contratista","Mano de obra contratista",IF(C420="Transporte","Transporte y otros","Alquileres"))))</f>
        <v/>
      </c>
      <c r="M420" s="6"/>
    </row>
    <row r="421" customFormat="false" ht="16.5" hidden="false" customHeight="true" outlineLevel="0" collapsed="false">
      <c r="A421" s="95" t="str">
        <f aca="false">IF(AND(B421="",C421=""),"",ROW()-6)</f>
        <v/>
      </c>
      <c r="B421" s="83"/>
      <c r="C421" s="15"/>
      <c r="D421" s="15"/>
      <c r="E421" s="85"/>
      <c r="F421" s="15"/>
      <c r="G421" s="15"/>
      <c r="H421" s="96"/>
      <c r="I421" s="16"/>
      <c r="J421" s="37" t="str">
        <f aca="false">IF(I421="","",IF(H421="",1,H421)*I421)</f>
        <v/>
      </c>
      <c r="K421" s="15"/>
      <c r="L421" s="97" t="str">
        <f aca="false">IF(C421="","",IF(OR(C421="Material",C421="Equipo",C421="Suministro"),"Materiales y equipos",IF(C421="Mano de obra contratista","Mano de obra contratista",IF(C421="Transporte","Transporte y otros","Alquileres"))))</f>
        <v/>
      </c>
      <c r="M421" s="6"/>
    </row>
    <row r="422" customFormat="false" ht="16.5" hidden="false" customHeight="true" outlineLevel="0" collapsed="false">
      <c r="A422" s="95" t="str">
        <f aca="false">IF(AND(B422="",C422=""),"",ROW()-6)</f>
        <v/>
      </c>
      <c r="B422" s="83"/>
      <c r="C422" s="15"/>
      <c r="D422" s="15"/>
      <c r="E422" s="85"/>
      <c r="F422" s="15"/>
      <c r="G422" s="15"/>
      <c r="H422" s="96"/>
      <c r="I422" s="16"/>
      <c r="J422" s="37" t="str">
        <f aca="false">IF(I422="","",IF(H422="",1,H422)*I422)</f>
        <v/>
      </c>
      <c r="K422" s="15"/>
      <c r="L422" s="97" t="str">
        <f aca="false">IF(C422="","",IF(OR(C422="Material",C422="Equipo",C422="Suministro"),"Materiales y equipos",IF(C422="Mano de obra contratista","Mano de obra contratista",IF(C422="Transporte","Transporte y otros","Alquileres"))))</f>
        <v/>
      </c>
      <c r="M422" s="6"/>
    </row>
    <row r="423" customFormat="false" ht="16.5" hidden="false" customHeight="true" outlineLevel="0" collapsed="false">
      <c r="A423" s="95" t="str">
        <f aca="false">IF(AND(B423="",C423=""),"",ROW()-6)</f>
        <v/>
      </c>
      <c r="B423" s="83"/>
      <c r="C423" s="15"/>
      <c r="D423" s="15"/>
      <c r="E423" s="85"/>
      <c r="F423" s="15"/>
      <c r="G423" s="15"/>
      <c r="H423" s="96"/>
      <c r="I423" s="16"/>
      <c r="J423" s="37" t="str">
        <f aca="false">IF(I423="","",IF(H423="",1,H423)*I423)</f>
        <v/>
      </c>
      <c r="K423" s="15"/>
      <c r="L423" s="97" t="str">
        <f aca="false">IF(C423="","",IF(OR(C423="Material",C423="Equipo",C423="Suministro"),"Materiales y equipos",IF(C423="Mano de obra contratista","Mano de obra contratista",IF(C423="Transporte","Transporte y otros","Alquileres"))))</f>
        <v/>
      </c>
      <c r="M423" s="6"/>
    </row>
    <row r="424" customFormat="false" ht="16.5" hidden="false" customHeight="true" outlineLevel="0" collapsed="false">
      <c r="A424" s="95" t="str">
        <f aca="false">IF(AND(B424="",C424=""),"",ROW()-6)</f>
        <v/>
      </c>
      <c r="B424" s="83"/>
      <c r="C424" s="15"/>
      <c r="D424" s="15"/>
      <c r="E424" s="85"/>
      <c r="F424" s="15"/>
      <c r="G424" s="15"/>
      <c r="H424" s="96"/>
      <c r="I424" s="16"/>
      <c r="J424" s="37" t="str">
        <f aca="false">IF(I424="","",IF(H424="",1,H424)*I424)</f>
        <v/>
      </c>
      <c r="K424" s="15"/>
      <c r="L424" s="97" t="str">
        <f aca="false">IF(C424="","",IF(OR(C424="Material",C424="Equipo",C424="Suministro"),"Materiales y equipos",IF(C424="Mano de obra contratista","Mano de obra contratista",IF(C424="Transporte","Transporte y otros","Alquileres"))))</f>
        <v/>
      </c>
      <c r="M424" s="6"/>
    </row>
    <row r="425" customFormat="false" ht="16.5" hidden="false" customHeight="true" outlineLevel="0" collapsed="false">
      <c r="A425" s="95" t="str">
        <f aca="false">IF(AND(B425="",C425=""),"",ROW()-6)</f>
        <v/>
      </c>
      <c r="B425" s="83"/>
      <c r="C425" s="15"/>
      <c r="D425" s="15"/>
      <c r="E425" s="85"/>
      <c r="F425" s="15"/>
      <c r="G425" s="15"/>
      <c r="H425" s="96"/>
      <c r="I425" s="16"/>
      <c r="J425" s="37" t="str">
        <f aca="false">IF(I425="","",IF(H425="",1,H425)*I425)</f>
        <v/>
      </c>
      <c r="K425" s="15"/>
      <c r="L425" s="97" t="str">
        <f aca="false">IF(C425="","",IF(OR(C425="Material",C425="Equipo",C425="Suministro"),"Materiales y equipos",IF(C425="Mano de obra contratista","Mano de obra contratista",IF(C425="Transporte","Transporte y otros","Alquileres"))))</f>
        <v/>
      </c>
      <c r="M425" s="6"/>
    </row>
    <row r="426" customFormat="false" ht="16.5" hidden="false" customHeight="true" outlineLevel="0" collapsed="false">
      <c r="A426" s="95" t="str">
        <f aca="false">IF(AND(B426="",C426=""),"",ROW()-6)</f>
        <v/>
      </c>
      <c r="B426" s="83"/>
      <c r="C426" s="15"/>
      <c r="D426" s="15"/>
      <c r="E426" s="85"/>
      <c r="F426" s="15"/>
      <c r="G426" s="15"/>
      <c r="H426" s="96"/>
      <c r="I426" s="16"/>
      <c r="J426" s="37" t="str">
        <f aca="false">IF(I426="","",IF(H426="",1,H426)*I426)</f>
        <v/>
      </c>
      <c r="K426" s="15"/>
      <c r="L426" s="97" t="str">
        <f aca="false">IF(C426="","",IF(OR(C426="Material",C426="Equipo",C426="Suministro"),"Materiales y equipos",IF(C426="Mano de obra contratista","Mano de obra contratista",IF(C426="Transporte","Transporte y otros","Alquileres"))))</f>
        <v/>
      </c>
      <c r="M426" s="6"/>
    </row>
    <row r="427" customFormat="false" ht="16.5" hidden="false" customHeight="true" outlineLevel="0" collapsed="false">
      <c r="A427" s="95" t="str">
        <f aca="false">IF(AND(B427="",C427=""),"",ROW()-6)</f>
        <v/>
      </c>
      <c r="B427" s="83"/>
      <c r="C427" s="15"/>
      <c r="D427" s="15"/>
      <c r="E427" s="85"/>
      <c r="F427" s="15"/>
      <c r="G427" s="15"/>
      <c r="H427" s="96"/>
      <c r="I427" s="16"/>
      <c r="J427" s="37" t="str">
        <f aca="false">IF(I427="","",IF(H427="",1,H427)*I427)</f>
        <v/>
      </c>
      <c r="K427" s="15"/>
      <c r="L427" s="97" t="str">
        <f aca="false">IF(C427="","",IF(OR(C427="Material",C427="Equipo",C427="Suministro"),"Materiales y equipos",IF(C427="Mano de obra contratista","Mano de obra contratista",IF(C427="Transporte","Transporte y otros","Alquileres"))))</f>
        <v/>
      </c>
      <c r="M427" s="6"/>
    </row>
    <row r="428" customFormat="false" ht="16.5" hidden="false" customHeight="true" outlineLevel="0" collapsed="false">
      <c r="A428" s="95" t="str">
        <f aca="false">IF(AND(B428="",C428=""),"",ROW()-6)</f>
        <v/>
      </c>
      <c r="B428" s="83"/>
      <c r="C428" s="15"/>
      <c r="D428" s="15"/>
      <c r="E428" s="85"/>
      <c r="F428" s="15"/>
      <c r="G428" s="15"/>
      <c r="H428" s="96"/>
      <c r="I428" s="16"/>
      <c r="J428" s="37" t="str">
        <f aca="false">IF(I428="","",IF(H428="",1,H428)*I428)</f>
        <v/>
      </c>
      <c r="K428" s="15"/>
      <c r="L428" s="97" t="str">
        <f aca="false">IF(C428="","",IF(OR(C428="Material",C428="Equipo",C428="Suministro"),"Materiales y equipos",IF(C428="Mano de obra contratista","Mano de obra contratista",IF(C428="Transporte","Transporte y otros","Alquileres"))))</f>
        <v/>
      </c>
      <c r="M428" s="6"/>
    </row>
    <row r="429" customFormat="false" ht="16.5" hidden="false" customHeight="true" outlineLevel="0" collapsed="false">
      <c r="A429" s="95" t="str">
        <f aca="false">IF(AND(B429="",C429=""),"",ROW()-6)</f>
        <v/>
      </c>
      <c r="B429" s="83"/>
      <c r="C429" s="15"/>
      <c r="D429" s="15"/>
      <c r="E429" s="85"/>
      <c r="F429" s="15"/>
      <c r="G429" s="15"/>
      <c r="H429" s="96"/>
      <c r="I429" s="16"/>
      <c r="J429" s="37" t="str">
        <f aca="false">IF(I429="","",IF(H429="",1,H429)*I429)</f>
        <v/>
      </c>
      <c r="K429" s="15"/>
      <c r="L429" s="97" t="str">
        <f aca="false">IF(C429="","",IF(OR(C429="Material",C429="Equipo",C429="Suministro"),"Materiales y equipos",IF(C429="Mano de obra contratista","Mano de obra contratista",IF(C429="Transporte","Transporte y otros","Alquileres"))))</f>
        <v/>
      </c>
      <c r="M429" s="6"/>
    </row>
    <row r="430" customFormat="false" ht="16.5" hidden="false" customHeight="true" outlineLevel="0" collapsed="false">
      <c r="A430" s="95" t="str">
        <f aca="false">IF(AND(B430="",C430=""),"",ROW()-6)</f>
        <v/>
      </c>
      <c r="B430" s="83"/>
      <c r="C430" s="15"/>
      <c r="D430" s="15"/>
      <c r="E430" s="85"/>
      <c r="F430" s="15"/>
      <c r="G430" s="15"/>
      <c r="H430" s="96"/>
      <c r="I430" s="16"/>
      <c r="J430" s="37" t="str">
        <f aca="false">IF(I430="","",IF(H430="",1,H430)*I430)</f>
        <v/>
      </c>
      <c r="K430" s="15"/>
      <c r="L430" s="97" t="str">
        <f aca="false">IF(C430="","",IF(OR(C430="Material",C430="Equipo",C430="Suministro"),"Materiales y equipos",IF(C430="Mano de obra contratista","Mano de obra contratista",IF(C430="Transporte","Transporte y otros","Alquileres"))))</f>
        <v/>
      </c>
      <c r="M430" s="6"/>
    </row>
    <row r="431" customFormat="false" ht="16.5" hidden="false" customHeight="true" outlineLevel="0" collapsed="false">
      <c r="A431" s="95" t="str">
        <f aca="false">IF(AND(B431="",C431=""),"",ROW()-6)</f>
        <v/>
      </c>
      <c r="B431" s="83"/>
      <c r="C431" s="15"/>
      <c r="D431" s="15"/>
      <c r="E431" s="85"/>
      <c r="F431" s="15"/>
      <c r="G431" s="15"/>
      <c r="H431" s="96"/>
      <c r="I431" s="16"/>
      <c r="J431" s="37" t="str">
        <f aca="false">IF(I431="","",IF(H431="",1,H431)*I431)</f>
        <v/>
      </c>
      <c r="K431" s="15"/>
      <c r="L431" s="97" t="str">
        <f aca="false">IF(C431="","",IF(OR(C431="Material",C431="Equipo",C431="Suministro"),"Materiales y equipos",IF(C431="Mano de obra contratista","Mano de obra contratista",IF(C431="Transporte","Transporte y otros","Alquileres"))))</f>
        <v/>
      </c>
      <c r="M431" s="6"/>
    </row>
    <row r="432" customFormat="false" ht="16.5" hidden="false" customHeight="true" outlineLevel="0" collapsed="false">
      <c r="A432" s="95" t="str">
        <f aca="false">IF(AND(B432="",C432=""),"",ROW()-6)</f>
        <v/>
      </c>
      <c r="B432" s="83"/>
      <c r="C432" s="15"/>
      <c r="D432" s="15"/>
      <c r="E432" s="85"/>
      <c r="F432" s="15"/>
      <c r="G432" s="15"/>
      <c r="H432" s="96"/>
      <c r="I432" s="16"/>
      <c r="J432" s="37" t="str">
        <f aca="false">IF(I432="","",IF(H432="",1,H432)*I432)</f>
        <v/>
      </c>
      <c r="K432" s="15"/>
      <c r="L432" s="97" t="str">
        <f aca="false">IF(C432="","",IF(OR(C432="Material",C432="Equipo",C432="Suministro"),"Materiales y equipos",IF(C432="Mano de obra contratista","Mano de obra contratista",IF(C432="Transporte","Transporte y otros","Alquileres"))))</f>
        <v/>
      </c>
      <c r="M432" s="6"/>
    </row>
    <row r="433" customFormat="false" ht="16.5" hidden="false" customHeight="true" outlineLevel="0" collapsed="false">
      <c r="A433" s="95" t="str">
        <f aca="false">IF(AND(B433="",C433=""),"",ROW()-6)</f>
        <v/>
      </c>
      <c r="B433" s="83"/>
      <c r="C433" s="15"/>
      <c r="D433" s="15"/>
      <c r="E433" s="85"/>
      <c r="F433" s="15"/>
      <c r="G433" s="15"/>
      <c r="H433" s="96"/>
      <c r="I433" s="16"/>
      <c r="J433" s="37" t="str">
        <f aca="false">IF(I433="","",IF(H433="",1,H433)*I433)</f>
        <v/>
      </c>
      <c r="K433" s="15"/>
      <c r="L433" s="97" t="str">
        <f aca="false">IF(C433="","",IF(OR(C433="Material",C433="Equipo",C433="Suministro"),"Materiales y equipos",IF(C433="Mano de obra contratista","Mano de obra contratista",IF(C433="Transporte","Transporte y otros","Alquileres"))))</f>
        <v/>
      </c>
      <c r="M433" s="6"/>
    </row>
    <row r="434" customFormat="false" ht="16.5" hidden="false" customHeight="true" outlineLevel="0" collapsed="false">
      <c r="A434" s="95" t="str">
        <f aca="false">IF(AND(B434="",C434=""),"",ROW()-6)</f>
        <v/>
      </c>
      <c r="B434" s="83"/>
      <c r="C434" s="15"/>
      <c r="D434" s="15"/>
      <c r="E434" s="85"/>
      <c r="F434" s="15"/>
      <c r="G434" s="15"/>
      <c r="H434" s="96"/>
      <c r="I434" s="16"/>
      <c r="J434" s="37" t="str">
        <f aca="false">IF(I434="","",IF(H434="",1,H434)*I434)</f>
        <v/>
      </c>
      <c r="K434" s="15"/>
      <c r="L434" s="97" t="str">
        <f aca="false">IF(C434="","",IF(OR(C434="Material",C434="Equipo",C434="Suministro"),"Materiales y equipos",IF(C434="Mano de obra contratista","Mano de obra contratista",IF(C434="Transporte","Transporte y otros","Alquileres"))))</f>
        <v/>
      </c>
      <c r="M434" s="6"/>
    </row>
    <row r="435" customFormat="false" ht="16.5" hidden="false" customHeight="true" outlineLevel="0" collapsed="false">
      <c r="A435" s="95" t="str">
        <f aca="false">IF(AND(B435="",C435=""),"",ROW()-6)</f>
        <v/>
      </c>
      <c r="B435" s="83"/>
      <c r="C435" s="15"/>
      <c r="D435" s="15"/>
      <c r="E435" s="85"/>
      <c r="F435" s="15"/>
      <c r="G435" s="15"/>
      <c r="H435" s="96"/>
      <c r="I435" s="16"/>
      <c r="J435" s="37" t="str">
        <f aca="false">IF(I435="","",IF(H435="",1,H435)*I435)</f>
        <v/>
      </c>
      <c r="K435" s="15"/>
      <c r="L435" s="97" t="str">
        <f aca="false">IF(C435="","",IF(OR(C435="Material",C435="Equipo",C435="Suministro"),"Materiales y equipos",IF(C435="Mano de obra contratista","Mano de obra contratista",IF(C435="Transporte","Transporte y otros","Alquileres"))))</f>
        <v/>
      </c>
      <c r="M435" s="6"/>
    </row>
    <row r="436" customFormat="false" ht="16.5" hidden="false" customHeight="true" outlineLevel="0" collapsed="false">
      <c r="A436" s="95" t="str">
        <f aca="false">IF(AND(B436="",C436=""),"",ROW()-6)</f>
        <v/>
      </c>
      <c r="B436" s="83"/>
      <c r="C436" s="15"/>
      <c r="D436" s="15"/>
      <c r="E436" s="85"/>
      <c r="F436" s="15"/>
      <c r="G436" s="15"/>
      <c r="H436" s="96"/>
      <c r="I436" s="16"/>
      <c r="J436" s="37" t="str">
        <f aca="false">IF(I436="","",IF(H436="",1,H436)*I436)</f>
        <v/>
      </c>
      <c r="K436" s="15"/>
      <c r="L436" s="97" t="str">
        <f aca="false">IF(C436="","",IF(OR(C436="Material",C436="Equipo",C436="Suministro"),"Materiales y equipos",IF(C436="Mano de obra contratista","Mano de obra contratista",IF(C436="Transporte","Transporte y otros","Alquileres"))))</f>
        <v/>
      </c>
      <c r="M436" s="6"/>
    </row>
    <row r="437" customFormat="false" ht="16.5" hidden="false" customHeight="true" outlineLevel="0" collapsed="false">
      <c r="A437" s="95" t="str">
        <f aca="false">IF(AND(B437="",C437=""),"",ROW()-6)</f>
        <v/>
      </c>
      <c r="B437" s="83"/>
      <c r="C437" s="15"/>
      <c r="D437" s="15"/>
      <c r="E437" s="85"/>
      <c r="F437" s="15"/>
      <c r="G437" s="15"/>
      <c r="H437" s="96"/>
      <c r="I437" s="16"/>
      <c r="J437" s="37" t="str">
        <f aca="false">IF(I437="","",IF(H437="",1,H437)*I437)</f>
        <v/>
      </c>
      <c r="K437" s="15"/>
      <c r="L437" s="97" t="str">
        <f aca="false">IF(C437="","",IF(OR(C437="Material",C437="Equipo",C437="Suministro"),"Materiales y equipos",IF(C437="Mano de obra contratista","Mano de obra contratista",IF(C437="Transporte","Transporte y otros","Alquileres"))))</f>
        <v/>
      </c>
      <c r="M437" s="6"/>
    </row>
    <row r="438" customFormat="false" ht="16.5" hidden="false" customHeight="true" outlineLevel="0" collapsed="false">
      <c r="A438" s="95" t="str">
        <f aca="false">IF(AND(B438="",C438=""),"",ROW()-6)</f>
        <v/>
      </c>
      <c r="B438" s="83"/>
      <c r="C438" s="15"/>
      <c r="D438" s="15"/>
      <c r="E438" s="85"/>
      <c r="F438" s="15"/>
      <c r="G438" s="15"/>
      <c r="H438" s="96"/>
      <c r="I438" s="16"/>
      <c r="J438" s="37" t="str">
        <f aca="false">IF(I438="","",IF(H438="",1,H438)*I438)</f>
        <v/>
      </c>
      <c r="K438" s="15"/>
      <c r="L438" s="97" t="str">
        <f aca="false">IF(C438="","",IF(OR(C438="Material",C438="Equipo",C438="Suministro"),"Materiales y equipos",IF(C438="Mano de obra contratista","Mano de obra contratista",IF(C438="Transporte","Transporte y otros","Alquileres"))))</f>
        <v/>
      </c>
      <c r="M438" s="6"/>
    </row>
    <row r="439" customFormat="false" ht="16.5" hidden="false" customHeight="true" outlineLevel="0" collapsed="false">
      <c r="A439" s="95" t="str">
        <f aca="false">IF(AND(B439="",C439=""),"",ROW()-6)</f>
        <v/>
      </c>
      <c r="B439" s="83"/>
      <c r="C439" s="15"/>
      <c r="D439" s="15"/>
      <c r="E439" s="85"/>
      <c r="F439" s="15"/>
      <c r="G439" s="15"/>
      <c r="H439" s="96"/>
      <c r="I439" s="16"/>
      <c r="J439" s="37" t="str">
        <f aca="false">IF(I439="","",IF(H439="",1,H439)*I439)</f>
        <v/>
      </c>
      <c r="K439" s="15"/>
      <c r="L439" s="97" t="str">
        <f aca="false">IF(C439="","",IF(OR(C439="Material",C439="Equipo",C439="Suministro"),"Materiales y equipos",IF(C439="Mano de obra contratista","Mano de obra contratista",IF(C439="Transporte","Transporte y otros","Alquileres"))))</f>
        <v/>
      </c>
      <c r="M439" s="6"/>
    </row>
    <row r="440" customFormat="false" ht="16.5" hidden="false" customHeight="true" outlineLevel="0" collapsed="false">
      <c r="A440" s="95" t="str">
        <f aca="false">IF(AND(B440="",C440=""),"",ROW()-6)</f>
        <v/>
      </c>
      <c r="B440" s="83"/>
      <c r="C440" s="15"/>
      <c r="D440" s="15"/>
      <c r="E440" s="85"/>
      <c r="F440" s="15"/>
      <c r="G440" s="15"/>
      <c r="H440" s="96"/>
      <c r="I440" s="16"/>
      <c r="J440" s="37" t="str">
        <f aca="false">IF(I440="","",IF(H440="",1,H440)*I440)</f>
        <v/>
      </c>
      <c r="K440" s="15"/>
      <c r="L440" s="97" t="str">
        <f aca="false">IF(C440="","",IF(OR(C440="Material",C440="Equipo",C440="Suministro"),"Materiales y equipos",IF(C440="Mano de obra contratista","Mano de obra contratista",IF(C440="Transporte","Transporte y otros","Alquileres"))))</f>
        <v/>
      </c>
      <c r="M440" s="6"/>
    </row>
    <row r="441" customFormat="false" ht="16.5" hidden="false" customHeight="true" outlineLevel="0" collapsed="false">
      <c r="A441" s="95" t="str">
        <f aca="false">IF(AND(B441="",C441=""),"",ROW()-6)</f>
        <v/>
      </c>
      <c r="B441" s="83"/>
      <c r="C441" s="15"/>
      <c r="D441" s="15"/>
      <c r="E441" s="85"/>
      <c r="F441" s="15"/>
      <c r="G441" s="15"/>
      <c r="H441" s="96"/>
      <c r="I441" s="16"/>
      <c r="J441" s="37" t="str">
        <f aca="false">IF(I441="","",IF(H441="",1,H441)*I441)</f>
        <v/>
      </c>
      <c r="K441" s="15"/>
      <c r="L441" s="97" t="str">
        <f aca="false">IF(C441="","",IF(OR(C441="Material",C441="Equipo",C441="Suministro"),"Materiales y equipos",IF(C441="Mano de obra contratista","Mano de obra contratista",IF(C441="Transporte","Transporte y otros","Alquileres"))))</f>
        <v/>
      </c>
      <c r="M441" s="6"/>
    </row>
    <row r="442" customFormat="false" ht="16.5" hidden="false" customHeight="true" outlineLevel="0" collapsed="false">
      <c r="A442" s="95" t="str">
        <f aca="false">IF(AND(B442="",C442=""),"",ROW()-6)</f>
        <v/>
      </c>
      <c r="B442" s="83"/>
      <c r="C442" s="15"/>
      <c r="D442" s="15"/>
      <c r="E442" s="85"/>
      <c r="F442" s="15"/>
      <c r="G442" s="15"/>
      <c r="H442" s="96"/>
      <c r="I442" s="16"/>
      <c r="J442" s="37" t="str">
        <f aca="false">IF(I442="","",IF(H442="",1,H442)*I442)</f>
        <v/>
      </c>
      <c r="K442" s="15"/>
      <c r="L442" s="97" t="str">
        <f aca="false">IF(C442="","",IF(OR(C442="Material",C442="Equipo",C442="Suministro"),"Materiales y equipos",IF(C442="Mano de obra contratista","Mano de obra contratista",IF(C442="Transporte","Transporte y otros","Alquileres"))))</f>
        <v/>
      </c>
      <c r="M442" s="6"/>
    </row>
    <row r="443" customFormat="false" ht="16.5" hidden="false" customHeight="true" outlineLevel="0" collapsed="false">
      <c r="A443" s="95" t="str">
        <f aca="false">IF(AND(B443="",C443=""),"",ROW()-6)</f>
        <v/>
      </c>
      <c r="B443" s="83"/>
      <c r="C443" s="15"/>
      <c r="D443" s="15"/>
      <c r="E443" s="85"/>
      <c r="F443" s="15"/>
      <c r="G443" s="15"/>
      <c r="H443" s="96"/>
      <c r="I443" s="16"/>
      <c r="J443" s="37" t="str">
        <f aca="false">IF(I443="","",IF(H443="",1,H443)*I443)</f>
        <v/>
      </c>
      <c r="K443" s="15"/>
      <c r="L443" s="97" t="str">
        <f aca="false">IF(C443="","",IF(OR(C443="Material",C443="Equipo",C443="Suministro"),"Materiales y equipos",IF(C443="Mano de obra contratista","Mano de obra contratista",IF(C443="Transporte","Transporte y otros","Alquileres"))))</f>
        <v/>
      </c>
      <c r="M443" s="6"/>
    </row>
    <row r="444" customFormat="false" ht="16.5" hidden="false" customHeight="true" outlineLevel="0" collapsed="false">
      <c r="A444" s="95" t="str">
        <f aca="false">IF(AND(B444="",C444=""),"",ROW()-6)</f>
        <v/>
      </c>
      <c r="B444" s="83"/>
      <c r="C444" s="15"/>
      <c r="D444" s="15"/>
      <c r="E444" s="85"/>
      <c r="F444" s="15"/>
      <c r="G444" s="15"/>
      <c r="H444" s="96"/>
      <c r="I444" s="16"/>
      <c r="J444" s="37" t="str">
        <f aca="false">IF(I444="","",IF(H444="",1,H444)*I444)</f>
        <v/>
      </c>
      <c r="K444" s="15"/>
      <c r="L444" s="97" t="str">
        <f aca="false">IF(C444="","",IF(OR(C444="Material",C444="Equipo",C444="Suministro"),"Materiales y equipos",IF(C444="Mano de obra contratista","Mano de obra contratista",IF(C444="Transporte","Transporte y otros","Alquileres"))))</f>
        <v/>
      </c>
      <c r="M444" s="6"/>
    </row>
    <row r="445" customFormat="false" ht="16.5" hidden="false" customHeight="true" outlineLevel="0" collapsed="false">
      <c r="A445" s="95" t="str">
        <f aca="false">IF(AND(B445="",C445=""),"",ROW()-6)</f>
        <v/>
      </c>
      <c r="B445" s="83"/>
      <c r="C445" s="15"/>
      <c r="D445" s="15"/>
      <c r="E445" s="85"/>
      <c r="F445" s="15"/>
      <c r="G445" s="15"/>
      <c r="H445" s="96"/>
      <c r="I445" s="16"/>
      <c r="J445" s="37" t="str">
        <f aca="false">IF(I445="","",IF(H445="",1,H445)*I445)</f>
        <v/>
      </c>
      <c r="K445" s="15"/>
      <c r="L445" s="97" t="str">
        <f aca="false">IF(C445="","",IF(OR(C445="Material",C445="Equipo",C445="Suministro"),"Materiales y equipos",IF(C445="Mano de obra contratista","Mano de obra contratista",IF(C445="Transporte","Transporte y otros","Alquileres"))))</f>
        <v/>
      </c>
      <c r="M445" s="6"/>
    </row>
    <row r="446" customFormat="false" ht="16.5" hidden="false" customHeight="true" outlineLevel="0" collapsed="false">
      <c r="A446" s="95" t="str">
        <f aca="false">IF(AND(B446="",C446=""),"",ROW()-6)</f>
        <v/>
      </c>
      <c r="B446" s="83"/>
      <c r="C446" s="15"/>
      <c r="D446" s="15"/>
      <c r="E446" s="85"/>
      <c r="F446" s="15"/>
      <c r="G446" s="15"/>
      <c r="H446" s="96"/>
      <c r="I446" s="16"/>
      <c r="J446" s="37" t="str">
        <f aca="false">IF(I446="","",IF(H446="",1,H446)*I446)</f>
        <v/>
      </c>
      <c r="K446" s="15"/>
      <c r="L446" s="97" t="str">
        <f aca="false">IF(C446="","",IF(OR(C446="Material",C446="Equipo",C446="Suministro"),"Materiales y equipos",IF(C446="Mano de obra contratista","Mano de obra contratista",IF(C446="Transporte","Transporte y otros","Alquileres"))))</f>
        <v/>
      </c>
      <c r="M446" s="6"/>
    </row>
    <row r="447" customFormat="false" ht="16.5" hidden="false" customHeight="true" outlineLevel="0" collapsed="false">
      <c r="A447" s="95" t="str">
        <f aca="false">IF(AND(B447="",C447=""),"",ROW()-6)</f>
        <v/>
      </c>
      <c r="B447" s="83"/>
      <c r="C447" s="15"/>
      <c r="D447" s="15"/>
      <c r="E447" s="85"/>
      <c r="F447" s="15"/>
      <c r="G447" s="15"/>
      <c r="H447" s="96"/>
      <c r="I447" s="16"/>
      <c r="J447" s="37" t="str">
        <f aca="false">IF(I447="","",IF(H447="",1,H447)*I447)</f>
        <v/>
      </c>
      <c r="K447" s="15"/>
      <c r="L447" s="97" t="str">
        <f aca="false">IF(C447="","",IF(OR(C447="Material",C447="Equipo",C447="Suministro"),"Materiales y equipos",IF(C447="Mano de obra contratista","Mano de obra contratista",IF(C447="Transporte","Transporte y otros","Alquileres"))))</f>
        <v/>
      </c>
      <c r="M447" s="6"/>
    </row>
    <row r="448" customFormat="false" ht="16.5" hidden="false" customHeight="true" outlineLevel="0" collapsed="false">
      <c r="A448" s="95" t="str">
        <f aca="false">IF(AND(B448="",C448=""),"",ROW()-6)</f>
        <v/>
      </c>
      <c r="B448" s="83"/>
      <c r="C448" s="15"/>
      <c r="D448" s="15"/>
      <c r="E448" s="85"/>
      <c r="F448" s="15"/>
      <c r="G448" s="15"/>
      <c r="H448" s="96"/>
      <c r="I448" s="16"/>
      <c r="J448" s="37" t="str">
        <f aca="false">IF(I448="","",IF(H448="",1,H448)*I448)</f>
        <v/>
      </c>
      <c r="K448" s="15"/>
      <c r="L448" s="97" t="str">
        <f aca="false">IF(C448="","",IF(OR(C448="Material",C448="Equipo",C448="Suministro"),"Materiales y equipos",IF(C448="Mano de obra contratista","Mano de obra contratista",IF(C448="Transporte","Transporte y otros","Alquileres"))))</f>
        <v/>
      </c>
      <c r="M448" s="6"/>
    </row>
    <row r="449" customFormat="false" ht="16.5" hidden="false" customHeight="true" outlineLevel="0" collapsed="false">
      <c r="A449" s="95" t="str">
        <f aca="false">IF(AND(B449="",C449=""),"",ROW()-6)</f>
        <v/>
      </c>
      <c r="B449" s="83"/>
      <c r="C449" s="15"/>
      <c r="D449" s="15"/>
      <c r="E449" s="85"/>
      <c r="F449" s="15"/>
      <c r="G449" s="15"/>
      <c r="H449" s="96"/>
      <c r="I449" s="16"/>
      <c r="J449" s="37" t="str">
        <f aca="false">IF(I449="","",IF(H449="",1,H449)*I449)</f>
        <v/>
      </c>
      <c r="K449" s="15"/>
      <c r="L449" s="97" t="str">
        <f aca="false">IF(C449="","",IF(OR(C449="Material",C449="Equipo",C449="Suministro"),"Materiales y equipos",IF(C449="Mano de obra contratista","Mano de obra contratista",IF(C449="Transporte","Transporte y otros","Alquileres"))))</f>
        <v/>
      </c>
      <c r="M449" s="6"/>
    </row>
    <row r="450" customFormat="false" ht="16.5" hidden="false" customHeight="true" outlineLevel="0" collapsed="false">
      <c r="A450" s="95" t="str">
        <f aca="false">IF(AND(B450="",C450=""),"",ROW()-6)</f>
        <v/>
      </c>
      <c r="B450" s="83"/>
      <c r="C450" s="15"/>
      <c r="D450" s="15"/>
      <c r="E450" s="85"/>
      <c r="F450" s="15"/>
      <c r="G450" s="15"/>
      <c r="H450" s="96"/>
      <c r="I450" s="16"/>
      <c r="J450" s="37" t="str">
        <f aca="false">IF(I450="","",IF(H450="",1,H450)*I450)</f>
        <v/>
      </c>
      <c r="K450" s="15"/>
      <c r="L450" s="97" t="str">
        <f aca="false">IF(C450="","",IF(OR(C450="Material",C450="Equipo",C450="Suministro"),"Materiales y equipos",IF(C450="Mano de obra contratista","Mano de obra contratista",IF(C450="Transporte","Transporte y otros","Alquileres"))))</f>
        <v/>
      </c>
      <c r="M450" s="6"/>
    </row>
    <row r="451" customFormat="false" ht="16.5" hidden="false" customHeight="true" outlineLevel="0" collapsed="false">
      <c r="A451" s="95" t="str">
        <f aca="false">IF(AND(B451="",C451=""),"",ROW()-6)</f>
        <v/>
      </c>
      <c r="B451" s="83"/>
      <c r="C451" s="15"/>
      <c r="D451" s="15"/>
      <c r="E451" s="85"/>
      <c r="F451" s="15"/>
      <c r="G451" s="15"/>
      <c r="H451" s="96"/>
      <c r="I451" s="16"/>
      <c r="J451" s="37" t="str">
        <f aca="false">IF(I451="","",IF(H451="",1,H451)*I451)</f>
        <v/>
      </c>
      <c r="K451" s="15"/>
      <c r="L451" s="97" t="str">
        <f aca="false">IF(C451="","",IF(OR(C451="Material",C451="Equipo",C451="Suministro"),"Materiales y equipos",IF(C451="Mano de obra contratista","Mano de obra contratista",IF(C451="Transporte","Transporte y otros","Alquileres"))))</f>
        <v/>
      </c>
      <c r="M451" s="6"/>
    </row>
    <row r="452" customFormat="false" ht="16.5" hidden="false" customHeight="true" outlineLevel="0" collapsed="false">
      <c r="A452" s="95" t="str">
        <f aca="false">IF(AND(B452="",C452=""),"",ROW()-6)</f>
        <v/>
      </c>
      <c r="B452" s="83"/>
      <c r="C452" s="15"/>
      <c r="D452" s="15"/>
      <c r="E452" s="85"/>
      <c r="F452" s="15"/>
      <c r="G452" s="15"/>
      <c r="H452" s="96"/>
      <c r="I452" s="16"/>
      <c r="J452" s="37" t="str">
        <f aca="false">IF(I452="","",IF(H452="",1,H452)*I452)</f>
        <v/>
      </c>
      <c r="K452" s="15"/>
      <c r="L452" s="97" t="str">
        <f aca="false">IF(C452="","",IF(OR(C452="Material",C452="Equipo",C452="Suministro"),"Materiales y equipos",IF(C452="Mano de obra contratista","Mano de obra contratista",IF(C452="Transporte","Transporte y otros","Alquileres"))))</f>
        <v/>
      </c>
      <c r="M452" s="6"/>
    </row>
    <row r="453" customFormat="false" ht="16.5" hidden="false" customHeight="true" outlineLevel="0" collapsed="false">
      <c r="A453" s="95" t="str">
        <f aca="false">IF(AND(B453="",C453=""),"",ROW()-6)</f>
        <v/>
      </c>
      <c r="B453" s="83"/>
      <c r="C453" s="15"/>
      <c r="D453" s="15"/>
      <c r="E453" s="85"/>
      <c r="F453" s="15"/>
      <c r="G453" s="15"/>
      <c r="H453" s="96"/>
      <c r="I453" s="16"/>
      <c r="J453" s="37" t="str">
        <f aca="false">IF(I453="","",IF(H453="",1,H453)*I453)</f>
        <v/>
      </c>
      <c r="K453" s="15"/>
      <c r="L453" s="97" t="str">
        <f aca="false">IF(C453="","",IF(OR(C453="Material",C453="Equipo",C453="Suministro"),"Materiales y equipos",IF(C453="Mano de obra contratista","Mano de obra contratista",IF(C453="Transporte","Transporte y otros","Alquileres"))))</f>
        <v/>
      </c>
      <c r="M453" s="6"/>
    </row>
    <row r="454" customFormat="false" ht="16.5" hidden="false" customHeight="true" outlineLevel="0" collapsed="false">
      <c r="A454" s="95" t="str">
        <f aca="false">IF(AND(B454="",C454=""),"",ROW()-6)</f>
        <v/>
      </c>
      <c r="B454" s="83"/>
      <c r="C454" s="15"/>
      <c r="D454" s="15"/>
      <c r="E454" s="85"/>
      <c r="F454" s="15"/>
      <c r="G454" s="15"/>
      <c r="H454" s="96"/>
      <c r="I454" s="16"/>
      <c r="J454" s="37" t="str">
        <f aca="false">IF(I454="","",IF(H454="",1,H454)*I454)</f>
        <v/>
      </c>
      <c r="K454" s="15"/>
      <c r="L454" s="97" t="str">
        <f aca="false">IF(C454="","",IF(OR(C454="Material",C454="Equipo",C454="Suministro"),"Materiales y equipos",IF(C454="Mano de obra contratista","Mano de obra contratista",IF(C454="Transporte","Transporte y otros","Alquileres"))))</f>
        <v/>
      </c>
      <c r="M454" s="6"/>
    </row>
    <row r="455" customFormat="false" ht="16.5" hidden="false" customHeight="true" outlineLevel="0" collapsed="false">
      <c r="A455" s="95" t="str">
        <f aca="false">IF(AND(B455="",C455=""),"",ROW()-6)</f>
        <v/>
      </c>
      <c r="B455" s="83"/>
      <c r="C455" s="15"/>
      <c r="D455" s="15"/>
      <c r="E455" s="85"/>
      <c r="F455" s="15"/>
      <c r="G455" s="15"/>
      <c r="H455" s="96"/>
      <c r="I455" s="16"/>
      <c r="J455" s="37" t="str">
        <f aca="false">IF(I455="","",IF(H455="",1,H455)*I455)</f>
        <v/>
      </c>
      <c r="K455" s="15"/>
      <c r="L455" s="97" t="str">
        <f aca="false">IF(C455="","",IF(OR(C455="Material",C455="Equipo",C455="Suministro"),"Materiales y equipos",IF(C455="Mano de obra contratista","Mano de obra contratista",IF(C455="Transporte","Transporte y otros","Alquileres"))))</f>
        <v/>
      </c>
      <c r="M455" s="6"/>
    </row>
    <row r="456" customFormat="false" ht="16.5" hidden="false" customHeight="true" outlineLevel="0" collapsed="false">
      <c r="A456" s="95" t="str">
        <f aca="false">IF(AND(B456="",C456=""),"",ROW()-6)</f>
        <v/>
      </c>
      <c r="B456" s="83"/>
      <c r="C456" s="15"/>
      <c r="D456" s="15"/>
      <c r="E456" s="85"/>
      <c r="F456" s="15"/>
      <c r="G456" s="15"/>
      <c r="H456" s="96"/>
      <c r="I456" s="16"/>
      <c r="J456" s="37" t="str">
        <f aca="false">IF(I456="","",IF(H456="",1,H456)*I456)</f>
        <v/>
      </c>
      <c r="K456" s="15"/>
      <c r="L456" s="97" t="str">
        <f aca="false">IF(C456="","",IF(OR(C456="Material",C456="Equipo",C456="Suministro"),"Materiales y equipos",IF(C456="Mano de obra contratista","Mano de obra contratista",IF(C456="Transporte","Transporte y otros","Alquileres"))))</f>
        <v/>
      </c>
      <c r="M456" s="6"/>
    </row>
    <row r="457" customFormat="false" ht="16.5" hidden="false" customHeight="true" outlineLevel="0" collapsed="false">
      <c r="A457" s="95" t="str">
        <f aca="false">IF(AND(B457="",C457=""),"",ROW()-6)</f>
        <v/>
      </c>
      <c r="B457" s="83"/>
      <c r="C457" s="15"/>
      <c r="D457" s="15"/>
      <c r="E457" s="85"/>
      <c r="F457" s="15"/>
      <c r="G457" s="15"/>
      <c r="H457" s="96"/>
      <c r="I457" s="16"/>
      <c r="J457" s="37" t="str">
        <f aca="false">IF(I457="","",IF(H457="",1,H457)*I457)</f>
        <v/>
      </c>
      <c r="K457" s="15"/>
      <c r="L457" s="97" t="str">
        <f aca="false">IF(C457="","",IF(OR(C457="Material",C457="Equipo",C457="Suministro"),"Materiales y equipos",IF(C457="Mano de obra contratista","Mano de obra contratista",IF(C457="Transporte","Transporte y otros","Alquileres"))))</f>
        <v/>
      </c>
      <c r="M457" s="6"/>
    </row>
    <row r="458" customFormat="false" ht="16.5" hidden="false" customHeight="true" outlineLevel="0" collapsed="false">
      <c r="A458" s="95" t="str">
        <f aca="false">IF(AND(B458="",C458=""),"",ROW()-6)</f>
        <v/>
      </c>
      <c r="B458" s="83"/>
      <c r="C458" s="15"/>
      <c r="D458" s="15"/>
      <c r="E458" s="85"/>
      <c r="F458" s="15"/>
      <c r="G458" s="15"/>
      <c r="H458" s="96"/>
      <c r="I458" s="16"/>
      <c r="J458" s="37" t="str">
        <f aca="false">IF(I458="","",IF(H458="",1,H458)*I458)</f>
        <v/>
      </c>
      <c r="K458" s="15"/>
      <c r="L458" s="97" t="str">
        <f aca="false">IF(C458="","",IF(OR(C458="Material",C458="Equipo",C458="Suministro"),"Materiales y equipos",IF(C458="Mano de obra contratista","Mano de obra contratista",IF(C458="Transporte","Transporte y otros","Alquileres"))))</f>
        <v/>
      </c>
      <c r="M458" s="6"/>
    </row>
    <row r="459" customFormat="false" ht="16.5" hidden="false" customHeight="true" outlineLevel="0" collapsed="false">
      <c r="A459" s="95" t="str">
        <f aca="false">IF(AND(B459="",C459=""),"",ROW()-6)</f>
        <v/>
      </c>
      <c r="B459" s="83"/>
      <c r="C459" s="15"/>
      <c r="D459" s="15"/>
      <c r="E459" s="85"/>
      <c r="F459" s="15"/>
      <c r="G459" s="15"/>
      <c r="H459" s="96"/>
      <c r="I459" s="16"/>
      <c r="J459" s="37" t="str">
        <f aca="false">IF(I459="","",IF(H459="",1,H459)*I459)</f>
        <v/>
      </c>
      <c r="K459" s="15"/>
      <c r="L459" s="97" t="str">
        <f aca="false">IF(C459="","",IF(OR(C459="Material",C459="Equipo",C459="Suministro"),"Materiales y equipos",IF(C459="Mano de obra contratista","Mano de obra contratista",IF(C459="Transporte","Transporte y otros","Alquileres"))))</f>
        <v/>
      </c>
      <c r="M459" s="6"/>
    </row>
    <row r="460" customFormat="false" ht="16.5" hidden="false" customHeight="true" outlineLevel="0" collapsed="false">
      <c r="A460" s="95" t="str">
        <f aca="false">IF(AND(B460="",C460=""),"",ROW()-6)</f>
        <v/>
      </c>
      <c r="B460" s="83"/>
      <c r="C460" s="15"/>
      <c r="D460" s="15"/>
      <c r="E460" s="85"/>
      <c r="F460" s="15"/>
      <c r="G460" s="15"/>
      <c r="H460" s="96"/>
      <c r="I460" s="16"/>
      <c r="J460" s="37" t="str">
        <f aca="false">IF(I460="","",IF(H460="",1,H460)*I460)</f>
        <v/>
      </c>
      <c r="K460" s="15"/>
      <c r="L460" s="97" t="str">
        <f aca="false">IF(C460="","",IF(OR(C460="Material",C460="Equipo",C460="Suministro"),"Materiales y equipos",IF(C460="Mano de obra contratista","Mano de obra contratista",IF(C460="Transporte","Transporte y otros","Alquileres"))))</f>
        <v/>
      </c>
      <c r="M460" s="6"/>
    </row>
    <row r="461" customFormat="false" ht="16.5" hidden="false" customHeight="true" outlineLevel="0" collapsed="false">
      <c r="A461" s="95" t="str">
        <f aca="false">IF(AND(B461="",C461=""),"",ROW()-6)</f>
        <v/>
      </c>
      <c r="B461" s="83"/>
      <c r="C461" s="15"/>
      <c r="D461" s="15"/>
      <c r="E461" s="85"/>
      <c r="F461" s="15"/>
      <c r="G461" s="15"/>
      <c r="H461" s="96"/>
      <c r="I461" s="16"/>
      <c r="J461" s="37" t="str">
        <f aca="false">IF(I461="","",IF(H461="",1,H461)*I461)</f>
        <v/>
      </c>
      <c r="K461" s="15"/>
      <c r="L461" s="97" t="str">
        <f aca="false">IF(C461="","",IF(OR(C461="Material",C461="Equipo",C461="Suministro"),"Materiales y equipos",IF(C461="Mano de obra contratista","Mano de obra contratista",IF(C461="Transporte","Transporte y otros","Alquileres"))))</f>
        <v/>
      </c>
      <c r="M461" s="6"/>
    </row>
    <row r="462" customFormat="false" ht="16.5" hidden="false" customHeight="true" outlineLevel="0" collapsed="false">
      <c r="A462" s="95" t="str">
        <f aca="false">IF(AND(B462="",C462=""),"",ROW()-6)</f>
        <v/>
      </c>
      <c r="B462" s="83"/>
      <c r="C462" s="15"/>
      <c r="D462" s="15"/>
      <c r="E462" s="85"/>
      <c r="F462" s="15"/>
      <c r="G462" s="15"/>
      <c r="H462" s="96"/>
      <c r="I462" s="16"/>
      <c r="J462" s="37" t="str">
        <f aca="false">IF(I462="","",IF(H462="",1,H462)*I462)</f>
        <v/>
      </c>
      <c r="K462" s="15"/>
      <c r="L462" s="97" t="str">
        <f aca="false">IF(C462="","",IF(OR(C462="Material",C462="Equipo",C462="Suministro"),"Materiales y equipos",IF(C462="Mano de obra contratista","Mano de obra contratista",IF(C462="Transporte","Transporte y otros","Alquileres"))))</f>
        <v/>
      </c>
      <c r="M462" s="6"/>
    </row>
    <row r="463" customFormat="false" ht="16.5" hidden="false" customHeight="true" outlineLevel="0" collapsed="false">
      <c r="A463" s="95" t="str">
        <f aca="false">IF(AND(B463="",C463=""),"",ROW()-6)</f>
        <v/>
      </c>
      <c r="B463" s="83"/>
      <c r="C463" s="15"/>
      <c r="D463" s="15"/>
      <c r="E463" s="85"/>
      <c r="F463" s="15"/>
      <c r="G463" s="15"/>
      <c r="H463" s="96"/>
      <c r="I463" s="16"/>
      <c r="J463" s="37" t="str">
        <f aca="false">IF(I463="","",IF(H463="",1,H463)*I463)</f>
        <v/>
      </c>
      <c r="K463" s="15"/>
      <c r="L463" s="97" t="str">
        <f aca="false">IF(C463="","",IF(OR(C463="Material",C463="Equipo",C463="Suministro"),"Materiales y equipos",IF(C463="Mano de obra contratista","Mano de obra contratista",IF(C463="Transporte","Transporte y otros","Alquileres"))))</f>
        <v/>
      </c>
      <c r="M463" s="6"/>
    </row>
    <row r="464" customFormat="false" ht="16.5" hidden="false" customHeight="true" outlineLevel="0" collapsed="false">
      <c r="A464" s="95" t="str">
        <f aca="false">IF(AND(B464="",C464=""),"",ROW()-6)</f>
        <v/>
      </c>
      <c r="B464" s="83"/>
      <c r="C464" s="15"/>
      <c r="D464" s="15"/>
      <c r="E464" s="85"/>
      <c r="F464" s="15"/>
      <c r="G464" s="15"/>
      <c r="H464" s="96"/>
      <c r="I464" s="16"/>
      <c r="J464" s="37" t="str">
        <f aca="false">IF(I464="","",IF(H464="",1,H464)*I464)</f>
        <v/>
      </c>
      <c r="K464" s="15"/>
      <c r="L464" s="97" t="str">
        <f aca="false">IF(C464="","",IF(OR(C464="Material",C464="Equipo",C464="Suministro"),"Materiales y equipos",IF(C464="Mano de obra contratista","Mano de obra contratista",IF(C464="Transporte","Transporte y otros","Alquileres"))))</f>
        <v/>
      </c>
      <c r="M464" s="6"/>
    </row>
    <row r="465" customFormat="false" ht="16.5" hidden="false" customHeight="true" outlineLevel="0" collapsed="false">
      <c r="A465" s="95" t="str">
        <f aca="false">IF(AND(B465="",C465=""),"",ROW()-6)</f>
        <v/>
      </c>
      <c r="B465" s="83"/>
      <c r="C465" s="15"/>
      <c r="D465" s="15"/>
      <c r="E465" s="85"/>
      <c r="F465" s="15"/>
      <c r="G465" s="15"/>
      <c r="H465" s="96"/>
      <c r="I465" s="16"/>
      <c r="J465" s="37" t="str">
        <f aca="false">IF(I465="","",IF(H465="",1,H465)*I465)</f>
        <v/>
      </c>
      <c r="K465" s="15"/>
      <c r="L465" s="97" t="str">
        <f aca="false">IF(C465="","",IF(OR(C465="Material",C465="Equipo",C465="Suministro"),"Materiales y equipos",IF(C465="Mano de obra contratista","Mano de obra contratista",IF(C465="Transporte","Transporte y otros","Alquileres"))))</f>
        <v/>
      </c>
      <c r="M465" s="6"/>
    </row>
    <row r="466" customFormat="false" ht="16.5" hidden="false" customHeight="true" outlineLevel="0" collapsed="false">
      <c r="A466" s="95" t="str">
        <f aca="false">IF(AND(B466="",C466=""),"",ROW()-6)</f>
        <v/>
      </c>
      <c r="B466" s="83"/>
      <c r="C466" s="15"/>
      <c r="D466" s="15"/>
      <c r="E466" s="85"/>
      <c r="F466" s="15"/>
      <c r="G466" s="15"/>
      <c r="H466" s="96"/>
      <c r="I466" s="16"/>
      <c r="J466" s="37" t="str">
        <f aca="false">IF(I466="","",IF(H466="",1,H466)*I466)</f>
        <v/>
      </c>
      <c r="K466" s="15"/>
      <c r="L466" s="97" t="str">
        <f aca="false">IF(C466="","",IF(OR(C466="Material",C466="Equipo",C466="Suministro"),"Materiales y equipos",IF(C466="Mano de obra contratista","Mano de obra contratista",IF(C466="Transporte","Transporte y otros","Alquileres"))))</f>
        <v/>
      </c>
      <c r="M466" s="6"/>
    </row>
    <row r="467" customFormat="false" ht="16.5" hidden="false" customHeight="true" outlineLevel="0" collapsed="false">
      <c r="A467" s="95" t="str">
        <f aca="false">IF(AND(B467="",C467=""),"",ROW()-6)</f>
        <v/>
      </c>
      <c r="B467" s="83"/>
      <c r="C467" s="15"/>
      <c r="D467" s="15"/>
      <c r="E467" s="85"/>
      <c r="F467" s="15"/>
      <c r="G467" s="15"/>
      <c r="H467" s="96"/>
      <c r="I467" s="16"/>
      <c r="J467" s="37" t="str">
        <f aca="false">IF(I467="","",IF(H467="",1,H467)*I467)</f>
        <v/>
      </c>
      <c r="K467" s="15"/>
      <c r="L467" s="97" t="str">
        <f aca="false">IF(C467="","",IF(OR(C467="Material",C467="Equipo",C467="Suministro"),"Materiales y equipos",IF(C467="Mano de obra contratista","Mano de obra contratista",IF(C467="Transporte","Transporte y otros","Alquileres"))))</f>
        <v/>
      </c>
      <c r="M467" s="6"/>
    </row>
    <row r="468" customFormat="false" ht="16.5" hidden="false" customHeight="true" outlineLevel="0" collapsed="false">
      <c r="A468" s="95" t="str">
        <f aca="false">IF(AND(B468="",C468=""),"",ROW()-6)</f>
        <v/>
      </c>
      <c r="B468" s="83"/>
      <c r="C468" s="15"/>
      <c r="D468" s="15"/>
      <c r="E468" s="85"/>
      <c r="F468" s="15"/>
      <c r="G468" s="15"/>
      <c r="H468" s="96"/>
      <c r="I468" s="16"/>
      <c r="J468" s="37" t="str">
        <f aca="false">IF(I468="","",IF(H468="",1,H468)*I468)</f>
        <v/>
      </c>
      <c r="K468" s="15"/>
      <c r="L468" s="97" t="str">
        <f aca="false">IF(C468="","",IF(OR(C468="Material",C468="Equipo",C468="Suministro"),"Materiales y equipos",IF(C468="Mano de obra contratista","Mano de obra contratista",IF(C468="Transporte","Transporte y otros","Alquileres"))))</f>
        <v/>
      </c>
      <c r="M468" s="6"/>
    </row>
    <row r="469" customFormat="false" ht="16.5" hidden="false" customHeight="true" outlineLevel="0" collapsed="false">
      <c r="A469" s="95" t="str">
        <f aca="false">IF(AND(B469="",C469=""),"",ROW()-6)</f>
        <v/>
      </c>
      <c r="B469" s="83"/>
      <c r="C469" s="15"/>
      <c r="D469" s="15"/>
      <c r="E469" s="85"/>
      <c r="F469" s="15"/>
      <c r="G469" s="15"/>
      <c r="H469" s="96"/>
      <c r="I469" s="16"/>
      <c r="J469" s="37" t="str">
        <f aca="false">IF(I469="","",IF(H469="",1,H469)*I469)</f>
        <v/>
      </c>
      <c r="K469" s="15"/>
      <c r="L469" s="97" t="str">
        <f aca="false">IF(C469="","",IF(OR(C469="Material",C469="Equipo",C469="Suministro"),"Materiales y equipos",IF(C469="Mano de obra contratista","Mano de obra contratista",IF(C469="Transporte","Transporte y otros","Alquileres"))))</f>
        <v/>
      </c>
      <c r="M469" s="6"/>
    </row>
    <row r="470" customFormat="false" ht="16.5" hidden="false" customHeight="true" outlineLevel="0" collapsed="false">
      <c r="A470" s="95" t="str">
        <f aca="false">IF(AND(B470="",C470=""),"",ROW()-6)</f>
        <v/>
      </c>
      <c r="B470" s="83"/>
      <c r="C470" s="15"/>
      <c r="D470" s="15"/>
      <c r="E470" s="85"/>
      <c r="F470" s="15"/>
      <c r="G470" s="15"/>
      <c r="H470" s="96"/>
      <c r="I470" s="16"/>
      <c r="J470" s="37" t="str">
        <f aca="false">IF(I470="","",IF(H470="",1,H470)*I470)</f>
        <v/>
      </c>
      <c r="K470" s="15"/>
      <c r="L470" s="97" t="str">
        <f aca="false">IF(C470="","",IF(OR(C470="Material",C470="Equipo",C470="Suministro"),"Materiales y equipos",IF(C470="Mano de obra contratista","Mano de obra contratista",IF(C470="Transporte","Transporte y otros","Alquileres"))))</f>
        <v/>
      </c>
      <c r="M470" s="6"/>
    </row>
    <row r="471" customFormat="false" ht="16.5" hidden="false" customHeight="true" outlineLevel="0" collapsed="false">
      <c r="A471" s="95" t="str">
        <f aca="false">IF(AND(B471="",C471=""),"",ROW()-6)</f>
        <v/>
      </c>
      <c r="B471" s="83"/>
      <c r="C471" s="15"/>
      <c r="D471" s="15"/>
      <c r="E471" s="85"/>
      <c r="F471" s="15"/>
      <c r="G471" s="15"/>
      <c r="H471" s="96"/>
      <c r="I471" s="16"/>
      <c r="J471" s="37" t="str">
        <f aca="false">IF(I471="","",IF(H471="",1,H471)*I471)</f>
        <v/>
      </c>
      <c r="K471" s="15"/>
      <c r="L471" s="97" t="str">
        <f aca="false">IF(C471="","",IF(OR(C471="Material",C471="Equipo",C471="Suministro"),"Materiales y equipos",IF(C471="Mano de obra contratista","Mano de obra contratista",IF(C471="Transporte","Transporte y otros","Alquileres"))))</f>
        <v/>
      </c>
      <c r="M471" s="6"/>
    </row>
    <row r="472" customFormat="false" ht="16.5" hidden="false" customHeight="true" outlineLevel="0" collapsed="false">
      <c r="A472" s="95" t="str">
        <f aca="false">IF(AND(B472="",C472=""),"",ROW()-6)</f>
        <v/>
      </c>
      <c r="B472" s="83"/>
      <c r="C472" s="15"/>
      <c r="D472" s="15"/>
      <c r="E472" s="85"/>
      <c r="F472" s="15"/>
      <c r="G472" s="15"/>
      <c r="H472" s="96"/>
      <c r="I472" s="16"/>
      <c r="J472" s="37" t="str">
        <f aca="false">IF(I472="","",IF(H472="",1,H472)*I472)</f>
        <v/>
      </c>
      <c r="K472" s="15"/>
      <c r="L472" s="97" t="str">
        <f aca="false">IF(C472="","",IF(OR(C472="Material",C472="Equipo",C472="Suministro"),"Materiales y equipos",IF(C472="Mano de obra contratista","Mano de obra contratista",IF(C472="Transporte","Transporte y otros","Alquileres"))))</f>
        <v/>
      </c>
      <c r="M472" s="6"/>
    </row>
    <row r="473" customFormat="false" ht="16.5" hidden="false" customHeight="true" outlineLevel="0" collapsed="false">
      <c r="A473" s="95" t="str">
        <f aca="false">IF(AND(B473="",C473=""),"",ROW()-6)</f>
        <v/>
      </c>
      <c r="B473" s="83"/>
      <c r="C473" s="15"/>
      <c r="D473" s="15"/>
      <c r="E473" s="85"/>
      <c r="F473" s="15"/>
      <c r="G473" s="15"/>
      <c r="H473" s="96"/>
      <c r="I473" s="16"/>
      <c r="J473" s="37" t="str">
        <f aca="false">IF(I473="","",IF(H473="",1,H473)*I473)</f>
        <v/>
      </c>
      <c r="K473" s="15"/>
      <c r="L473" s="97" t="str">
        <f aca="false">IF(C473="","",IF(OR(C473="Material",C473="Equipo",C473="Suministro"),"Materiales y equipos",IF(C473="Mano de obra contratista","Mano de obra contratista",IF(C473="Transporte","Transporte y otros","Alquileres"))))</f>
        <v/>
      </c>
      <c r="M473" s="6"/>
    </row>
    <row r="474" customFormat="false" ht="16.5" hidden="false" customHeight="true" outlineLevel="0" collapsed="false">
      <c r="A474" s="95" t="str">
        <f aca="false">IF(AND(B474="",C474=""),"",ROW()-6)</f>
        <v/>
      </c>
      <c r="B474" s="83"/>
      <c r="C474" s="15"/>
      <c r="D474" s="15"/>
      <c r="E474" s="85"/>
      <c r="F474" s="15"/>
      <c r="G474" s="15"/>
      <c r="H474" s="96"/>
      <c r="I474" s="16"/>
      <c r="J474" s="37" t="str">
        <f aca="false">IF(I474="","",IF(H474="",1,H474)*I474)</f>
        <v/>
      </c>
      <c r="K474" s="15"/>
      <c r="L474" s="97" t="str">
        <f aca="false">IF(C474="","",IF(OR(C474="Material",C474="Equipo",C474="Suministro"),"Materiales y equipos",IF(C474="Mano de obra contratista","Mano de obra contratista",IF(C474="Transporte","Transporte y otros","Alquileres"))))</f>
        <v/>
      </c>
      <c r="M474" s="6"/>
    </row>
    <row r="475" customFormat="false" ht="16.5" hidden="false" customHeight="true" outlineLevel="0" collapsed="false">
      <c r="A475" s="95" t="str">
        <f aca="false">IF(AND(B475="",C475=""),"",ROW()-6)</f>
        <v/>
      </c>
      <c r="B475" s="83"/>
      <c r="C475" s="15"/>
      <c r="D475" s="15"/>
      <c r="E475" s="85"/>
      <c r="F475" s="15"/>
      <c r="G475" s="15"/>
      <c r="H475" s="96"/>
      <c r="I475" s="16"/>
      <c r="J475" s="37" t="str">
        <f aca="false">IF(I475="","",IF(H475="",1,H475)*I475)</f>
        <v/>
      </c>
      <c r="K475" s="15"/>
      <c r="L475" s="97" t="str">
        <f aca="false">IF(C475="","",IF(OR(C475="Material",C475="Equipo",C475="Suministro"),"Materiales y equipos",IF(C475="Mano de obra contratista","Mano de obra contratista",IF(C475="Transporte","Transporte y otros","Alquileres"))))</f>
        <v/>
      </c>
      <c r="M475" s="6"/>
    </row>
    <row r="476" customFormat="false" ht="16.5" hidden="false" customHeight="true" outlineLevel="0" collapsed="false">
      <c r="A476" s="95" t="str">
        <f aca="false">IF(AND(B476="",C476=""),"",ROW()-6)</f>
        <v/>
      </c>
      <c r="B476" s="83"/>
      <c r="C476" s="15"/>
      <c r="D476" s="15"/>
      <c r="E476" s="85"/>
      <c r="F476" s="15"/>
      <c r="G476" s="15"/>
      <c r="H476" s="96"/>
      <c r="I476" s="16"/>
      <c r="J476" s="37" t="str">
        <f aca="false">IF(I476="","",IF(H476="",1,H476)*I476)</f>
        <v/>
      </c>
      <c r="K476" s="15"/>
      <c r="L476" s="97" t="str">
        <f aca="false">IF(C476="","",IF(OR(C476="Material",C476="Equipo",C476="Suministro"),"Materiales y equipos",IF(C476="Mano de obra contratista","Mano de obra contratista",IF(C476="Transporte","Transporte y otros","Alquileres"))))</f>
        <v/>
      </c>
      <c r="M476" s="6"/>
    </row>
    <row r="477" customFormat="false" ht="16.5" hidden="false" customHeight="true" outlineLevel="0" collapsed="false">
      <c r="A477" s="95" t="str">
        <f aca="false">IF(AND(B477="",C477=""),"",ROW()-6)</f>
        <v/>
      </c>
      <c r="B477" s="83"/>
      <c r="C477" s="15"/>
      <c r="D477" s="15"/>
      <c r="E477" s="85"/>
      <c r="F477" s="15"/>
      <c r="G477" s="15"/>
      <c r="H477" s="96"/>
      <c r="I477" s="16"/>
      <c r="J477" s="37" t="str">
        <f aca="false">IF(I477="","",IF(H477="",1,H477)*I477)</f>
        <v/>
      </c>
      <c r="K477" s="15"/>
      <c r="L477" s="97" t="str">
        <f aca="false">IF(C477="","",IF(OR(C477="Material",C477="Equipo",C477="Suministro"),"Materiales y equipos",IF(C477="Mano de obra contratista","Mano de obra contratista",IF(C477="Transporte","Transporte y otros","Alquileres"))))</f>
        <v/>
      </c>
      <c r="M477" s="6"/>
    </row>
    <row r="478" customFormat="false" ht="16.5" hidden="false" customHeight="true" outlineLevel="0" collapsed="false">
      <c r="A478" s="95" t="str">
        <f aca="false">IF(AND(B478="",C478=""),"",ROW()-6)</f>
        <v/>
      </c>
      <c r="B478" s="83"/>
      <c r="C478" s="15"/>
      <c r="D478" s="15"/>
      <c r="E478" s="85"/>
      <c r="F478" s="15"/>
      <c r="G478" s="15"/>
      <c r="H478" s="96"/>
      <c r="I478" s="16"/>
      <c r="J478" s="37" t="str">
        <f aca="false">IF(I478="","",IF(H478="",1,H478)*I478)</f>
        <v/>
      </c>
      <c r="K478" s="15"/>
      <c r="L478" s="97" t="str">
        <f aca="false">IF(C478="","",IF(OR(C478="Material",C478="Equipo",C478="Suministro"),"Materiales y equipos",IF(C478="Mano de obra contratista","Mano de obra contratista",IF(C478="Transporte","Transporte y otros","Alquileres"))))</f>
        <v/>
      </c>
      <c r="M478" s="6"/>
    </row>
    <row r="479" customFormat="false" ht="16.5" hidden="false" customHeight="true" outlineLevel="0" collapsed="false">
      <c r="A479" s="95" t="str">
        <f aca="false">IF(AND(B479="",C479=""),"",ROW()-6)</f>
        <v/>
      </c>
      <c r="B479" s="83"/>
      <c r="C479" s="15"/>
      <c r="D479" s="15"/>
      <c r="E479" s="85"/>
      <c r="F479" s="15"/>
      <c r="G479" s="15"/>
      <c r="H479" s="96"/>
      <c r="I479" s="16"/>
      <c r="J479" s="37" t="str">
        <f aca="false">IF(I479="","",IF(H479="",1,H479)*I479)</f>
        <v/>
      </c>
      <c r="K479" s="15"/>
      <c r="L479" s="97" t="str">
        <f aca="false">IF(C479="","",IF(OR(C479="Material",C479="Equipo",C479="Suministro"),"Materiales y equipos",IF(C479="Mano de obra contratista","Mano de obra contratista",IF(C479="Transporte","Transporte y otros","Alquileres"))))</f>
        <v/>
      </c>
      <c r="M479" s="6"/>
    </row>
    <row r="480" customFormat="false" ht="16.5" hidden="false" customHeight="true" outlineLevel="0" collapsed="false">
      <c r="A480" s="95" t="str">
        <f aca="false">IF(AND(B480="",C480=""),"",ROW()-6)</f>
        <v/>
      </c>
      <c r="B480" s="83"/>
      <c r="C480" s="15"/>
      <c r="D480" s="15"/>
      <c r="E480" s="85"/>
      <c r="F480" s="15"/>
      <c r="G480" s="15"/>
      <c r="H480" s="96"/>
      <c r="I480" s="16"/>
      <c r="J480" s="37" t="str">
        <f aca="false">IF(I480="","",IF(H480="",1,H480)*I480)</f>
        <v/>
      </c>
      <c r="K480" s="15"/>
      <c r="L480" s="97" t="str">
        <f aca="false">IF(C480="","",IF(OR(C480="Material",C480="Equipo",C480="Suministro"),"Materiales y equipos",IF(C480="Mano de obra contratista","Mano de obra contratista",IF(C480="Transporte","Transporte y otros","Alquileres"))))</f>
        <v/>
      </c>
      <c r="M480" s="6"/>
    </row>
    <row r="481" customFormat="false" ht="16.5" hidden="false" customHeight="true" outlineLevel="0" collapsed="false">
      <c r="A481" s="95" t="str">
        <f aca="false">IF(AND(B481="",C481=""),"",ROW()-6)</f>
        <v/>
      </c>
      <c r="B481" s="83"/>
      <c r="C481" s="15"/>
      <c r="D481" s="15"/>
      <c r="E481" s="85"/>
      <c r="F481" s="15"/>
      <c r="G481" s="15"/>
      <c r="H481" s="96"/>
      <c r="I481" s="16"/>
      <c r="J481" s="37" t="str">
        <f aca="false">IF(I481="","",IF(H481="",1,H481)*I481)</f>
        <v/>
      </c>
      <c r="K481" s="15"/>
      <c r="L481" s="97" t="str">
        <f aca="false">IF(C481="","",IF(OR(C481="Material",C481="Equipo",C481="Suministro"),"Materiales y equipos",IF(C481="Mano de obra contratista","Mano de obra contratista",IF(C481="Transporte","Transporte y otros","Alquileres"))))</f>
        <v/>
      </c>
      <c r="M481" s="6"/>
    </row>
    <row r="482" customFormat="false" ht="16.5" hidden="false" customHeight="true" outlineLevel="0" collapsed="false">
      <c r="A482" s="95" t="str">
        <f aca="false">IF(AND(B482="",C482=""),"",ROW()-6)</f>
        <v/>
      </c>
      <c r="B482" s="83"/>
      <c r="C482" s="15"/>
      <c r="D482" s="15"/>
      <c r="E482" s="85"/>
      <c r="F482" s="15"/>
      <c r="G482" s="15"/>
      <c r="H482" s="96"/>
      <c r="I482" s="16"/>
      <c r="J482" s="37" t="str">
        <f aca="false">IF(I482="","",IF(H482="",1,H482)*I482)</f>
        <v/>
      </c>
      <c r="K482" s="15"/>
      <c r="L482" s="97" t="str">
        <f aca="false">IF(C482="","",IF(OR(C482="Material",C482="Equipo",C482="Suministro"),"Materiales y equipos",IF(C482="Mano de obra contratista","Mano de obra contratista",IF(C482="Transporte","Transporte y otros","Alquileres"))))</f>
        <v/>
      </c>
      <c r="M482" s="6"/>
    </row>
    <row r="483" customFormat="false" ht="16.5" hidden="false" customHeight="true" outlineLevel="0" collapsed="false">
      <c r="A483" s="95" t="str">
        <f aca="false">IF(AND(B483="",C483=""),"",ROW()-6)</f>
        <v/>
      </c>
      <c r="B483" s="83"/>
      <c r="C483" s="15"/>
      <c r="D483" s="15"/>
      <c r="E483" s="85"/>
      <c r="F483" s="15"/>
      <c r="G483" s="15"/>
      <c r="H483" s="96"/>
      <c r="I483" s="16"/>
      <c r="J483" s="37" t="str">
        <f aca="false">IF(I483="","",IF(H483="",1,H483)*I483)</f>
        <v/>
      </c>
      <c r="K483" s="15"/>
      <c r="L483" s="97" t="str">
        <f aca="false">IF(C483="","",IF(OR(C483="Material",C483="Equipo",C483="Suministro"),"Materiales y equipos",IF(C483="Mano de obra contratista","Mano de obra contratista",IF(C483="Transporte","Transporte y otros","Alquileres"))))</f>
        <v/>
      </c>
      <c r="M483" s="6"/>
    </row>
    <row r="484" customFormat="false" ht="16.5" hidden="false" customHeight="true" outlineLevel="0" collapsed="false">
      <c r="A484" s="95" t="str">
        <f aca="false">IF(AND(B484="",C484=""),"",ROW()-6)</f>
        <v/>
      </c>
      <c r="B484" s="83"/>
      <c r="C484" s="15"/>
      <c r="D484" s="15"/>
      <c r="E484" s="85"/>
      <c r="F484" s="15"/>
      <c r="G484" s="15"/>
      <c r="H484" s="96"/>
      <c r="I484" s="16"/>
      <c r="J484" s="37" t="str">
        <f aca="false">IF(I484="","",IF(H484="",1,H484)*I484)</f>
        <v/>
      </c>
      <c r="K484" s="15"/>
      <c r="L484" s="97" t="str">
        <f aca="false">IF(C484="","",IF(OR(C484="Material",C484="Equipo",C484="Suministro"),"Materiales y equipos",IF(C484="Mano de obra contratista","Mano de obra contratista",IF(C484="Transporte","Transporte y otros","Alquileres"))))</f>
        <v/>
      </c>
      <c r="M484" s="6"/>
    </row>
    <row r="485" customFormat="false" ht="16.5" hidden="false" customHeight="true" outlineLevel="0" collapsed="false">
      <c r="A485" s="95" t="str">
        <f aca="false">IF(AND(B485="",C485=""),"",ROW()-6)</f>
        <v/>
      </c>
      <c r="B485" s="83"/>
      <c r="C485" s="15"/>
      <c r="D485" s="15"/>
      <c r="E485" s="85"/>
      <c r="F485" s="15"/>
      <c r="G485" s="15"/>
      <c r="H485" s="96"/>
      <c r="I485" s="16"/>
      <c r="J485" s="37" t="str">
        <f aca="false">IF(I485="","",IF(H485="",1,H485)*I485)</f>
        <v/>
      </c>
      <c r="K485" s="15"/>
      <c r="L485" s="97" t="str">
        <f aca="false">IF(C485="","",IF(OR(C485="Material",C485="Equipo",C485="Suministro"),"Materiales y equipos",IF(C485="Mano de obra contratista","Mano de obra contratista",IF(C485="Transporte","Transporte y otros","Alquileres"))))</f>
        <v/>
      </c>
      <c r="M485" s="6"/>
    </row>
    <row r="486" customFormat="false" ht="16.5" hidden="false" customHeight="true" outlineLevel="0" collapsed="false">
      <c r="A486" s="95" t="str">
        <f aca="false">IF(AND(B486="",C486=""),"",ROW()-6)</f>
        <v/>
      </c>
      <c r="B486" s="83"/>
      <c r="C486" s="15"/>
      <c r="D486" s="15"/>
      <c r="E486" s="85"/>
      <c r="F486" s="15"/>
      <c r="G486" s="15"/>
      <c r="H486" s="96"/>
      <c r="I486" s="16"/>
      <c r="J486" s="37" t="str">
        <f aca="false">IF(I486="","",IF(H486="",1,H486)*I486)</f>
        <v/>
      </c>
      <c r="K486" s="15"/>
      <c r="L486" s="97" t="str">
        <f aca="false">IF(C486="","",IF(OR(C486="Material",C486="Equipo",C486="Suministro"),"Materiales y equipos",IF(C486="Mano de obra contratista","Mano de obra contratista",IF(C486="Transporte","Transporte y otros","Alquileres"))))</f>
        <v/>
      </c>
      <c r="M486" s="6"/>
    </row>
    <row r="487" customFormat="false" ht="16.5" hidden="false" customHeight="true" outlineLevel="0" collapsed="false">
      <c r="A487" s="95" t="str">
        <f aca="false">IF(AND(B487="",C487=""),"",ROW()-6)</f>
        <v/>
      </c>
      <c r="B487" s="83"/>
      <c r="C487" s="15"/>
      <c r="D487" s="15"/>
      <c r="E487" s="85"/>
      <c r="F487" s="15"/>
      <c r="G487" s="15"/>
      <c r="H487" s="96"/>
      <c r="I487" s="16"/>
      <c r="J487" s="37" t="str">
        <f aca="false">IF(I487="","",IF(H487="",1,H487)*I487)</f>
        <v/>
      </c>
      <c r="K487" s="15"/>
      <c r="L487" s="97" t="str">
        <f aca="false">IF(C487="","",IF(OR(C487="Material",C487="Equipo",C487="Suministro"),"Materiales y equipos",IF(C487="Mano de obra contratista","Mano de obra contratista",IF(C487="Transporte","Transporte y otros","Alquileres"))))</f>
        <v/>
      </c>
      <c r="M487" s="6"/>
    </row>
    <row r="488" customFormat="false" ht="16.5" hidden="false" customHeight="true" outlineLevel="0" collapsed="false">
      <c r="A488" s="95" t="str">
        <f aca="false">IF(AND(B488="",C488=""),"",ROW()-6)</f>
        <v/>
      </c>
      <c r="B488" s="83"/>
      <c r="C488" s="15"/>
      <c r="D488" s="15"/>
      <c r="E488" s="85"/>
      <c r="F488" s="15"/>
      <c r="G488" s="15"/>
      <c r="H488" s="96"/>
      <c r="I488" s="16"/>
      <c r="J488" s="37" t="str">
        <f aca="false">IF(I488="","",IF(H488="",1,H488)*I488)</f>
        <v/>
      </c>
      <c r="K488" s="15"/>
      <c r="L488" s="97" t="str">
        <f aca="false">IF(C488="","",IF(OR(C488="Material",C488="Equipo",C488="Suministro"),"Materiales y equipos",IF(C488="Mano de obra contratista","Mano de obra contratista",IF(C488="Transporte","Transporte y otros","Alquileres"))))</f>
        <v/>
      </c>
      <c r="M488" s="6"/>
    </row>
    <row r="489" customFormat="false" ht="16.5" hidden="false" customHeight="true" outlineLevel="0" collapsed="false">
      <c r="A489" s="95" t="str">
        <f aca="false">IF(AND(B489="",C489=""),"",ROW()-6)</f>
        <v/>
      </c>
      <c r="B489" s="83"/>
      <c r="C489" s="15"/>
      <c r="D489" s="15"/>
      <c r="E489" s="85"/>
      <c r="F489" s="15"/>
      <c r="G489" s="15"/>
      <c r="H489" s="96"/>
      <c r="I489" s="16"/>
      <c r="J489" s="37" t="str">
        <f aca="false">IF(I489="","",IF(H489="",1,H489)*I489)</f>
        <v/>
      </c>
      <c r="K489" s="15"/>
      <c r="L489" s="97" t="str">
        <f aca="false">IF(C489="","",IF(OR(C489="Material",C489="Equipo",C489="Suministro"),"Materiales y equipos",IF(C489="Mano de obra contratista","Mano de obra contratista",IF(C489="Transporte","Transporte y otros","Alquileres"))))</f>
        <v/>
      </c>
      <c r="M489" s="6"/>
    </row>
    <row r="490" customFormat="false" ht="16.5" hidden="false" customHeight="true" outlineLevel="0" collapsed="false">
      <c r="A490" s="95" t="str">
        <f aca="false">IF(AND(B490="",C490=""),"",ROW()-6)</f>
        <v/>
      </c>
      <c r="B490" s="83"/>
      <c r="C490" s="15"/>
      <c r="D490" s="15"/>
      <c r="E490" s="85"/>
      <c r="F490" s="15"/>
      <c r="G490" s="15"/>
      <c r="H490" s="96"/>
      <c r="I490" s="16"/>
      <c r="J490" s="37" t="str">
        <f aca="false">IF(I490="","",IF(H490="",1,H490)*I490)</f>
        <v/>
      </c>
      <c r="K490" s="15"/>
      <c r="L490" s="97" t="str">
        <f aca="false">IF(C490="","",IF(OR(C490="Material",C490="Equipo",C490="Suministro"),"Materiales y equipos",IF(C490="Mano de obra contratista","Mano de obra contratista",IF(C490="Transporte","Transporte y otros","Alquileres"))))</f>
        <v/>
      </c>
      <c r="M490" s="6"/>
    </row>
    <row r="491" customFormat="false" ht="16.5" hidden="false" customHeight="true" outlineLevel="0" collapsed="false">
      <c r="A491" s="95" t="str">
        <f aca="false">IF(AND(B491="",C491=""),"",ROW()-6)</f>
        <v/>
      </c>
      <c r="B491" s="83"/>
      <c r="C491" s="15"/>
      <c r="D491" s="15"/>
      <c r="E491" s="85"/>
      <c r="F491" s="15"/>
      <c r="G491" s="15"/>
      <c r="H491" s="96"/>
      <c r="I491" s="16"/>
      <c r="J491" s="37" t="str">
        <f aca="false">IF(I491="","",IF(H491="",1,H491)*I491)</f>
        <v/>
      </c>
      <c r="K491" s="15"/>
      <c r="L491" s="97" t="str">
        <f aca="false">IF(C491="","",IF(OR(C491="Material",C491="Equipo",C491="Suministro"),"Materiales y equipos",IF(C491="Mano de obra contratista","Mano de obra contratista",IF(C491="Transporte","Transporte y otros","Alquileres"))))</f>
        <v/>
      </c>
      <c r="M491" s="6"/>
    </row>
    <row r="492" customFormat="false" ht="16.5" hidden="false" customHeight="true" outlineLevel="0" collapsed="false">
      <c r="A492" s="95" t="str">
        <f aca="false">IF(AND(B492="",C492=""),"",ROW()-6)</f>
        <v/>
      </c>
      <c r="B492" s="83"/>
      <c r="C492" s="15"/>
      <c r="D492" s="15"/>
      <c r="E492" s="85"/>
      <c r="F492" s="15"/>
      <c r="G492" s="15"/>
      <c r="H492" s="96"/>
      <c r="I492" s="16"/>
      <c r="J492" s="37" t="str">
        <f aca="false">IF(I492="","",IF(H492="",1,H492)*I492)</f>
        <v/>
      </c>
      <c r="K492" s="15"/>
      <c r="L492" s="97" t="str">
        <f aca="false">IF(C492="","",IF(OR(C492="Material",C492="Equipo",C492="Suministro"),"Materiales y equipos",IF(C492="Mano de obra contratista","Mano de obra contratista",IF(C492="Transporte","Transporte y otros","Alquileres"))))</f>
        <v/>
      </c>
      <c r="M492" s="6"/>
    </row>
    <row r="493" customFormat="false" ht="16.5" hidden="false" customHeight="true" outlineLevel="0" collapsed="false">
      <c r="A493" s="95" t="str">
        <f aca="false">IF(AND(B493="",C493=""),"",ROW()-6)</f>
        <v/>
      </c>
      <c r="B493" s="83"/>
      <c r="C493" s="15"/>
      <c r="D493" s="15"/>
      <c r="E493" s="85"/>
      <c r="F493" s="15"/>
      <c r="G493" s="15"/>
      <c r="H493" s="96"/>
      <c r="I493" s="16"/>
      <c r="J493" s="37" t="str">
        <f aca="false">IF(I493="","",IF(H493="",1,H493)*I493)</f>
        <v/>
      </c>
      <c r="K493" s="15"/>
      <c r="L493" s="97" t="str">
        <f aca="false">IF(C493="","",IF(OR(C493="Material",C493="Equipo",C493="Suministro"),"Materiales y equipos",IF(C493="Mano de obra contratista","Mano de obra contratista",IF(C493="Transporte","Transporte y otros","Alquileres"))))</f>
        <v/>
      </c>
      <c r="M493" s="6"/>
    </row>
    <row r="494" customFormat="false" ht="16.5" hidden="false" customHeight="true" outlineLevel="0" collapsed="false">
      <c r="A494" s="95" t="str">
        <f aca="false">IF(AND(B494="",C494=""),"",ROW()-6)</f>
        <v/>
      </c>
      <c r="B494" s="83"/>
      <c r="C494" s="15"/>
      <c r="D494" s="15"/>
      <c r="E494" s="85"/>
      <c r="F494" s="15"/>
      <c r="G494" s="15"/>
      <c r="H494" s="96"/>
      <c r="I494" s="16"/>
      <c r="J494" s="37" t="str">
        <f aca="false">IF(I494="","",IF(H494="",1,H494)*I494)</f>
        <v/>
      </c>
      <c r="K494" s="15"/>
      <c r="L494" s="97" t="str">
        <f aca="false">IF(C494="","",IF(OR(C494="Material",C494="Equipo",C494="Suministro"),"Materiales y equipos",IF(C494="Mano de obra contratista","Mano de obra contratista",IF(C494="Transporte","Transporte y otros","Alquileres"))))</f>
        <v/>
      </c>
      <c r="M494" s="6"/>
    </row>
    <row r="495" customFormat="false" ht="16.5" hidden="false" customHeight="true" outlineLevel="0" collapsed="false">
      <c r="A495" s="95" t="str">
        <f aca="false">IF(AND(B495="",C495=""),"",ROW()-6)</f>
        <v/>
      </c>
      <c r="B495" s="83"/>
      <c r="C495" s="15"/>
      <c r="D495" s="15"/>
      <c r="E495" s="85"/>
      <c r="F495" s="15"/>
      <c r="G495" s="15"/>
      <c r="H495" s="96"/>
      <c r="I495" s="16"/>
      <c r="J495" s="37" t="str">
        <f aca="false">IF(I495="","",IF(H495="",1,H495)*I495)</f>
        <v/>
      </c>
      <c r="K495" s="15"/>
      <c r="L495" s="97" t="str">
        <f aca="false">IF(C495="","",IF(OR(C495="Material",C495="Equipo",C495="Suministro"),"Materiales y equipos",IF(C495="Mano de obra contratista","Mano de obra contratista",IF(C495="Transporte","Transporte y otros","Alquileres"))))</f>
        <v/>
      </c>
      <c r="M495" s="6"/>
    </row>
    <row r="496" customFormat="false" ht="16.5" hidden="false" customHeight="true" outlineLevel="0" collapsed="false">
      <c r="A496" s="95" t="str">
        <f aca="false">IF(AND(B496="",C496=""),"",ROW()-6)</f>
        <v/>
      </c>
      <c r="B496" s="83"/>
      <c r="C496" s="15"/>
      <c r="D496" s="15"/>
      <c r="E496" s="85"/>
      <c r="F496" s="15"/>
      <c r="G496" s="15"/>
      <c r="H496" s="96"/>
      <c r="I496" s="16"/>
      <c r="J496" s="37" t="str">
        <f aca="false">IF(I496="","",IF(H496="",1,H496)*I496)</f>
        <v/>
      </c>
      <c r="K496" s="15"/>
      <c r="L496" s="97" t="str">
        <f aca="false">IF(C496="","",IF(OR(C496="Material",C496="Equipo",C496="Suministro"),"Materiales y equipos",IF(C496="Mano de obra contratista","Mano de obra contratista",IF(C496="Transporte","Transporte y otros","Alquileres"))))</f>
        <v/>
      </c>
      <c r="M496" s="6"/>
    </row>
    <row r="497" customFormat="false" ht="16.5" hidden="false" customHeight="true" outlineLevel="0" collapsed="false">
      <c r="A497" s="95" t="str">
        <f aca="false">IF(AND(B497="",C497=""),"",ROW()-6)</f>
        <v/>
      </c>
      <c r="B497" s="83"/>
      <c r="C497" s="15"/>
      <c r="D497" s="15"/>
      <c r="E497" s="85"/>
      <c r="F497" s="15"/>
      <c r="G497" s="15"/>
      <c r="H497" s="96"/>
      <c r="I497" s="16"/>
      <c r="J497" s="37" t="str">
        <f aca="false">IF(I497="","",IF(H497="",1,H497)*I497)</f>
        <v/>
      </c>
      <c r="K497" s="15"/>
      <c r="L497" s="97" t="str">
        <f aca="false">IF(C497="","",IF(OR(C497="Material",C497="Equipo",C497="Suministro"),"Materiales y equipos",IF(C497="Mano de obra contratista","Mano de obra contratista",IF(C497="Transporte","Transporte y otros","Alquileres"))))</f>
        <v/>
      </c>
      <c r="M497" s="6"/>
    </row>
    <row r="498" customFormat="false" ht="16.5" hidden="false" customHeight="true" outlineLevel="0" collapsed="false">
      <c r="A498" s="95" t="str">
        <f aca="false">IF(AND(B498="",C498=""),"",ROW()-6)</f>
        <v/>
      </c>
      <c r="B498" s="83"/>
      <c r="C498" s="15"/>
      <c r="D498" s="15"/>
      <c r="E498" s="85"/>
      <c r="F498" s="15"/>
      <c r="G498" s="15"/>
      <c r="H498" s="96"/>
      <c r="I498" s="16"/>
      <c r="J498" s="37" t="str">
        <f aca="false">IF(I498="","",IF(H498="",1,H498)*I498)</f>
        <v/>
      </c>
      <c r="K498" s="15"/>
      <c r="L498" s="97" t="str">
        <f aca="false">IF(C498="","",IF(OR(C498="Material",C498="Equipo",C498="Suministro"),"Materiales y equipos",IF(C498="Mano de obra contratista","Mano de obra contratista",IF(C498="Transporte","Transporte y otros","Alquileres"))))</f>
        <v/>
      </c>
      <c r="M498" s="6"/>
    </row>
    <row r="499" customFormat="false" ht="16.5" hidden="false" customHeight="true" outlineLevel="0" collapsed="false">
      <c r="A499" s="95" t="str">
        <f aca="false">IF(AND(B499="",C499=""),"",ROW()-6)</f>
        <v/>
      </c>
      <c r="B499" s="83"/>
      <c r="C499" s="15"/>
      <c r="D499" s="15"/>
      <c r="E499" s="85"/>
      <c r="F499" s="15"/>
      <c r="G499" s="15"/>
      <c r="H499" s="96"/>
      <c r="I499" s="16"/>
      <c r="J499" s="37" t="str">
        <f aca="false">IF(I499="","",IF(H499="",1,H499)*I499)</f>
        <v/>
      </c>
      <c r="K499" s="15"/>
      <c r="L499" s="97" t="str">
        <f aca="false">IF(C499="","",IF(OR(C499="Material",C499="Equipo",C499="Suministro"),"Materiales y equipos",IF(C499="Mano de obra contratista","Mano de obra contratista",IF(C499="Transporte","Transporte y otros","Alquileres"))))</f>
        <v/>
      </c>
      <c r="M499" s="6"/>
    </row>
    <row r="500" customFormat="false" ht="16.5" hidden="false" customHeight="true" outlineLevel="0" collapsed="false">
      <c r="A500" s="95" t="str">
        <f aca="false">IF(AND(B500="",C500=""),"",ROW()-6)</f>
        <v/>
      </c>
      <c r="B500" s="83"/>
      <c r="C500" s="15"/>
      <c r="D500" s="15"/>
      <c r="E500" s="85"/>
      <c r="F500" s="15"/>
      <c r="G500" s="15"/>
      <c r="H500" s="96"/>
      <c r="I500" s="16"/>
      <c r="J500" s="37" t="str">
        <f aca="false">IF(I500="","",IF(H500="",1,H500)*I500)</f>
        <v/>
      </c>
      <c r="K500" s="15"/>
      <c r="L500" s="97" t="str">
        <f aca="false">IF(C500="","",IF(OR(C500="Material",C500="Equipo",C500="Suministro"),"Materiales y equipos",IF(C500="Mano de obra contratista","Mano de obra contratista",IF(C500="Transporte","Transporte y otros","Alquileres"))))</f>
        <v/>
      </c>
      <c r="M500" s="6"/>
    </row>
    <row r="501" customFormat="false" ht="16.5" hidden="false" customHeight="true" outlineLevel="0" collapsed="false">
      <c r="A501" s="95" t="str">
        <f aca="false">IF(AND(B501="",C501=""),"",ROW()-6)</f>
        <v/>
      </c>
      <c r="B501" s="83"/>
      <c r="C501" s="15"/>
      <c r="D501" s="15"/>
      <c r="E501" s="85"/>
      <c r="F501" s="15"/>
      <c r="G501" s="15"/>
      <c r="H501" s="96"/>
      <c r="I501" s="16"/>
      <c r="J501" s="37" t="str">
        <f aca="false">IF(I501="","",IF(H501="",1,H501)*I501)</f>
        <v/>
      </c>
      <c r="K501" s="15"/>
      <c r="L501" s="97" t="str">
        <f aca="false">IF(C501="","",IF(OR(C501="Material",C501="Equipo",C501="Suministro"),"Materiales y equipos",IF(C501="Mano de obra contratista","Mano de obra contratista",IF(C501="Transporte","Transporte y otros","Alquileres"))))</f>
        <v/>
      </c>
      <c r="M501" s="6"/>
    </row>
    <row r="502" customFormat="false" ht="16.5" hidden="false" customHeight="true" outlineLevel="0" collapsed="false">
      <c r="A502" s="95" t="str">
        <f aca="false">IF(AND(B502="",C502=""),"",ROW()-6)</f>
        <v/>
      </c>
      <c r="B502" s="83"/>
      <c r="C502" s="15"/>
      <c r="D502" s="15"/>
      <c r="E502" s="85"/>
      <c r="F502" s="15"/>
      <c r="G502" s="15"/>
      <c r="H502" s="96"/>
      <c r="I502" s="16"/>
      <c r="J502" s="37" t="str">
        <f aca="false">IF(I502="","",IF(H502="",1,H502)*I502)</f>
        <v/>
      </c>
      <c r="K502" s="15"/>
      <c r="L502" s="97" t="str">
        <f aca="false">IF(C502="","",IF(OR(C502="Material",C502="Equipo",C502="Suministro"),"Materiales y equipos",IF(C502="Mano de obra contratista","Mano de obra contratista",IF(C502="Transporte","Transporte y otros","Alquileres"))))</f>
        <v/>
      </c>
      <c r="M502" s="6"/>
    </row>
    <row r="503" customFormat="false" ht="16.5" hidden="false" customHeight="true" outlineLevel="0" collapsed="false">
      <c r="A503" s="95" t="str">
        <f aca="false">IF(AND(B503="",C503=""),"",ROW()-6)</f>
        <v/>
      </c>
      <c r="B503" s="83"/>
      <c r="C503" s="15"/>
      <c r="D503" s="15"/>
      <c r="E503" s="85"/>
      <c r="F503" s="15"/>
      <c r="G503" s="15"/>
      <c r="H503" s="96"/>
      <c r="I503" s="16"/>
      <c r="J503" s="37" t="str">
        <f aca="false">IF(I503="","",IF(H503="",1,H503)*I503)</f>
        <v/>
      </c>
      <c r="K503" s="15"/>
      <c r="L503" s="97" t="str">
        <f aca="false">IF(C503="","",IF(OR(C503="Material",C503="Equipo",C503="Suministro"),"Materiales y equipos",IF(C503="Mano de obra contratista","Mano de obra contratista",IF(C503="Transporte","Transporte y otros","Alquileres"))))</f>
        <v/>
      </c>
      <c r="M503" s="6"/>
    </row>
    <row r="504" customFormat="false" ht="16.5" hidden="false" customHeight="true" outlineLevel="0" collapsed="false">
      <c r="A504" s="95" t="str">
        <f aca="false">IF(AND(B504="",C504=""),"",ROW()-6)</f>
        <v/>
      </c>
      <c r="B504" s="83"/>
      <c r="C504" s="15"/>
      <c r="D504" s="15"/>
      <c r="E504" s="85"/>
      <c r="F504" s="15"/>
      <c r="G504" s="15"/>
      <c r="H504" s="96"/>
      <c r="I504" s="16"/>
      <c r="J504" s="37" t="str">
        <f aca="false">IF(I504="","",IF(H504="",1,H504)*I504)</f>
        <v/>
      </c>
      <c r="K504" s="15"/>
      <c r="L504" s="97" t="str">
        <f aca="false">IF(C504="","",IF(OR(C504="Material",C504="Equipo",C504="Suministro"),"Materiales y equipos",IF(C504="Mano de obra contratista","Mano de obra contratista",IF(C504="Transporte","Transporte y otros","Alquileres"))))</f>
        <v/>
      </c>
      <c r="M504" s="6"/>
    </row>
    <row r="505" customFormat="false" ht="16.5" hidden="false" customHeight="true" outlineLevel="0" collapsed="false">
      <c r="A505" s="95" t="str">
        <f aca="false">IF(AND(B505="",C505=""),"",ROW()-6)</f>
        <v/>
      </c>
      <c r="B505" s="83"/>
      <c r="C505" s="15"/>
      <c r="D505" s="15"/>
      <c r="E505" s="85"/>
      <c r="F505" s="15"/>
      <c r="G505" s="15"/>
      <c r="H505" s="96"/>
      <c r="I505" s="16"/>
      <c r="J505" s="37" t="str">
        <f aca="false">IF(I505="","",IF(H505="",1,H505)*I505)</f>
        <v/>
      </c>
      <c r="K505" s="15"/>
      <c r="L505" s="97" t="str">
        <f aca="false">IF(C505="","",IF(OR(C505="Material",C505="Equipo",C505="Suministro"),"Materiales y equipos",IF(C505="Mano de obra contratista","Mano de obra contratista",IF(C505="Transporte","Transporte y otros","Alquileres"))))</f>
        <v/>
      </c>
      <c r="M505" s="6"/>
    </row>
    <row r="506" customFormat="false" ht="16.5" hidden="false" customHeight="true" outlineLevel="0" collapsed="false">
      <c r="A506" s="95" t="str">
        <f aca="false">IF(AND(B506="",C506=""),"",ROW()-6)</f>
        <v/>
      </c>
      <c r="B506" s="83"/>
      <c r="C506" s="15"/>
      <c r="D506" s="15"/>
      <c r="E506" s="85"/>
      <c r="F506" s="15"/>
      <c r="G506" s="15"/>
      <c r="H506" s="96"/>
      <c r="I506" s="16"/>
      <c r="J506" s="37" t="str">
        <f aca="false">IF(I506="","",IF(H506="",1,H506)*I506)</f>
        <v/>
      </c>
      <c r="K506" s="15"/>
      <c r="L506" s="97" t="str">
        <f aca="false">IF(C506="","",IF(OR(C506="Material",C506="Equipo",C506="Suministro"),"Materiales y equipos",IF(C506="Mano de obra contratista","Mano de obra contratista",IF(C506="Transporte","Transporte y otros","Alquileres"))))</f>
        <v/>
      </c>
      <c r="M506" s="6"/>
    </row>
    <row r="507" customFormat="false" ht="16.5" hidden="false" customHeight="true" outlineLevel="0" collapsed="false">
      <c r="A507" s="95" t="str">
        <f aca="false">IF(AND(B507="",C507=""),"",ROW()-6)</f>
        <v/>
      </c>
      <c r="B507" s="83"/>
      <c r="C507" s="15"/>
      <c r="D507" s="15"/>
      <c r="E507" s="85"/>
      <c r="F507" s="15"/>
      <c r="G507" s="15"/>
      <c r="H507" s="96"/>
      <c r="I507" s="16"/>
      <c r="J507" s="37" t="str">
        <f aca="false">IF(I507="","",IF(H507="",1,H507)*I507)</f>
        <v/>
      </c>
      <c r="K507" s="15"/>
      <c r="L507" s="97" t="str">
        <f aca="false">IF(C507="","",IF(OR(C507="Material",C507="Equipo",C507="Suministro"),"Materiales y equipos",IF(C507="Mano de obra contratista","Mano de obra contratista",IF(C507="Transporte","Transporte y otros","Alquileres"))))</f>
        <v/>
      </c>
      <c r="M507" s="6"/>
    </row>
    <row r="508" customFormat="false" ht="16.5" hidden="false" customHeight="true" outlineLevel="0" collapsed="false">
      <c r="A508" s="95" t="str">
        <f aca="false">IF(AND(B508="",C508=""),"",ROW()-6)</f>
        <v/>
      </c>
      <c r="B508" s="83"/>
      <c r="C508" s="15"/>
      <c r="D508" s="15"/>
      <c r="E508" s="85"/>
      <c r="F508" s="15"/>
      <c r="G508" s="15"/>
      <c r="H508" s="96"/>
      <c r="I508" s="16"/>
      <c r="J508" s="37" t="str">
        <f aca="false">IF(I508="","",IF(H508="",1,H508)*I508)</f>
        <v/>
      </c>
      <c r="K508" s="15"/>
      <c r="L508" s="97" t="str">
        <f aca="false">IF(C508="","",IF(OR(C508="Material",C508="Equipo",C508="Suministro"),"Materiales y equipos",IF(C508="Mano de obra contratista","Mano de obra contratista",IF(C508="Transporte","Transporte y otros","Alquileres"))))</f>
        <v/>
      </c>
      <c r="M508" s="6"/>
    </row>
    <row r="509" customFormat="false" ht="16.5" hidden="false" customHeight="true" outlineLevel="0" collapsed="false">
      <c r="A509" s="95" t="str">
        <f aca="false">IF(AND(B509="",C509=""),"",ROW()-6)</f>
        <v/>
      </c>
      <c r="B509" s="83"/>
      <c r="C509" s="15"/>
      <c r="D509" s="15"/>
      <c r="E509" s="85"/>
      <c r="F509" s="15"/>
      <c r="G509" s="15"/>
      <c r="H509" s="96"/>
      <c r="I509" s="16"/>
      <c r="J509" s="37" t="str">
        <f aca="false">IF(I509="","",IF(H509="",1,H509)*I509)</f>
        <v/>
      </c>
      <c r="K509" s="15"/>
      <c r="L509" s="97" t="str">
        <f aca="false">IF(C509="","",IF(OR(C509="Material",C509="Equipo",C509="Suministro"),"Materiales y equipos",IF(C509="Mano de obra contratista","Mano de obra contratista",IF(C509="Transporte","Transporte y otros","Alquileres"))))</f>
        <v/>
      </c>
      <c r="M509" s="6"/>
    </row>
    <row r="510" customFormat="false" ht="16.5" hidden="false" customHeight="true" outlineLevel="0" collapsed="false">
      <c r="A510" s="95" t="str">
        <f aca="false">IF(AND(B510="",C510=""),"",ROW()-6)</f>
        <v/>
      </c>
      <c r="B510" s="83"/>
      <c r="C510" s="15"/>
      <c r="D510" s="15"/>
      <c r="E510" s="85"/>
      <c r="F510" s="15"/>
      <c r="G510" s="15"/>
      <c r="H510" s="96"/>
      <c r="I510" s="16"/>
      <c r="J510" s="37" t="str">
        <f aca="false">IF(I510="","",IF(H510="",1,H510)*I510)</f>
        <v/>
      </c>
      <c r="K510" s="15"/>
      <c r="L510" s="97" t="str">
        <f aca="false">IF(C510="","",IF(OR(C510="Material",C510="Equipo",C510="Suministro"),"Materiales y equipos",IF(C510="Mano de obra contratista","Mano de obra contratista",IF(C510="Transporte","Transporte y otros","Alquileres"))))</f>
        <v/>
      </c>
      <c r="M510" s="6"/>
    </row>
    <row r="511" customFormat="false" ht="16.5" hidden="false" customHeight="true" outlineLevel="0" collapsed="false">
      <c r="A511" s="95" t="str">
        <f aca="false">IF(AND(B511="",C511=""),"",ROW()-6)</f>
        <v/>
      </c>
      <c r="B511" s="83"/>
      <c r="C511" s="15"/>
      <c r="D511" s="15"/>
      <c r="E511" s="85"/>
      <c r="F511" s="15"/>
      <c r="G511" s="15"/>
      <c r="H511" s="96"/>
      <c r="I511" s="16"/>
      <c r="J511" s="37" t="str">
        <f aca="false">IF(I511="","",IF(H511="",1,H511)*I511)</f>
        <v/>
      </c>
      <c r="K511" s="15"/>
      <c r="L511" s="97" t="str">
        <f aca="false">IF(C511="","",IF(OR(C511="Material",C511="Equipo",C511="Suministro"),"Materiales y equipos",IF(C511="Mano de obra contratista","Mano de obra contratista",IF(C511="Transporte","Transporte y otros","Alquileres"))))</f>
        <v/>
      </c>
      <c r="M511" s="6"/>
    </row>
    <row r="512" customFormat="false" ht="16.5" hidden="false" customHeight="true" outlineLevel="0" collapsed="false">
      <c r="A512" s="95" t="str">
        <f aca="false">IF(AND(B512="",C512=""),"",ROW()-6)</f>
        <v/>
      </c>
      <c r="B512" s="83"/>
      <c r="C512" s="15"/>
      <c r="D512" s="15"/>
      <c r="E512" s="85"/>
      <c r="F512" s="15"/>
      <c r="G512" s="15"/>
      <c r="H512" s="96"/>
      <c r="I512" s="16"/>
      <c r="J512" s="37" t="str">
        <f aca="false">IF(I512="","",IF(H512="",1,H512)*I512)</f>
        <v/>
      </c>
      <c r="K512" s="15"/>
      <c r="L512" s="97" t="str">
        <f aca="false">IF(C512="","",IF(OR(C512="Material",C512="Equipo",C512="Suministro"),"Materiales y equipos",IF(C512="Mano de obra contratista","Mano de obra contratista",IF(C512="Transporte","Transporte y otros","Alquileres"))))</f>
        <v/>
      </c>
      <c r="M512" s="6"/>
    </row>
    <row r="513" customFormat="false" ht="16.5" hidden="false" customHeight="true" outlineLevel="0" collapsed="false">
      <c r="A513" s="95" t="str">
        <f aca="false">IF(AND(B513="",C513=""),"",ROW()-6)</f>
        <v/>
      </c>
      <c r="B513" s="83"/>
      <c r="C513" s="15"/>
      <c r="D513" s="15"/>
      <c r="E513" s="85"/>
      <c r="F513" s="15"/>
      <c r="G513" s="15"/>
      <c r="H513" s="96"/>
      <c r="I513" s="16"/>
      <c r="J513" s="37" t="str">
        <f aca="false">IF(I513="","",IF(H513="",1,H513)*I513)</f>
        <v/>
      </c>
      <c r="K513" s="15"/>
      <c r="L513" s="97" t="str">
        <f aca="false">IF(C513="","",IF(OR(C513="Material",C513="Equipo",C513="Suministro"),"Materiales y equipos",IF(C513="Mano de obra contratista","Mano de obra contratista",IF(C513="Transporte","Transporte y otros","Alquileres"))))</f>
        <v/>
      </c>
      <c r="M513" s="6"/>
    </row>
    <row r="514" customFormat="false" ht="16.5" hidden="false" customHeight="true" outlineLevel="0" collapsed="false">
      <c r="A514" s="95" t="str">
        <f aca="false">IF(AND(B514="",C514=""),"",ROW()-6)</f>
        <v/>
      </c>
      <c r="B514" s="83"/>
      <c r="C514" s="15"/>
      <c r="D514" s="15"/>
      <c r="E514" s="85"/>
      <c r="F514" s="15"/>
      <c r="G514" s="15"/>
      <c r="H514" s="96"/>
      <c r="I514" s="16"/>
      <c r="J514" s="37" t="str">
        <f aca="false">IF(I514="","",IF(H514="",1,H514)*I514)</f>
        <v/>
      </c>
      <c r="K514" s="15"/>
      <c r="L514" s="97" t="str">
        <f aca="false">IF(C514="","",IF(OR(C514="Material",C514="Equipo",C514="Suministro"),"Materiales y equipos",IF(C514="Mano de obra contratista","Mano de obra contratista",IF(C514="Transporte","Transporte y otros","Alquileres"))))</f>
        <v/>
      </c>
      <c r="M514" s="6"/>
    </row>
    <row r="515" customFormat="false" ht="16.5" hidden="false" customHeight="true" outlineLevel="0" collapsed="false">
      <c r="A515" s="95" t="str">
        <f aca="false">IF(AND(B515="",C515=""),"",ROW()-6)</f>
        <v/>
      </c>
      <c r="B515" s="83"/>
      <c r="C515" s="15"/>
      <c r="D515" s="15"/>
      <c r="E515" s="85"/>
      <c r="F515" s="15"/>
      <c r="G515" s="15"/>
      <c r="H515" s="96"/>
      <c r="I515" s="16"/>
      <c r="J515" s="37" t="str">
        <f aca="false">IF(I515="","",IF(H515="",1,H515)*I515)</f>
        <v/>
      </c>
      <c r="K515" s="15"/>
      <c r="L515" s="97" t="str">
        <f aca="false">IF(C515="","",IF(OR(C515="Material",C515="Equipo",C515="Suministro"),"Materiales y equipos",IF(C515="Mano de obra contratista","Mano de obra contratista",IF(C515="Transporte","Transporte y otros","Alquileres"))))</f>
        <v/>
      </c>
      <c r="M515" s="6"/>
    </row>
    <row r="516" customFormat="false" ht="16.5" hidden="false" customHeight="true" outlineLevel="0" collapsed="false">
      <c r="A516" s="95" t="str">
        <f aca="false">IF(AND(B516="",C516=""),"",ROW()-6)</f>
        <v/>
      </c>
      <c r="B516" s="83"/>
      <c r="C516" s="15"/>
      <c r="D516" s="15"/>
      <c r="E516" s="85"/>
      <c r="F516" s="15"/>
      <c r="G516" s="15"/>
      <c r="H516" s="96"/>
      <c r="I516" s="16"/>
      <c r="J516" s="37" t="str">
        <f aca="false">IF(I516="","",IF(H516="",1,H516)*I516)</f>
        <v/>
      </c>
      <c r="K516" s="15"/>
      <c r="L516" s="97" t="str">
        <f aca="false">IF(C516="","",IF(OR(C516="Material",C516="Equipo",C516="Suministro"),"Materiales y equipos",IF(C516="Mano de obra contratista","Mano de obra contratista",IF(C516="Transporte","Transporte y otros","Alquileres"))))</f>
        <v/>
      </c>
      <c r="M516" s="6"/>
    </row>
    <row r="517" customFormat="false" ht="16.5" hidden="false" customHeight="true" outlineLevel="0" collapsed="false">
      <c r="A517" s="95" t="str">
        <f aca="false">IF(AND(B517="",C517=""),"",ROW()-6)</f>
        <v/>
      </c>
      <c r="B517" s="83"/>
      <c r="C517" s="15"/>
      <c r="D517" s="15"/>
      <c r="E517" s="85"/>
      <c r="F517" s="15"/>
      <c r="G517" s="15"/>
      <c r="H517" s="96"/>
      <c r="I517" s="16"/>
      <c r="J517" s="37" t="str">
        <f aca="false">IF(I517="","",IF(H517="",1,H517)*I517)</f>
        <v/>
      </c>
      <c r="K517" s="15"/>
      <c r="L517" s="97" t="str">
        <f aca="false">IF(C517="","",IF(OR(C517="Material",C517="Equipo",C517="Suministro"),"Materiales y equipos",IF(C517="Mano de obra contratista","Mano de obra contratista",IF(C517="Transporte","Transporte y otros","Alquileres"))))</f>
        <v/>
      </c>
      <c r="M517" s="6"/>
    </row>
    <row r="518" customFormat="false" ht="16.5" hidden="false" customHeight="true" outlineLevel="0" collapsed="false">
      <c r="A518" s="95" t="str">
        <f aca="false">IF(AND(B518="",C518=""),"",ROW()-6)</f>
        <v/>
      </c>
      <c r="B518" s="83"/>
      <c r="C518" s="15"/>
      <c r="D518" s="15"/>
      <c r="E518" s="85"/>
      <c r="F518" s="15"/>
      <c r="G518" s="15"/>
      <c r="H518" s="96"/>
      <c r="I518" s="16"/>
      <c r="J518" s="37" t="str">
        <f aca="false">IF(I518="","",IF(H518="",1,H518)*I518)</f>
        <v/>
      </c>
      <c r="K518" s="15"/>
      <c r="L518" s="97" t="str">
        <f aca="false">IF(C518="","",IF(OR(C518="Material",C518="Equipo",C518="Suministro"),"Materiales y equipos",IF(C518="Mano de obra contratista","Mano de obra contratista",IF(C518="Transporte","Transporte y otros","Alquileres"))))</f>
        <v/>
      </c>
      <c r="M518" s="6"/>
    </row>
    <row r="519" customFormat="false" ht="16.5" hidden="false" customHeight="true" outlineLevel="0" collapsed="false">
      <c r="A519" s="95" t="str">
        <f aca="false">IF(AND(B519="",C519=""),"",ROW()-6)</f>
        <v/>
      </c>
      <c r="B519" s="83"/>
      <c r="C519" s="15"/>
      <c r="D519" s="15"/>
      <c r="E519" s="85"/>
      <c r="F519" s="15"/>
      <c r="G519" s="15"/>
      <c r="H519" s="96"/>
      <c r="I519" s="16"/>
      <c r="J519" s="37" t="str">
        <f aca="false">IF(I519="","",IF(H519="",1,H519)*I519)</f>
        <v/>
      </c>
      <c r="K519" s="15"/>
      <c r="L519" s="97" t="str">
        <f aca="false">IF(C519="","",IF(OR(C519="Material",C519="Equipo",C519="Suministro"),"Materiales y equipos",IF(C519="Mano de obra contratista","Mano de obra contratista",IF(C519="Transporte","Transporte y otros","Alquileres"))))</f>
        <v/>
      </c>
      <c r="M519" s="6"/>
    </row>
    <row r="520" customFormat="false" ht="16.5" hidden="false" customHeight="true" outlineLevel="0" collapsed="false">
      <c r="A520" s="95" t="str">
        <f aca="false">IF(AND(B520="",C520=""),"",ROW()-6)</f>
        <v/>
      </c>
      <c r="B520" s="83"/>
      <c r="C520" s="15"/>
      <c r="D520" s="15"/>
      <c r="E520" s="85"/>
      <c r="F520" s="15"/>
      <c r="G520" s="15"/>
      <c r="H520" s="96"/>
      <c r="I520" s="16"/>
      <c r="J520" s="37" t="str">
        <f aca="false">IF(I520="","",IF(H520="",1,H520)*I520)</f>
        <v/>
      </c>
      <c r="K520" s="15"/>
      <c r="L520" s="97" t="str">
        <f aca="false">IF(C520="","",IF(OR(C520="Material",C520="Equipo",C520="Suministro"),"Materiales y equipos",IF(C520="Mano de obra contratista","Mano de obra contratista",IF(C520="Transporte","Transporte y otros","Alquileres"))))</f>
        <v/>
      </c>
      <c r="M520" s="6"/>
    </row>
    <row r="521" customFormat="false" ht="16.5" hidden="false" customHeight="true" outlineLevel="0" collapsed="false">
      <c r="A521" s="95" t="str">
        <f aca="false">IF(AND(B521="",C521=""),"",ROW()-6)</f>
        <v/>
      </c>
      <c r="B521" s="83"/>
      <c r="C521" s="15"/>
      <c r="D521" s="15"/>
      <c r="E521" s="85"/>
      <c r="F521" s="15"/>
      <c r="G521" s="15"/>
      <c r="H521" s="96"/>
      <c r="I521" s="16"/>
      <c r="J521" s="37" t="str">
        <f aca="false">IF(I521="","",IF(H521="",1,H521)*I521)</f>
        <v/>
      </c>
      <c r="K521" s="15"/>
      <c r="L521" s="97" t="str">
        <f aca="false">IF(C521="","",IF(OR(C521="Material",C521="Equipo",C521="Suministro"),"Materiales y equipos",IF(C521="Mano de obra contratista","Mano de obra contratista",IF(C521="Transporte","Transporte y otros","Alquileres"))))</f>
        <v/>
      </c>
      <c r="M521" s="6"/>
    </row>
    <row r="522" customFormat="false" ht="16.5" hidden="false" customHeight="true" outlineLevel="0" collapsed="false">
      <c r="A522" s="95" t="str">
        <f aca="false">IF(AND(B522="",C522=""),"",ROW()-6)</f>
        <v/>
      </c>
      <c r="B522" s="83"/>
      <c r="C522" s="15"/>
      <c r="D522" s="15"/>
      <c r="E522" s="85"/>
      <c r="F522" s="15"/>
      <c r="G522" s="15"/>
      <c r="H522" s="96"/>
      <c r="I522" s="16"/>
      <c r="J522" s="37" t="str">
        <f aca="false">IF(I522="","",IF(H522="",1,H522)*I522)</f>
        <v/>
      </c>
      <c r="K522" s="15"/>
      <c r="L522" s="97" t="str">
        <f aca="false">IF(C522="","",IF(OR(C522="Material",C522="Equipo",C522="Suministro"),"Materiales y equipos",IF(C522="Mano de obra contratista","Mano de obra contratista",IF(C522="Transporte","Transporte y otros","Alquileres"))))</f>
        <v/>
      </c>
      <c r="M522" s="6"/>
    </row>
    <row r="523" customFormat="false" ht="16.5" hidden="false" customHeight="true" outlineLevel="0" collapsed="false">
      <c r="A523" s="95" t="str">
        <f aca="false">IF(AND(B523="",C523=""),"",ROW()-6)</f>
        <v/>
      </c>
      <c r="B523" s="83"/>
      <c r="C523" s="15"/>
      <c r="D523" s="15"/>
      <c r="E523" s="85"/>
      <c r="F523" s="15"/>
      <c r="G523" s="15"/>
      <c r="H523" s="96"/>
      <c r="I523" s="16"/>
      <c r="J523" s="37" t="str">
        <f aca="false">IF(I523="","",IF(H523="",1,H523)*I523)</f>
        <v/>
      </c>
      <c r="K523" s="15"/>
      <c r="L523" s="97" t="str">
        <f aca="false">IF(C523="","",IF(OR(C523="Material",C523="Equipo",C523="Suministro"),"Materiales y equipos",IF(C523="Mano de obra contratista","Mano de obra contratista",IF(C523="Transporte","Transporte y otros","Alquileres"))))</f>
        <v/>
      </c>
      <c r="M523" s="6"/>
    </row>
    <row r="524" customFormat="false" ht="16.5" hidden="false" customHeight="true" outlineLevel="0" collapsed="false">
      <c r="A524" s="95" t="str">
        <f aca="false">IF(AND(B524="",C524=""),"",ROW()-6)</f>
        <v/>
      </c>
      <c r="B524" s="83"/>
      <c r="C524" s="15"/>
      <c r="D524" s="15"/>
      <c r="E524" s="85"/>
      <c r="F524" s="15"/>
      <c r="G524" s="15"/>
      <c r="H524" s="96"/>
      <c r="I524" s="16"/>
      <c r="J524" s="37" t="str">
        <f aca="false">IF(I524="","",IF(H524="",1,H524)*I524)</f>
        <v/>
      </c>
      <c r="K524" s="15"/>
      <c r="L524" s="97" t="str">
        <f aca="false">IF(C524="","",IF(OR(C524="Material",C524="Equipo",C524="Suministro"),"Materiales y equipos",IF(C524="Mano de obra contratista","Mano de obra contratista",IF(C524="Transporte","Transporte y otros","Alquileres"))))</f>
        <v/>
      </c>
      <c r="M524" s="6"/>
    </row>
    <row r="525" customFormat="false" ht="16.5" hidden="false" customHeight="true" outlineLevel="0" collapsed="false">
      <c r="A525" s="95" t="str">
        <f aca="false">IF(AND(B525="",C525=""),"",ROW()-6)</f>
        <v/>
      </c>
      <c r="B525" s="83"/>
      <c r="C525" s="15"/>
      <c r="D525" s="15"/>
      <c r="E525" s="85"/>
      <c r="F525" s="15"/>
      <c r="G525" s="15"/>
      <c r="H525" s="96"/>
      <c r="I525" s="16"/>
      <c r="J525" s="37" t="str">
        <f aca="false">IF(I525="","",IF(H525="",1,H525)*I525)</f>
        <v/>
      </c>
      <c r="K525" s="15"/>
      <c r="L525" s="97" t="str">
        <f aca="false">IF(C525="","",IF(OR(C525="Material",C525="Equipo",C525="Suministro"),"Materiales y equipos",IF(C525="Mano de obra contratista","Mano de obra contratista",IF(C525="Transporte","Transporte y otros","Alquileres"))))</f>
        <v/>
      </c>
      <c r="M525" s="6"/>
    </row>
    <row r="526" customFormat="false" ht="16.5" hidden="false" customHeight="true" outlineLevel="0" collapsed="false">
      <c r="A526" s="95" t="str">
        <f aca="false">IF(AND(B526="",C526=""),"",ROW()-6)</f>
        <v/>
      </c>
      <c r="B526" s="83"/>
      <c r="C526" s="15"/>
      <c r="D526" s="15"/>
      <c r="E526" s="85"/>
      <c r="F526" s="15"/>
      <c r="G526" s="15"/>
      <c r="H526" s="96"/>
      <c r="I526" s="16"/>
      <c r="J526" s="37" t="str">
        <f aca="false">IF(I526="","",IF(H526="",1,H526)*I526)</f>
        <v/>
      </c>
      <c r="K526" s="15"/>
      <c r="L526" s="97" t="str">
        <f aca="false">IF(C526="","",IF(OR(C526="Material",C526="Equipo",C526="Suministro"),"Materiales y equipos",IF(C526="Mano de obra contratista","Mano de obra contratista",IF(C526="Transporte","Transporte y otros","Alquileres"))))</f>
        <v/>
      </c>
      <c r="M526" s="6"/>
    </row>
    <row r="527" customFormat="false" ht="16.5" hidden="false" customHeight="true" outlineLevel="0" collapsed="false">
      <c r="A527" s="95" t="str">
        <f aca="false">IF(AND(B527="",C527=""),"",ROW()-6)</f>
        <v/>
      </c>
      <c r="B527" s="83"/>
      <c r="C527" s="15"/>
      <c r="D527" s="15"/>
      <c r="E527" s="85"/>
      <c r="F527" s="15"/>
      <c r="G527" s="15"/>
      <c r="H527" s="96"/>
      <c r="I527" s="16"/>
      <c r="J527" s="37" t="str">
        <f aca="false">IF(I527="","",IF(H527="",1,H527)*I527)</f>
        <v/>
      </c>
      <c r="K527" s="15"/>
      <c r="L527" s="97" t="str">
        <f aca="false">IF(C527="","",IF(OR(C527="Material",C527="Equipo",C527="Suministro"),"Materiales y equipos",IF(C527="Mano de obra contratista","Mano de obra contratista",IF(C527="Transporte","Transporte y otros","Alquileres"))))</f>
        <v/>
      </c>
      <c r="M527" s="6"/>
    </row>
    <row r="528" customFormat="false" ht="16.5" hidden="false" customHeight="true" outlineLevel="0" collapsed="false">
      <c r="A528" s="95" t="str">
        <f aca="false">IF(AND(B528="",C528=""),"",ROW()-6)</f>
        <v/>
      </c>
      <c r="B528" s="83"/>
      <c r="C528" s="15"/>
      <c r="D528" s="15"/>
      <c r="E528" s="85"/>
      <c r="F528" s="15"/>
      <c r="G528" s="15"/>
      <c r="H528" s="96"/>
      <c r="I528" s="16"/>
      <c r="J528" s="37" t="str">
        <f aca="false">IF(I528="","",IF(H528="",1,H528)*I528)</f>
        <v/>
      </c>
      <c r="K528" s="15"/>
      <c r="L528" s="97" t="str">
        <f aca="false">IF(C528="","",IF(OR(C528="Material",C528="Equipo",C528="Suministro"),"Materiales y equipos",IF(C528="Mano de obra contratista","Mano de obra contratista",IF(C528="Transporte","Transporte y otros","Alquileres"))))</f>
        <v/>
      </c>
      <c r="M528" s="6"/>
    </row>
    <row r="529" customFormat="false" ht="16.5" hidden="false" customHeight="true" outlineLevel="0" collapsed="false">
      <c r="A529" s="95" t="str">
        <f aca="false">IF(AND(B529="",C529=""),"",ROW()-6)</f>
        <v/>
      </c>
      <c r="B529" s="83"/>
      <c r="C529" s="15"/>
      <c r="D529" s="15"/>
      <c r="E529" s="85"/>
      <c r="F529" s="15"/>
      <c r="G529" s="15"/>
      <c r="H529" s="96"/>
      <c r="I529" s="16"/>
      <c r="J529" s="37" t="str">
        <f aca="false">IF(I529="","",IF(H529="",1,H529)*I529)</f>
        <v/>
      </c>
      <c r="K529" s="15"/>
      <c r="L529" s="97" t="str">
        <f aca="false">IF(C529="","",IF(OR(C529="Material",C529="Equipo",C529="Suministro"),"Materiales y equipos",IF(C529="Mano de obra contratista","Mano de obra contratista",IF(C529="Transporte","Transporte y otros","Alquileres"))))</f>
        <v/>
      </c>
      <c r="M529" s="6"/>
    </row>
    <row r="530" customFormat="false" ht="16.5" hidden="false" customHeight="true" outlineLevel="0" collapsed="false">
      <c r="A530" s="95" t="str">
        <f aca="false">IF(AND(B530="",C530=""),"",ROW()-6)</f>
        <v/>
      </c>
      <c r="B530" s="83"/>
      <c r="C530" s="15"/>
      <c r="D530" s="15"/>
      <c r="E530" s="85"/>
      <c r="F530" s="15"/>
      <c r="G530" s="15"/>
      <c r="H530" s="96"/>
      <c r="I530" s="16"/>
      <c r="J530" s="37" t="str">
        <f aca="false">IF(I530="","",IF(H530="",1,H530)*I530)</f>
        <v/>
      </c>
      <c r="K530" s="15"/>
      <c r="L530" s="97" t="str">
        <f aca="false">IF(C530="","",IF(OR(C530="Material",C530="Equipo",C530="Suministro"),"Materiales y equipos",IF(C530="Mano de obra contratista","Mano de obra contratista",IF(C530="Transporte","Transporte y otros","Alquileres"))))</f>
        <v/>
      </c>
      <c r="M530" s="6"/>
    </row>
    <row r="531" customFormat="false" ht="16.5" hidden="false" customHeight="true" outlineLevel="0" collapsed="false">
      <c r="A531" s="95" t="str">
        <f aca="false">IF(AND(B531="",C531=""),"",ROW()-6)</f>
        <v/>
      </c>
      <c r="B531" s="83"/>
      <c r="C531" s="15"/>
      <c r="D531" s="15"/>
      <c r="E531" s="85"/>
      <c r="F531" s="15"/>
      <c r="G531" s="15"/>
      <c r="H531" s="96"/>
      <c r="I531" s="16"/>
      <c r="J531" s="37" t="str">
        <f aca="false">IF(I531="","",IF(H531="",1,H531)*I531)</f>
        <v/>
      </c>
      <c r="K531" s="15"/>
      <c r="L531" s="97" t="str">
        <f aca="false">IF(C531="","",IF(OR(C531="Material",C531="Equipo",C531="Suministro"),"Materiales y equipos",IF(C531="Mano de obra contratista","Mano de obra contratista",IF(C531="Transporte","Transporte y otros","Alquileres"))))</f>
        <v/>
      </c>
      <c r="M531" s="6"/>
    </row>
    <row r="532" customFormat="false" ht="16.5" hidden="false" customHeight="true" outlineLevel="0" collapsed="false">
      <c r="A532" s="95" t="str">
        <f aca="false">IF(AND(B532="",C532=""),"",ROW()-6)</f>
        <v/>
      </c>
      <c r="B532" s="83"/>
      <c r="C532" s="15"/>
      <c r="D532" s="15"/>
      <c r="E532" s="85"/>
      <c r="F532" s="15"/>
      <c r="G532" s="15"/>
      <c r="H532" s="96"/>
      <c r="I532" s="16"/>
      <c r="J532" s="37" t="str">
        <f aca="false">IF(I532="","",IF(H532="",1,H532)*I532)</f>
        <v/>
      </c>
      <c r="K532" s="15"/>
      <c r="L532" s="97" t="str">
        <f aca="false">IF(C532="","",IF(OR(C532="Material",C532="Equipo",C532="Suministro"),"Materiales y equipos",IF(C532="Mano de obra contratista","Mano de obra contratista",IF(C532="Transporte","Transporte y otros","Alquileres"))))</f>
        <v/>
      </c>
      <c r="M532" s="6"/>
    </row>
    <row r="533" customFormat="false" ht="16.5" hidden="false" customHeight="true" outlineLevel="0" collapsed="false">
      <c r="A533" s="95" t="str">
        <f aca="false">IF(AND(B533="",C533=""),"",ROW()-6)</f>
        <v/>
      </c>
      <c r="B533" s="83"/>
      <c r="C533" s="15"/>
      <c r="D533" s="15"/>
      <c r="E533" s="85"/>
      <c r="F533" s="15"/>
      <c r="G533" s="15"/>
      <c r="H533" s="96"/>
      <c r="I533" s="16"/>
      <c r="J533" s="37" t="str">
        <f aca="false">IF(I533="","",IF(H533="",1,H533)*I533)</f>
        <v/>
      </c>
      <c r="K533" s="15"/>
      <c r="L533" s="97" t="str">
        <f aca="false">IF(C533="","",IF(OR(C533="Material",C533="Equipo",C533="Suministro"),"Materiales y equipos",IF(C533="Mano de obra contratista","Mano de obra contratista",IF(C533="Transporte","Transporte y otros","Alquileres"))))</f>
        <v/>
      </c>
      <c r="M533" s="6"/>
    </row>
    <row r="534" customFormat="false" ht="16.5" hidden="false" customHeight="true" outlineLevel="0" collapsed="false">
      <c r="A534" s="95" t="str">
        <f aca="false">IF(AND(B534="",C534=""),"",ROW()-6)</f>
        <v/>
      </c>
      <c r="B534" s="83"/>
      <c r="C534" s="15"/>
      <c r="D534" s="15"/>
      <c r="E534" s="85"/>
      <c r="F534" s="15"/>
      <c r="G534" s="15"/>
      <c r="H534" s="96"/>
      <c r="I534" s="16"/>
      <c r="J534" s="37" t="str">
        <f aca="false">IF(I534="","",IF(H534="",1,H534)*I534)</f>
        <v/>
      </c>
      <c r="K534" s="15"/>
      <c r="L534" s="97" t="str">
        <f aca="false">IF(C534="","",IF(OR(C534="Material",C534="Equipo",C534="Suministro"),"Materiales y equipos",IF(C534="Mano de obra contratista","Mano de obra contratista",IF(C534="Transporte","Transporte y otros","Alquileres"))))</f>
        <v/>
      </c>
      <c r="M534" s="6"/>
    </row>
    <row r="535" customFormat="false" ht="16.5" hidden="false" customHeight="true" outlineLevel="0" collapsed="false">
      <c r="A535" s="95" t="str">
        <f aca="false">IF(AND(B535="",C535=""),"",ROW()-6)</f>
        <v/>
      </c>
      <c r="B535" s="83"/>
      <c r="C535" s="15"/>
      <c r="D535" s="15"/>
      <c r="E535" s="85"/>
      <c r="F535" s="15"/>
      <c r="G535" s="15"/>
      <c r="H535" s="96"/>
      <c r="I535" s="16"/>
      <c r="J535" s="37" t="str">
        <f aca="false">IF(I535="","",IF(H535="",1,H535)*I535)</f>
        <v/>
      </c>
      <c r="K535" s="15"/>
      <c r="L535" s="97" t="str">
        <f aca="false">IF(C535="","",IF(OR(C535="Material",C535="Equipo",C535="Suministro"),"Materiales y equipos",IF(C535="Mano de obra contratista","Mano de obra contratista",IF(C535="Transporte","Transporte y otros","Alquileres"))))</f>
        <v/>
      </c>
      <c r="M535" s="6"/>
    </row>
    <row r="536" customFormat="false" ht="16.5" hidden="false" customHeight="true" outlineLevel="0" collapsed="false">
      <c r="A536" s="95" t="str">
        <f aca="false">IF(AND(B536="",C536=""),"",ROW()-6)</f>
        <v/>
      </c>
      <c r="B536" s="83"/>
      <c r="C536" s="15"/>
      <c r="D536" s="15"/>
      <c r="E536" s="85"/>
      <c r="F536" s="15"/>
      <c r="G536" s="15"/>
      <c r="H536" s="96"/>
      <c r="I536" s="16"/>
      <c r="J536" s="37" t="str">
        <f aca="false">IF(I536="","",IF(H536="",1,H536)*I536)</f>
        <v/>
      </c>
      <c r="K536" s="15"/>
      <c r="L536" s="97" t="str">
        <f aca="false">IF(C536="","",IF(OR(C536="Material",C536="Equipo",C536="Suministro"),"Materiales y equipos",IF(C536="Mano de obra contratista","Mano de obra contratista",IF(C536="Transporte","Transporte y otros","Alquileres"))))</f>
        <v/>
      </c>
      <c r="M536" s="6"/>
    </row>
    <row r="537" customFormat="false" ht="16.5" hidden="false" customHeight="true" outlineLevel="0" collapsed="false">
      <c r="A537" s="95" t="str">
        <f aca="false">IF(AND(B537="",C537=""),"",ROW()-6)</f>
        <v/>
      </c>
      <c r="B537" s="83"/>
      <c r="C537" s="15"/>
      <c r="D537" s="15"/>
      <c r="E537" s="85"/>
      <c r="F537" s="15"/>
      <c r="G537" s="15"/>
      <c r="H537" s="96"/>
      <c r="I537" s="16"/>
      <c r="J537" s="37" t="str">
        <f aca="false">IF(I537="","",IF(H537="",1,H537)*I537)</f>
        <v/>
      </c>
      <c r="K537" s="15"/>
      <c r="L537" s="97" t="str">
        <f aca="false">IF(C537="","",IF(OR(C537="Material",C537="Equipo",C537="Suministro"),"Materiales y equipos",IF(C537="Mano de obra contratista","Mano de obra contratista",IF(C537="Transporte","Transporte y otros","Alquileres"))))</f>
        <v/>
      </c>
      <c r="M537" s="6"/>
    </row>
    <row r="538" customFormat="false" ht="16.5" hidden="false" customHeight="true" outlineLevel="0" collapsed="false">
      <c r="A538" s="95" t="str">
        <f aca="false">IF(AND(B538="",C538=""),"",ROW()-6)</f>
        <v/>
      </c>
      <c r="B538" s="83"/>
      <c r="C538" s="15"/>
      <c r="D538" s="15"/>
      <c r="E538" s="85"/>
      <c r="F538" s="15"/>
      <c r="G538" s="15"/>
      <c r="H538" s="96"/>
      <c r="I538" s="16"/>
      <c r="J538" s="37" t="str">
        <f aca="false">IF(I538="","",IF(H538="",1,H538)*I538)</f>
        <v/>
      </c>
      <c r="K538" s="15"/>
      <c r="L538" s="97" t="str">
        <f aca="false">IF(C538="","",IF(OR(C538="Material",C538="Equipo",C538="Suministro"),"Materiales y equipos",IF(C538="Mano de obra contratista","Mano de obra contratista",IF(C538="Transporte","Transporte y otros","Alquileres"))))</f>
        <v/>
      </c>
      <c r="M538" s="6"/>
    </row>
    <row r="539" customFormat="false" ht="16.5" hidden="false" customHeight="true" outlineLevel="0" collapsed="false">
      <c r="A539" s="95" t="str">
        <f aca="false">IF(AND(B539="",C539=""),"",ROW()-6)</f>
        <v/>
      </c>
      <c r="B539" s="83"/>
      <c r="C539" s="15"/>
      <c r="D539" s="15"/>
      <c r="E539" s="85"/>
      <c r="F539" s="15"/>
      <c r="G539" s="15"/>
      <c r="H539" s="96"/>
      <c r="I539" s="16"/>
      <c r="J539" s="37" t="str">
        <f aca="false">IF(I539="","",IF(H539="",1,H539)*I539)</f>
        <v/>
      </c>
      <c r="K539" s="15"/>
      <c r="L539" s="97" t="str">
        <f aca="false">IF(C539="","",IF(OR(C539="Material",C539="Equipo",C539="Suministro"),"Materiales y equipos",IF(C539="Mano de obra contratista","Mano de obra contratista",IF(C539="Transporte","Transporte y otros","Alquileres"))))</f>
        <v/>
      </c>
      <c r="M539" s="6"/>
    </row>
    <row r="540" customFormat="false" ht="16.5" hidden="false" customHeight="true" outlineLevel="0" collapsed="false">
      <c r="A540" s="95" t="str">
        <f aca="false">IF(AND(B540="",C540=""),"",ROW()-6)</f>
        <v/>
      </c>
      <c r="B540" s="83"/>
      <c r="C540" s="15"/>
      <c r="D540" s="15"/>
      <c r="E540" s="85"/>
      <c r="F540" s="15"/>
      <c r="G540" s="15"/>
      <c r="H540" s="96"/>
      <c r="I540" s="16"/>
      <c r="J540" s="37" t="str">
        <f aca="false">IF(I540="","",IF(H540="",1,H540)*I540)</f>
        <v/>
      </c>
      <c r="K540" s="15"/>
      <c r="L540" s="97" t="str">
        <f aca="false">IF(C540="","",IF(OR(C540="Material",C540="Equipo",C540="Suministro"),"Materiales y equipos",IF(C540="Mano de obra contratista","Mano de obra contratista",IF(C540="Transporte","Transporte y otros","Alquileres"))))</f>
        <v/>
      </c>
      <c r="M540" s="6"/>
    </row>
    <row r="541" customFormat="false" ht="16.5" hidden="false" customHeight="true" outlineLevel="0" collapsed="false">
      <c r="A541" s="95" t="str">
        <f aca="false">IF(AND(B541="",C541=""),"",ROW()-6)</f>
        <v/>
      </c>
      <c r="B541" s="83"/>
      <c r="C541" s="15"/>
      <c r="D541" s="15"/>
      <c r="E541" s="85"/>
      <c r="F541" s="15"/>
      <c r="G541" s="15"/>
      <c r="H541" s="96"/>
      <c r="I541" s="16"/>
      <c r="J541" s="37" t="str">
        <f aca="false">IF(I541="","",IF(H541="",1,H541)*I541)</f>
        <v/>
      </c>
      <c r="K541" s="15"/>
      <c r="L541" s="97" t="str">
        <f aca="false">IF(C541="","",IF(OR(C541="Material",C541="Equipo",C541="Suministro"),"Materiales y equipos",IF(C541="Mano de obra contratista","Mano de obra contratista",IF(C541="Transporte","Transporte y otros","Alquileres"))))</f>
        <v/>
      </c>
      <c r="M541" s="6"/>
    </row>
    <row r="542" customFormat="false" ht="16.5" hidden="false" customHeight="true" outlineLevel="0" collapsed="false">
      <c r="A542" s="95" t="str">
        <f aca="false">IF(AND(B542="",C542=""),"",ROW()-6)</f>
        <v/>
      </c>
      <c r="B542" s="83"/>
      <c r="C542" s="15"/>
      <c r="D542" s="15"/>
      <c r="E542" s="85"/>
      <c r="F542" s="15"/>
      <c r="G542" s="15"/>
      <c r="H542" s="96"/>
      <c r="I542" s="16"/>
      <c r="J542" s="37" t="str">
        <f aca="false">IF(I542="","",IF(H542="",1,H542)*I542)</f>
        <v/>
      </c>
      <c r="K542" s="15"/>
      <c r="L542" s="97" t="str">
        <f aca="false">IF(C542="","",IF(OR(C542="Material",C542="Equipo",C542="Suministro"),"Materiales y equipos",IF(C542="Mano de obra contratista","Mano de obra contratista",IF(C542="Transporte","Transporte y otros","Alquileres"))))</f>
        <v/>
      </c>
      <c r="M542" s="6"/>
    </row>
    <row r="543" customFormat="false" ht="16.5" hidden="false" customHeight="true" outlineLevel="0" collapsed="false">
      <c r="A543" s="95" t="str">
        <f aca="false">IF(AND(B543="",C543=""),"",ROW()-6)</f>
        <v/>
      </c>
      <c r="B543" s="83"/>
      <c r="C543" s="15"/>
      <c r="D543" s="15"/>
      <c r="E543" s="85"/>
      <c r="F543" s="15"/>
      <c r="G543" s="15"/>
      <c r="H543" s="96"/>
      <c r="I543" s="16"/>
      <c r="J543" s="37" t="str">
        <f aca="false">IF(I543="","",IF(H543="",1,H543)*I543)</f>
        <v/>
      </c>
      <c r="K543" s="15"/>
      <c r="L543" s="97" t="str">
        <f aca="false">IF(C543="","",IF(OR(C543="Material",C543="Equipo",C543="Suministro"),"Materiales y equipos",IF(C543="Mano de obra contratista","Mano de obra contratista",IF(C543="Transporte","Transporte y otros","Alquileres"))))</f>
        <v/>
      </c>
      <c r="M543" s="6"/>
    </row>
    <row r="544" customFormat="false" ht="16.5" hidden="false" customHeight="true" outlineLevel="0" collapsed="false">
      <c r="A544" s="95" t="str">
        <f aca="false">IF(AND(B544="",C544=""),"",ROW()-6)</f>
        <v/>
      </c>
      <c r="B544" s="83"/>
      <c r="C544" s="15"/>
      <c r="D544" s="15"/>
      <c r="E544" s="85"/>
      <c r="F544" s="15"/>
      <c r="G544" s="15"/>
      <c r="H544" s="96"/>
      <c r="I544" s="16"/>
      <c r="J544" s="37" t="str">
        <f aca="false">IF(I544="","",IF(H544="",1,H544)*I544)</f>
        <v/>
      </c>
      <c r="K544" s="15"/>
      <c r="L544" s="97" t="str">
        <f aca="false">IF(C544="","",IF(OR(C544="Material",C544="Equipo",C544="Suministro"),"Materiales y equipos",IF(C544="Mano de obra contratista","Mano de obra contratista",IF(C544="Transporte","Transporte y otros","Alquileres"))))</f>
        <v/>
      </c>
      <c r="M544" s="6"/>
    </row>
    <row r="545" customFormat="false" ht="16.5" hidden="false" customHeight="true" outlineLevel="0" collapsed="false">
      <c r="A545" s="95" t="str">
        <f aca="false">IF(AND(B545="",C545=""),"",ROW()-6)</f>
        <v/>
      </c>
      <c r="B545" s="83"/>
      <c r="C545" s="15"/>
      <c r="D545" s="15"/>
      <c r="E545" s="85"/>
      <c r="F545" s="15"/>
      <c r="G545" s="15"/>
      <c r="H545" s="96"/>
      <c r="I545" s="16"/>
      <c r="J545" s="37" t="str">
        <f aca="false">IF(I545="","",IF(H545="",1,H545)*I545)</f>
        <v/>
      </c>
      <c r="K545" s="15"/>
      <c r="L545" s="97" t="str">
        <f aca="false">IF(C545="","",IF(OR(C545="Material",C545="Equipo",C545="Suministro"),"Materiales y equipos",IF(C545="Mano de obra contratista","Mano de obra contratista",IF(C545="Transporte","Transporte y otros","Alquileres"))))</f>
        <v/>
      </c>
      <c r="M545" s="6"/>
    </row>
    <row r="546" customFormat="false" ht="16.5" hidden="false" customHeight="true" outlineLevel="0" collapsed="false">
      <c r="A546" s="95" t="str">
        <f aca="false">IF(AND(B546="",C546=""),"",ROW()-6)</f>
        <v/>
      </c>
      <c r="B546" s="83"/>
      <c r="C546" s="15"/>
      <c r="D546" s="15"/>
      <c r="E546" s="85"/>
      <c r="F546" s="15"/>
      <c r="G546" s="15"/>
      <c r="H546" s="96"/>
      <c r="I546" s="16"/>
      <c r="J546" s="37" t="str">
        <f aca="false">IF(I546="","",IF(H546="",1,H546)*I546)</f>
        <v/>
      </c>
      <c r="K546" s="15"/>
      <c r="L546" s="97" t="str">
        <f aca="false">IF(C546="","",IF(OR(C546="Material",C546="Equipo",C546="Suministro"),"Materiales y equipos",IF(C546="Mano de obra contratista","Mano de obra contratista",IF(C546="Transporte","Transporte y otros","Alquileres"))))</f>
        <v/>
      </c>
      <c r="M546" s="6"/>
    </row>
    <row r="547" customFormat="false" ht="16.5" hidden="false" customHeight="true" outlineLevel="0" collapsed="false">
      <c r="A547" s="95" t="str">
        <f aca="false">IF(AND(B547="",C547=""),"",ROW()-6)</f>
        <v/>
      </c>
      <c r="B547" s="83"/>
      <c r="C547" s="15"/>
      <c r="D547" s="15"/>
      <c r="E547" s="85"/>
      <c r="F547" s="15"/>
      <c r="G547" s="15"/>
      <c r="H547" s="96"/>
      <c r="I547" s="16"/>
      <c r="J547" s="37" t="str">
        <f aca="false">IF(I547="","",IF(H547="",1,H547)*I547)</f>
        <v/>
      </c>
      <c r="K547" s="15"/>
      <c r="L547" s="97" t="str">
        <f aca="false">IF(C547="","",IF(OR(C547="Material",C547="Equipo",C547="Suministro"),"Materiales y equipos",IF(C547="Mano de obra contratista","Mano de obra contratista",IF(C547="Transporte","Transporte y otros","Alquileres"))))</f>
        <v/>
      </c>
      <c r="M547" s="6"/>
    </row>
    <row r="548" customFormat="false" ht="16.5" hidden="false" customHeight="true" outlineLevel="0" collapsed="false">
      <c r="A548" s="95" t="str">
        <f aca="false">IF(AND(B548="",C548=""),"",ROW()-6)</f>
        <v/>
      </c>
      <c r="B548" s="83"/>
      <c r="C548" s="15"/>
      <c r="D548" s="15"/>
      <c r="E548" s="85"/>
      <c r="F548" s="15"/>
      <c r="G548" s="15"/>
      <c r="H548" s="96"/>
      <c r="I548" s="16"/>
      <c r="J548" s="37" t="str">
        <f aca="false">IF(I548="","",IF(H548="",1,H548)*I548)</f>
        <v/>
      </c>
      <c r="K548" s="15"/>
      <c r="L548" s="97" t="str">
        <f aca="false">IF(C548="","",IF(OR(C548="Material",C548="Equipo",C548="Suministro"),"Materiales y equipos",IF(C548="Mano de obra contratista","Mano de obra contratista",IF(C548="Transporte","Transporte y otros","Alquileres"))))</f>
        <v/>
      </c>
      <c r="M548" s="6"/>
    </row>
    <row r="549" customFormat="false" ht="16.5" hidden="false" customHeight="true" outlineLevel="0" collapsed="false">
      <c r="A549" s="95" t="str">
        <f aca="false">IF(AND(B549="",C549=""),"",ROW()-6)</f>
        <v/>
      </c>
      <c r="B549" s="83"/>
      <c r="C549" s="15"/>
      <c r="D549" s="15"/>
      <c r="E549" s="85"/>
      <c r="F549" s="15"/>
      <c r="G549" s="15"/>
      <c r="H549" s="96"/>
      <c r="I549" s="16"/>
      <c r="J549" s="37" t="str">
        <f aca="false">IF(I549="","",IF(H549="",1,H549)*I549)</f>
        <v/>
      </c>
      <c r="K549" s="15"/>
      <c r="L549" s="97" t="str">
        <f aca="false">IF(C549="","",IF(OR(C549="Material",C549="Equipo",C549="Suministro"),"Materiales y equipos",IF(C549="Mano de obra contratista","Mano de obra contratista",IF(C549="Transporte","Transporte y otros","Alquileres"))))</f>
        <v/>
      </c>
      <c r="M549" s="6"/>
    </row>
    <row r="550" customFormat="false" ht="16.5" hidden="false" customHeight="true" outlineLevel="0" collapsed="false">
      <c r="A550" s="95" t="str">
        <f aca="false">IF(AND(B550="",C550=""),"",ROW()-6)</f>
        <v/>
      </c>
      <c r="B550" s="83"/>
      <c r="C550" s="15"/>
      <c r="D550" s="15"/>
      <c r="E550" s="85"/>
      <c r="F550" s="15"/>
      <c r="G550" s="15"/>
      <c r="H550" s="96"/>
      <c r="I550" s="16"/>
      <c r="J550" s="37" t="str">
        <f aca="false">IF(I550="","",IF(H550="",1,H550)*I550)</f>
        <v/>
      </c>
      <c r="K550" s="15"/>
      <c r="L550" s="97" t="str">
        <f aca="false">IF(C550="","",IF(OR(C550="Material",C550="Equipo",C550="Suministro"),"Materiales y equipos",IF(C550="Mano de obra contratista","Mano de obra contratista",IF(C550="Transporte","Transporte y otros","Alquileres"))))</f>
        <v/>
      </c>
      <c r="M550" s="6"/>
    </row>
    <row r="551" customFormat="false" ht="16.5" hidden="false" customHeight="true" outlineLevel="0" collapsed="false">
      <c r="A551" s="95" t="str">
        <f aca="false">IF(AND(B551="",C551=""),"",ROW()-6)</f>
        <v/>
      </c>
      <c r="B551" s="83"/>
      <c r="C551" s="15"/>
      <c r="D551" s="15"/>
      <c r="E551" s="85"/>
      <c r="F551" s="15"/>
      <c r="G551" s="15"/>
      <c r="H551" s="96"/>
      <c r="I551" s="16"/>
      <c r="J551" s="37" t="str">
        <f aca="false">IF(I551="","",IF(H551="",1,H551)*I551)</f>
        <v/>
      </c>
      <c r="K551" s="15"/>
      <c r="L551" s="97" t="str">
        <f aca="false">IF(C551="","",IF(OR(C551="Material",C551="Equipo",C551="Suministro"),"Materiales y equipos",IF(C551="Mano de obra contratista","Mano de obra contratista",IF(C551="Transporte","Transporte y otros","Alquileres"))))</f>
        <v/>
      </c>
      <c r="M551" s="6"/>
    </row>
    <row r="552" customFormat="false" ht="16.5" hidden="false" customHeight="true" outlineLevel="0" collapsed="false">
      <c r="A552" s="95" t="str">
        <f aca="false">IF(AND(B552="",C552=""),"",ROW()-6)</f>
        <v/>
      </c>
      <c r="B552" s="83"/>
      <c r="C552" s="15"/>
      <c r="D552" s="15"/>
      <c r="E552" s="85"/>
      <c r="F552" s="15"/>
      <c r="G552" s="15"/>
      <c r="H552" s="96"/>
      <c r="I552" s="16"/>
      <c r="J552" s="37" t="str">
        <f aca="false">IF(I552="","",IF(H552="",1,H552)*I552)</f>
        <v/>
      </c>
      <c r="K552" s="15"/>
      <c r="L552" s="97" t="str">
        <f aca="false">IF(C552="","",IF(OR(C552="Material",C552="Equipo",C552="Suministro"),"Materiales y equipos",IF(C552="Mano de obra contratista","Mano de obra contratista",IF(C552="Transporte","Transporte y otros","Alquileres"))))</f>
        <v/>
      </c>
      <c r="M552" s="6"/>
    </row>
    <row r="553" customFormat="false" ht="16.5" hidden="false" customHeight="true" outlineLevel="0" collapsed="false">
      <c r="A553" s="95" t="str">
        <f aca="false">IF(AND(B553="",C553=""),"",ROW()-6)</f>
        <v/>
      </c>
      <c r="B553" s="83"/>
      <c r="C553" s="15"/>
      <c r="D553" s="15"/>
      <c r="E553" s="85"/>
      <c r="F553" s="15"/>
      <c r="G553" s="15"/>
      <c r="H553" s="96"/>
      <c r="I553" s="16"/>
      <c r="J553" s="37" t="str">
        <f aca="false">IF(I553="","",IF(H553="",1,H553)*I553)</f>
        <v/>
      </c>
      <c r="K553" s="15"/>
      <c r="L553" s="97" t="str">
        <f aca="false">IF(C553="","",IF(OR(C553="Material",C553="Equipo",C553="Suministro"),"Materiales y equipos",IF(C553="Mano de obra contratista","Mano de obra contratista",IF(C553="Transporte","Transporte y otros","Alquileres"))))</f>
        <v/>
      </c>
      <c r="M553" s="6"/>
    </row>
    <row r="554" customFormat="false" ht="16.5" hidden="false" customHeight="true" outlineLevel="0" collapsed="false">
      <c r="A554" s="95" t="str">
        <f aca="false">IF(AND(B554="",C554=""),"",ROW()-6)</f>
        <v/>
      </c>
      <c r="B554" s="83"/>
      <c r="C554" s="15"/>
      <c r="D554" s="15"/>
      <c r="E554" s="85"/>
      <c r="F554" s="15"/>
      <c r="G554" s="15"/>
      <c r="H554" s="96"/>
      <c r="I554" s="16"/>
      <c r="J554" s="37" t="str">
        <f aca="false">IF(I554="","",IF(H554="",1,H554)*I554)</f>
        <v/>
      </c>
      <c r="K554" s="15"/>
      <c r="L554" s="97" t="str">
        <f aca="false">IF(C554="","",IF(OR(C554="Material",C554="Equipo",C554="Suministro"),"Materiales y equipos",IF(C554="Mano de obra contratista","Mano de obra contratista",IF(C554="Transporte","Transporte y otros","Alquileres"))))</f>
        <v/>
      </c>
      <c r="M554" s="6"/>
    </row>
    <row r="555" customFormat="false" ht="16.5" hidden="false" customHeight="true" outlineLevel="0" collapsed="false">
      <c r="A555" s="95" t="str">
        <f aca="false">IF(AND(B555="",C555=""),"",ROW()-6)</f>
        <v/>
      </c>
      <c r="B555" s="83"/>
      <c r="C555" s="15"/>
      <c r="D555" s="15"/>
      <c r="E555" s="85"/>
      <c r="F555" s="15"/>
      <c r="G555" s="15"/>
      <c r="H555" s="96"/>
      <c r="I555" s="16"/>
      <c r="J555" s="37" t="str">
        <f aca="false">IF(I555="","",IF(H555="",1,H555)*I555)</f>
        <v/>
      </c>
      <c r="K555" s="15"/>
      <c r="L555" s="97" t="str">
        <f aca="false">IF(C555="","",IF(OR(C555="Material",C555="Equipo",C555="Suministro"),"Materiales y equipos",IF(C555="Mano de obra contratista","Mano de obra contratista",IF(C555="Transporte","Transporte y otros","Alquileres"))))</f>
        <v/>
      </c>
      <c r="M555" s="6"/>
    </row>
    <row r="556" customFormat="false" ht="16.5" hidden="false" customHeight="true" outlineLevel="0" collapsed="false">
      <c r="A556" s="95" t="str">
        <f aca="false">IF(AND(B556="",C556=""),"",ROW()-6)</f>
        <v/>
      </c>
      <c r="B556" s="83"/>
      <c r="C556" s="15"/>
      <c r="D556" s="15"/>
      <c r="E556" s="85"/>
      <c r="F556" s="15"/>
      <c r="G556" s="15"/>
      <c r="H556" s="96"/>
      <c r="I556" s="16"/>
      <c r="J556" s="37" t="str">
        <f aca="false">IF(I556="","",IF(H556="",1,H556)*I556)</f>
        <v/>
      </c>
      <c r="K556" s="15"/>
      <c r="L556" s="97" t="str">
        <f aca="false">IF(C556="","",IF(OR(C556="Material",C556="Equipo",C556="Suministro"),"Materiales y equipos",IF(C556="Mano de obra contratista","Mano de obra contratista",IF(C556="Transporte","Transporte y otros","Alquileres"))))</f>
        <v/>
      </c>
      <c r="M556" s="6"/>
    </row>
    <row r="557" customFormat="false" ht="16.5" hidden="false" customHeight="true" outlineLevel="0" collapsed="false">
      <c r="A557" s="95" t="str">
        <f aca="false">IF(AND(B557="",C557=""),"",ROW()-6)</f>
        <v/>
      </c>
      <c r="B557" s="83"/>
      <c r="C557" s="15"/>
      <c r="D557" s="15"/>
      <c r="E557" s="85"/>
      <c r="F557" s="15"/>
      <c r="G557" s="15"/>
      <c r="H557" s="96"/>
      <c r="I557" s="16"/>
      <c r="J557" s="37" t="str">
        <f aca="false">IF(I557="","",IF(H557="",1,H557)*I557)</f>
        <v/>
      </c>
      <c r="K557" s="15"/>
      <c r="L557" s="97" t="str">
        <f aca="false">IF(C557="","",IF(OR(C557="Material",C557="Equipo",C557="Suministro"),"Materiales y equipos",IF(C557="Mano de obra contratista","Mano de obra contratista",IF(C557="Transporte","Transporte y otros","Alquileres"))))</f>
        <v/>
      </c>
      <c r="M557" s="6"/>
    </row>
    <row r="558" customFormat="false" ht="16.5" hidden="false" customHeight="true" outlineLevel="0" collapsed="false">
      <c r="A558" s="95" t="str">
        <f aca="false">IF(AND(B558="",C558=""),"",ROW()-6)</f>
        <v/>
      </c>
      <c r="B558" s="83"/>
      <c r="C558" s="15"/>
      <c r="D558" s="15"/>
      <c r="E558" s="85"/>
      <c r="F558" s="15"/>
      <c r="G558" s="15"/>
      <c r="H558" s="96"/>
      <c r="I558" s="16"/>
      <c r="J558" s="37" t="str">
        <f aca="false">IF(I558="","",IF(H558="",1,H558)*I558)</f>
        <v/>
      </c>
      <c r="K558" s="15"/>
      <c r="L558" s="97" t="str">
        <f aca="false">IF(C558="","",IF(OR(C558="Material",C558="Equipo",C558="Suministro"),"Materiales y equipos",IF(C558="Mano de obra contratista","Mano de obra contratista",IF(C558="Transporte","Transporte y otros","Alquileres"))))</f>
        <v/>
      </c>
      <c r="M558" s="6"/>
    </row>
    <row r="559" customFormat="false" ht="16.5" hidden="false" customHeight="true" outlineLevel="0" collapsed="false">
      <c r="A559" s="95" t="str">
        <f aca="false">IF(AND(B559="",C559=""),"",ROW()-6)</f>
        <v/>
      </c>
      <c r="B559" s="83"/>
      <c r="C559" s="15"/>
      <c r="D559" s="15"/>
      <c r="E559" s="85"/>
      <c r="F559" s="15"/>
      <c r="G559" s="15"/>
      <c r="H559" s="96"/>
      <c r="I559" s="16"/>
      <c r="J559" s="37" t="str">
        <f aca="false">IF(I559="","",IF(H559="",1,H559)*I559)</f>
        <v/>
      </c>
      <c r="K559" s="15"/>
      <c r="L559" s="97" t="str">
        <f aca="false">IF(C559="","",IF(OR(C559="Material",C559="Equipo",C559="Suministro"),"Materiales y equipos",IF(C559="Mano de obra contratista","Mano de obra contratista",IF(C559="Transporte","Transporte y otros","Alquileres"))))</f>
        <v/>
      </c>
      <c r="M559" s="6"/>
    </row>
    <row r="560" customFormat="false" ht="16.5" hidden="false" customHeight="true" outlineLevel="0" collapsed="false">
      <c r="A560" s="95" t="str">
        <f aca="false">IF(AND(B560="",C560=""),"",ROW()-6)</f>
        <v/>
      </c>
      <c r="B560" s="83"/>
      <c r="C560" s="15"/>
      <c r="D560" s="15"/>
      <c r="E560" s="85"/>
      <c r="F560" s="15"/>
      <c r="G560" s="15"/>
      <c r="H560" s="96"/>
      <c r="I560" s="16"/>
      <c r="J560" s="37" t="str">
        <f aca="false">IF(I560="","",IF(H560="",1,H560)*I560)</f>
        <v/>
      </c>
      <c r="K560" s="15"/>
      <c r="L560" s="97" t="str">
        <f aca="false">IF(C560="","",IF(OR(C560="Material",C560="Equipo",C560="Suministro"),"Materiales y equipos",IF(C560="Mano de obra contratista","Mano de obra contratista",IF(C560="Transporte","Transporte y otros","Alquileres"))))</f>
        <v/>
      </c>
      <c r="M560" s="6"/>
    </row>
    <row r="561" customFormat="false" ht="16.5" hidden="false" customHeight="true" outlineLevel="0" collapsed="false">
      <c r="A561" s="95" t="str">
        <f aca="false">IF(AND(B561="",C561=""),"",ROW()-6)</f>
        <v/>
      </c>
      <c r="B561" s="83"/>
      <c r="C561" s="15"/>
      <c r="D561" s="15"/>
      <c r="E561" s="85"/>
      <c r="F561" s="15"/>
      <c r="G561" s="15"/>
      <c r="H561" s="96"/>
      <c r="I561" s="16"/>
      <c r="J561" s="37" t="str">
        <f aca="false">IF(I561="","",IF(H561="",1,H561)*I561)</f>
        <v/>
      </c>
      <c r="K561" s="15"/>
      <c r="L561" s="97" t="str">
        <f aca="false">IF(C561="","",IF(OR(C561="Material",C561="Equipo",C561="Suministro"),"Materiales y equipos",IF(C561="Mano de obra contratista","Mano de obra contratista",IF(C561="Transporte","Transporte y otros","Alquileres"))))</f>
        <v/>
      </c>
      <c r="M561" s="6"/>
    </row>
    <row r="562" customFormat="false" ht="16.5" hidden="false" customHeight="true" outlineLevel="0" collapsed="false">
      <c r="A562" s="95" t="str">
        <f aca="false">IF(AND(B562="",C562=""),"",ROW()-6)</f>
        <v/>
      </c>
      <c r="B562" s="83"/>
      <c r="C562" s="15"/>
      <c r="D562" s="15"/>
      <c r="E562" s="85"/>
      <c r="F562" s="15"/>
      <c r="G562" s="15"/>
      <c r="H562" s="96"/>
      <c r="I562" s="16"/>
      <c r="J562" s="37" t="str">
        <f aca="false">IF(I562="","",IF(H562="",1,H562)*I562)</f>
        <v/>
      </c>
      <c r="K562" s="15"/>
      <c r="L562" s="97" t="str">
        <f aca="false">IF(C562="","",IF(OR(C562="Material",C562="Equipo",C562="Suministro"),"Materiales y equipos",IF(C562="Mano de obra contratista","Mano de obra contratista",IF(C562="Transporte","Transporte y otros","Alquileres"))))</f>
        <v/>
      </c>
      <c r="M562" s="6"/>
    </row>
    <row r="563" customFormat="false" ht="16.5" hidden="false" customHeight="true" outlineLevel="0" collapsed="false">
      <c r="A563" s="95" t="str">
        <f aca="false">IF(AND(B563="",C563=""),"",ROW()-6)</f>
        <v/>
      </c>
      <c r="B563" s="83"/>
      <c r="C563" s="15"/>
      <c r="D563" s="15"/>
      <c r="E563" s="85"/>
      <c r="F563" s="15"/>
      <c r="G563" s="15"/>
      <c r="H563" s="96"/>
      <c r="I563" s="16"/>
      <c r="J563" s="37" t="str">
        <f aca="false">IF(I563="","",IF(H563="",1,H563)*I563)</f>
        <v/>
      </c>
      <c r="K563" s="15"/>
      <c r="L563" s="97" t="str">
        <f aca="false">IF(C563="","",IF(OR(C563="Material",C563="Equipo",C563="Suministro"),"Materiales y equipos",IF(C563="Mano de obra contratista","Mano de obra contratista",IF(C563="Transporte","Transporte y otros","Alquileres"))))</f>
        <v/>
      </c>
      <c r="M563" s="6"/>
    </row>
    <row r="564" customFormat="false" ht="16.5" hidden="false" customHeight="true" outlineLevel="0" collapsed="false">
      <c r="A564" s="95" t="str">
        <f aca="false">IF(AND(B564="",C564=""),"",ROW()-6)</f>
        <v/>
      </c>
      <c r="B564" s="83"/>
      <c r="C564" s="15"/>
      <c r="D564" s="15"/>
      <c r="E564" s="85"/>
      <c r="F564" s="15"/>
      <c r="G564" s="15"/>
      <c r="H564" s="96"/>
      <c r="I564" s="16"/>
      <c r="J564" s="37" t="str">
        <f aca="false">IF(I564="","",IF(H564="",1,H564)*I564)</f>
        <v/>
      </c>
      <c r="K564" s="15"/>
      <c r="L564" s="97" t="str">
        <f aca="false">IF(C564="","",IF(OR(C564="Material",C564="Equipo",C564="Suministro"),"Materiales y equipos",IF(C564="Mano de obra contratista","Mano de obra contratista",IF(C564="Transporte","Transporte y otros","Alquileres"))))</f>
        <v/>
      </c>
      <c r="M564" s="6"/>
    </row>
    <row r="565" customFormat="false" ht="16.5" hidden="false" customHeight="true" outlineLevel="0" collapsed="false">
      <c r="A565" s="95" t="str">
        <f aca="false">IF(AND(B565="",C565=""),"",ROW()-6)</f>
        <v/>
      </c>
      <c r="B565" s="83"/>
      <c r="C565" s="15"/>
      <c r="D565" s="15"/>
      <c r="E565" s="85"/>
      <c r="F565" s="15"/>
      <c r="G565" s="15"/>
      <c r="H565" s="96"/>
      <c r="I565" s="16"/>
      <c r="J565" s="37" t="str">
        <f aca="false">IF(I565="","",IF(H565="",1,H565)*I565)</f>
        <v/>
      </c>
      <c r="K565" s="15"/>
      <c r="L565" s="97" t="str">
        <f aca="false">IF(C565="","",IF(OR(C565="Material",C565="Equipo",C565="Suministro"),"Materiales y equipos",IF(C565="Mano de obra contratista","Mano de obra contratista",IF(C565="Transporte","Transporte y otros","Alquileres"))))</f>
        <v/>
      </c>
      <c r="M565" s="6"/>
    </row>
    <row r="566" customFormat="false" ht="16.5" hidden="false" customHeight="true" outlineLevel="0" collapsed="false">
      <c r="A566" s="95" t="str">
        <f aca="false">IF(AND(B566="",C566=""),"",ROW()-6)</f>
        <v/>
      </c>
      <c r="B566" s="83"/>
      <c r="C566" s="15"/>
      <c r="D566" s="15"/>
      <c r="E566" s="85"/>
      <c r="F566" s="15"/>
      <c r="G566" s="15"/>
      <c r="H566" s="96"/>
      <c r="I566" s="16"/>
      <c r="J566" s="37" t="str">
        <f aca="false">IF(I566="","",IF(H566="",1,H566)*I566)</f>
        <v/>
      </c>
      <c r="K566" s="15"/>
      <c r="L566" s="97" t="str">
        <f aca="false">IF(C566="","",IF(OR(C566="Material",C566="Equipo",C566="Suministro"),"Materiales y equipos",IF(C566="Mano de obra contratista","Mano de obra contratista",IF(C566="Transporte","Transporte y otros","Alquileres"))))</f>
        <v/>
      </c>
      <c r="M566" s="6"/>
    </row>
    <row r="567" customFormat="false" ht="16.5" hidden="false" customHeight="true" outlineLevel="0" collapsed="false">
      <c r="A567" s="95" t="str">
        <f aca="false">IF(AND(B567="",C567=""),"",ROW()-6)</f>
        <v/>
      </c>
      <c r="B567" s="83"/>
      <c r="C567" s="15"/>
      <c r="D567" s="15"/>
      <c r="E567" s="85"/>
      <c r="F567" s="15"/>
      <c r="G567" s="15"/>
      <c r="H567" s="96"/>
      <c r="I567" s="16"/>
      <c r="J567" s="37" t="str">
        <f aca="false">IF(I567="","",IF(H567="",1,H567)*I567)</f>
        <v/>
      </c>
      <c r="K567" s="15"/>
      <c r="L567" s="97" t="str">
        <f aca="false">IF(C567="","",IF(OR(C567="Material",C567="Equipo",C567="Suministro"),"Materiales y equipos",IF(C567="Mano de obra contratista","Mano de obra contratista",IF(C567="Transporte","Transporte y otros","Alquileres"))))</f>
        <v/>
      </c>
      <c r="M567" s="6"/>
    </row>
    <row r="568" customFormat="false" ht="16.5" hidden="false" customHeight="true" outlineLevel="0" collapsed="false">
      <c r="A568" s="95" t="str">
        <f aca="false">IF(AND(B568="",C568=""),"",ROW()-6)</f>
        <v/>
      </c>
      <c r="B568" s="83"/>
      <c r="C568" s="15"/>
      <c r="D568" s="15"/>
      <c r="E568" s="85"/>
      <c r="F568" s="15"/>
      <c r="G568" s="15"/>
      <c r="H568" s="96"/>
      <c r="I568" s="16"/>
      <c r="J568" s="37" t="str">
        <f aca="false">IF(I568="","",IF(H568="",1,H568)*I568)</f>
        <v/>
      </c>
      <c r="K568" s="15"/>
      <c r="L568" s="97" t="str">
        <f aca="false">IF(C568="","",IF(OR(C568="Material",C568="Equipo",C568="Suministro"),"Materiales y equipos",IF(C568="Mano de obra contratista","Mano de obra contratista",IF(C568="Transporte","Transporte y otros","Alquileres"))))</f>
        <v/>
      </c>
      <c r="M568" s="6"/>
    </row>
    <row r="569" customFormat="false" ht="16.5" hidden="false" customHeight="true" outlineLevel="0" collapsed="false">
      <c r="A569" s="95" t="str">
        <f aca="false">IF(AND(B569="",C569=""),"",ROW()-6)</f>
        <v/>
      </c>
      <c r="B569" s="83"/>
      <c r="C569" s="15"/>
      <c r="D569" s="15"/>
      <c r="E569" s="85"/>
      <c r="F569" s="15"/>
      <c r="G569" s="15"/>
      <c r="H569" s="96"/>
      <c r="I569" s="16"/>
      <c r="J569" s="37" t="str">
        <f aca="false">IF(I569="","",IF(H569="",1,H569)*I569)</f>
        <v/>
      </c>
      <c r="K569" s="15"/>
      <c r="L569" s="97" t="str">
        <f aca="false">IF(C569="","",IF(OR(C569="Material",C569="Equipo",C569="Suministro"),"Materiales y equipos",IF(C569="Mano de obra contratista","Mano de obra contratista",IF(C569="Transporte","Transporte y otros","Alquileres"))))</f>
        <v/>
      </c>
      <c r="M569" s="6"/>
    </row>
    <row r="570" customFormat="false" ht="16.5" hidden="false" customHeight="true" outlineLevel="0" collapsed="false">
      <c r="A570" s="95" t="str">
        <f aca="false">IF(AND(B570="",C570=""),"",ROW()-6)</f>
        <v/>
      </c>
      <c r="B570" s="83"/>
      <c r="C570" s="15"/>
      <c r="D570" s="15"/>
      <c r="E570" s="85"/>
      <c r="F570" s="15"/>
      <c r="G570" s="15"/>
      <c r="H570" s="96"/>
      <c r="I570" s="16"/>
      <c r="J570" s="37" t="str">
        <f aca="false">IF(I570="","",IF(H570="",1,H570)*I570)</f>
        <v/>
      </c>
      <c r="K570" s="15"/>
      <c r="L570" s="97" t="str">
        <f aca="false">IF(C570="","",IF(OR(C570="Material",C570="Equipo",C570="Suministro"),"Materiales y equipos",IF(C570="Mano de obra contratista","Mano de obra contratista",IF(C570="Transporte","Transporte y otros","Alquileres"))))</f>
        <v/>
      </c>
      <c r="M570" s="6"/>
    </row>
    <row r="571" customFormat="false" ht="16.5" hidden="false" customHeight="true" outlineLevel="0" collapsed="false">
      <c r="A571" s="95" t="str">
        <f aca="false">IF(AND(B571="",C571=""),"",ROW()-6)</f>
        <v/>
      </c>
      <c r="B571" s="83"/>
      <c r="C571" s="15"/>
      <c r="D571" s="15"/>
      <c r="E571" s="85"/>
      <c r="F571" s="15"/>
      <c r="G571" s="15"/>
      <c r="H571" s="96"/>
      <c r="I571" s="16"/>
      <c r="J571" s="37" t="str">
        <f aca="false">IF(I571="","",IF(H571="",1,H571)*I571)</f>
        <v/>
      </c>
      <c r="K571" s="15"/>
      <c r="L571" s="97" t="str">
        <f aca="false">IF(C571="","",IF(OR(C571="Material",C571="Equipo",C571="Suministro"),"Materiales y equipos",IF(C571="Mano de obra contratista","Mano de obra contratista",IF(C571="Transporte","Transporte y otros","Alquileres"))))</f>
        <v/>
      </c>
      <c r="M571" s="6"/>
    </row>
    <row r="572" customFormat="false" ht="16.5" hidden="false" customHeight="true" outlineLevel="0" collapsed="false">
      <c r="A572" s="95" t="str">
        <f aca="false">IF(AND(B572="",C572=""),"",ROW()-6)</f>
        <v/>
      </c>
      <c r="B572" s="83"/>
      <c r="C572" s="15"/>
      <c r="D572" s="15"/>
      <c r="E572" s="85"/>
      <c r="F572" s="15"/>
      <c r="G572" s="15"/>
      <c r="H572" s="96"/>
      <c r="I572" s="16"/>
      <c r="J572" s="37" t="str">
        <f aca="false">IF(I572="","",IF(H572="",1,H572)*I572)</f>
        <v/>
      </c>
      <c r="K572" s="15"/>
      <c r="L572" s="97" t="str">
        <f aca="false">IF(C572="","",IF(OR(C572="Material",C572="Equipo",C572="Suministro"),"Materiales y equipos",IF(C572="Mano de obra contratista","Mano de obra contratista",IF(C572="Transporte","Transporte y otros","Alquileres"))))</f>
        <v/>
      </c>
      <c r="M572" s="6"/>
    </row>
    <row r="573" customFormat="false" ht="16.5" hidden="false" customHeight="true" outlineLevel="0" collapsed="false">
      <c r="A573" s="95" t="str">
        <f aca="false">IF(AND(B573="",C573=""),"",ROW()-6)</f>
        <v/>
      </c>
      <c r="B573" s="83"/>
      <c r="C573" s="15"/>
      <c r="D573" s="15"/>
      <c r="E573" s="85"/>
      <c r="F573" s="15"/>
      <c r="G573" s="15"/>
      <c r="H573" s="96"/>
      <c r="I573" s="16"/>
      <c r="J573" s="37" t="str">
        <f aca="false">IF(I573="","",IF(H573="",1,H573)*I573)</f>
        <v/>
      </c>
      <c r="K573" s="15"/>
      <c r="L573" s="97" t="str">
        <f aca="false">IF(C573="","",IF(OR(C573="Material",C573="Equipo",C573="Suministro"),"Materiales y equipos",IF(C573="Mano de obra contratista","Mano de obra contratista",IF(C573="Transporte","Transporte y otros","Alquileres"))))</f>
        <v/>
      </c>
      <c r="M573" s="6"/>
    </row>
    <row r="574" customFormat="false" ht="16.5" hidden="false" customHeight="true" outlineLevel="0" collapsed="false">
      <c r="A574" s="95" t="str">
        <f aca="false">IF(AND(B574="",C574=""),"",ROW()-6)</f>
        <v/>
      </c>
      <c r="B574" s="83"/>
      <c r="C574" s="15"/>
      <c r="D574" s="15"/>
      <c r="E574" s="85"/>
      <c r="F574" s="15"/>
      <c r="G574" s="15"/>
      <c r="H574" s="96"/>
      <c r="I574" s="16"/>
      <c r="J574" s="37" t="str">
        <f aca="false">IF(I574="","",IF(H574="",1,H574)*I574)</f>
        <v/>
      </c>
      <c r="K574" s="15"/>
      <c r="L574" s="97" t="str">
        <f aca="false">IF(C574="","",IF(OR(C574="Material",C574="Equipo",C574="Suministro"),"Materiales y equipos",IF(C574="Mano de obra contratista","Mano de obra contratista",IF(C574="Transporte","Transporte y otros","Alquileres"))))</f>
        <v/>
      </c>
      <c r="M574" s="6"/>
    </row>
    <row r="575" customFormat="false" ht="16.5" hidden="false" customHeight="true" outlineLevel="0" collapsed="false">
      <c r="A575" s="95" t="str">
        <f aca="false">IF(AND(B575="",C575=""),"",ROW()-6)</f>
        <v/>
      </c>
      <c r="B575" s="83"/>
      <c r="C575" s="15"/>
      <c r="D575" s="15"/>
      <c r="E575" s="85"/>
      <c r="F575" s="15"/>
      <c r="G575" s="15"/>
      <c r="H575" s="96"/>
      <c r="I575" s="16"/>
      <c r="J575" s="37" t="str">
        <f aca="false">IF(I575="","",IF(H575="",1,H575)*I575)</f>
        <v/>
      </c>
      <c r="K575" s="15"/>
      <c r="L575" s="97" t="str">
        <f aca="false">IF(C575="","",IF(OR(C575="Material",C575="Equipo",C575="Suministro"),"Materiales y equipos",IF(C575="Mano de obra contratista","Mano de obra contratista",IF(C575="Transporte","Transporte y otros","Alquileres"))))</f>
        <v/>
      </c>
      <c r="M575" s="6"/>
    </row>
    <row r="576" customFormat="false" ht="16.5" hidden="false" customHeight="true" outlineLevel="0" collapsed="false">
      <c r="A576" s="95" t="str">
        <f aca="false">IF(AND(B576="",C576=""),"",ROW()-6)</f>
        <v/>
      </c>
      <c r="B576" s="83"/>
      <c r="C576" s="15"/>
      <c r="D576" s="15"/>
      <c r="E576" s="85"/>
      <c r="F576" s="15"/>
      <c r="G576" s="15"/>
      <c r="H576" s="96"/>
      <c r="I576" s="16"/>
      <c r="J576" s="37" t="str">
        <f aca="false">IF(I576="","",IF(H576="",1,H576)*I576)</f>
        <v/>
      </c>
      <c r="K576" s="15"/>
      <c r="L576" s="97" t="str">
        <f aca="false">IF(C576="","",IF(OR(C576="Material",C576="Equipo",C576="Suministro"),"Materiales y equipos",IF(C576="Mano de obra contratista","Mano de obra contratista",IF(C576="Transporte","Transporte y otros","Alquileres"))))</f>
        <v/>
      </c>
      <c r="M576" s="6"/>
    </row>
    <row r="577" customFormat="false" ht="16.5" hidden="false" customHeight="true" outlineLevel="0" collapsed="false">
      <c r="A577" s="95" t="str">
        <f aca="false">IF(AND(B577="",C577=""),"",ROW()-6)</f>
        <v/>
      </c>
      <c r="B577" s="83"/>
      <c r="C577" s="15"/>
      <c r="D577" s="15"/>
      <c r="E577" s="85"/>
      <c r="F577" s="15"/>
      <c r="G577" s="15"/>
      <c r="H577" s="96"/>
      <c r="I577" s="16"/>
      <c r="J577" s="37" t="str">
        <f aca="false">IF(I577="","",IF(H577="",1,H577)*I577)</f>
        <v/>
      </c>
      <c r="K577" s="15"/>
      <c r="L577" s="97" t="str">
        <f aca="false">IF(C577="","",IF(OR(C577="Material",C577="Equipo",C577="Suministro"),"Materiales y equipos",IF(C577="Mano de obra contratista","Mano de obra contratista",IF(C577="Transporte","Transporte y otros","Alquileres"))))</f>
        <v/>
      </c>
      <c r="M577" s="6"/>
    </row>
    <row r="578" customFormat="false" ht="16.5" hidden="false" customHeight="true" outlineLevel="0" collapsed="false">
      <c r="A578" s="95" t="str">
        <f aca="false">IF(AND(B578="",C578=""),"",ROW()-6)</f>
        <v/>
      </c>
      <c r="B578" s="83"/>
      <c r="C578" s="15"/>
      <c r="D578" s="15"/>
      <c r="E578" s="85"/>
      <c r="F578" s="15"/>
      <c r="G578" s="15"/>
      <c r="H578" s="96"/>
      <c r="I578" s="16"/>
      <c r="J578" s="37" t="str">
        <f aca="false">IF(I578="","",IF(H578="",1,H578)*I578)</f>
        <v/>
      </c>
      <c r="K578" s="15"/>
      <c r="L578" s="97" t="str">
        <f aca="false">IF(C578="","",IF(OR(C578="Material",C578="Equipo",C578="Suministro"),"Materiales y equipos",IF(C578="Mano de obra contratista","Mano de obra contratista",IF(C578="Transporte","Transporte y otros","Alquileres"))))</f>
        <v/>
      </c>
      <c r="M578" s="6"/>
    </row>
    <row r="579" customFormat="false" ht="16.5" hidden="false" customHeight="true" outlineLevel="0" collapsed="false">
      <c r="A579" s="95" t="str">
        <f aca="false">IF(AND(B579="",C579=""),"",ROW()-6)</f>
        <v/>
      </c>
      <c r="B579" s="83"/>
      <c r="C579" s="15"/>
      <c r="D579" s="15"/>
      <c r="E579" s="85"/>
      <c r="F579" s="15"/>
      <c r="G579" s="15"/>
      <c r="H579" s="96"/>
      <c r="I579" s="16"/>
      <c r="J579" s="37" t="str">
        <f aca="false">IF(I579="","",IF(H579="",1,H579)*I579)</f>
        <v/>
      </c>
      <c r="K579" s="15"/>
      <c r="L579" s="97" t="str">
        <f aca="false">IF(C579="","",IF(OR(C579="Material",C579="Equipo",C579="Suministro"),"Materiales y equipos",IF(C579="Mano de obra contratista","Mano de obra contratista",IF(C579="Transporte","Transporte y otros","Alquileres"))))</f>
        <v/>
      </c>
      <c r="M579" s="6"/>
    </row>
    <row r="580" customFormat="false" ht="16.5" hidden="false" customHeight="true" outlineLevel="0" collapsed="false">
      <c r="A580" s="95" t="str">
        <f aca="false">IF(AND(B580="",C580=""),"",ROW()-6)</f>
        <v/>
      </c>
      <c r="B580" s="83"/>
      <c r="C580" s="15"/>
      <c r="D580" s="15"/>
      <c r="E580" s="85"/>
      <c r="F580" s="15"/>
      <c r="G580" s="15"/>
      <c r="H580" s="96"/>
      <c r="I580" s="16"/>
      <c r="J580" s="37" t="str">
        <f aca="false">IF(I580="","",IF(H580="",1,H580)*I580)</f>
        <v/>
      </c>
      <c r="K580" s="15"/>
      <c r="L580" s="97" t="str">
        <f aca="false">IF(C580="","",IF(OR(C580="Material",C580="Equipo",C580="Suministro"),"Materiales y equipos",IF(C580="Mano de obra contratista","Mano de obra contratista",IF(C580="Transporte","Transporte y otros","Alquileres"))))</f>
        <v/>
      </c>
      <c r="M580" s="6"/>
    </row>
    <row r="581" customFormat="false" ht="16.5" hidden="false" customHeight="true" outlineLevel="0" collapsed="false">
      <c r="A581" s="95" t="str">
        <f aca="false">IF(AND(B581="",C581=""),"",ROW()-6)</f>
        <v/>
      </c>
      <c r="B581" s="83"/>
      <c r="C581" s="15"/>
      <c r="D581" s="15"/>
      <c r="E581" s="85"/>
      <c r="F581" s="15"/>
      <c r="G581" s="15"/>
      <c r="H581" s="96"/>
      <c r="I581" s="16"/>
      <c r="J581" s="37" t="str">
        <f aca="false">IF(I581="","",IF(H581="",1,H581)*I581)</f>
        <v/>
      </c>
      <c r="K581" s="15"/>
      <c r="L581" s="97" t="str">
        <f aca="false">IF(C581="","",IF(OR(C581="Material",C581="Equipo",C581="Suministro"),"Materiales y equipos",IF(C581="Mano de obra contratista","Mano de obra contratista",IF(C581="Transporte","Transporte y otros","Alquileres"))))</f>
        <v/>
      </c>
      <c r="M581" s="6"/>
    </row>
    <row r="582" customFormat="false" ht="16.5" hidden="false" customHeight="true" outlineLevel="0" collapsed="false">
      <c r="A582" s="95" t="str">
        <f aca="false">IF(AND(B582="",C582=""),"",ROW()-6)</f>
        <v/>
      </c>
      <c r="B582" s="83"/>
      <c r="C582" s="15"/>
      <c r="D582" s="15"/>
      <c r="E582" s="85"/>
      <c r="F582" s="15"/>
      <c r="G582" s="15"/>
      <c r="H582" s="96"/>
      <c r="I582" s="16"/>
      <c r="J582" s="37" t="str">
        <f aca="false">IF(I582="","",IF(H582="",1,H582)*I582)</f>
        <v/>
      </c>
      <c r="K582" s="15"/>
      <c r="L582" s="97" t="str">
        <f aca="false">IF(C582="","",IF(OR(C582="Material",C582="Equipo",C582="Suministro"),"Materiales y equipos",IF(C582="Mano de obra contratista","Mano de obra contratista",IF(C582="Transporte","Transporte y otros","Alquileres"))))</f>
        <v/>
      </c>
      <c r="M582" s="6"/>
    </row>
    <row r="583" customFormat="false" ht="16.5" hidden="false" customHeight="true" outlineLevel="0" collapsed="false">
      <c r="A583" s="95" t="str">
        <f aca="false">IF(AND(B583="",C583=""),"",ROW()-6)</f>
        <v/>
      </c>
      <c r="B583" s="83"/>
      <c r="C583" s="15"/>
      <c r="D583" s="15"/>
      <c r="E583" s="85"/>
      <c r="F583" s="15"/>
      <c r="G583" s="15"/>
      <c r="H583" s="96"/>
      <c r="I583" s="16"/>
      <c r="J583" s="37" t="str">
        <f aca="false">IF(I583="","",IF(H583="",1,H583)*I583)</f>
        <v/>
      </c>
      <c r="K583" s="15"/>
      <c r="L583" s="97" t="str">
        <f aca="false">IF(C583="","",IF(OR(C583="Material",C583="Equipo",C583="Suministro"),"Materiales y equipos",IF(C583="Mano de obra contratista","Mano de obra contratista",IF(C583="Transporte","Transporte y otros","Alquileres"))))</f>
        <v/>
      </c>
      <c r="M583" s="6"/>
    </row>
    <row r="584" customFormat="false" ht="16.5" hidden="false" customHeight="true" outlineLevel="0" collapsed="false">
      <c r="A584" s="95" t="str">
        <f aca="false">IF(AND(B584="",C584=""),"",ROW()-6)</f>
        <v/>
      </c>
      <c r="B584" s="83"/>
      <c r="C584" s="15"/>
      <c r="D584" s="15"/>
      <c r="E584" s="85"/>
      <c r="F584" s="15"/>
      <c r="G584" s="15"/>
      <c r="H584" s="96"/>
      <c r="I584" s="16"/>
      <c r="J584" s="37" t="str">
        <f aca="false">IF(I584="","",IF(H584="",1,H584)*I584)</f>
        <v/>
      </c>
      <c r="K584" s="15"/>
      <c r="L584" s="97" t="str">
        <f aca="false">IF(C584="","",IF(OR(C584="Material",C584="Equipo",C584="Suministro"),"Materiales y equipos",IF(C584="Mano de obra contratista","Mano de obra contratista",IF(C584="Transporte","Transporte y otros","Alquileres"))))</f>
        <v/>
      </c>
      <c r="M584" s="6"/>
    </row>
    <row r="585" customFormat="false" ht="16.5" hidden="false" customHeight="true" outlineLevel="0" collapsed="false">
      <c r="A585" s="95" t="str">
        <f aca="false">IF(AND(B585="",C585=""),"",ROW()-6)</f>
        <v/>
      </c>
      <c r="B585" s="83"/>
      <c r="C585" s="15"/>
      <c r="D585" s="15"/>
      <c r="E585" s="85"/>
      <c r="F585" s="15"/>
      <c r="G585" s="15"/>
      <c r="H585" s="96"/>
      <c r="I585" s="16"/>
      <c r="J585" s="37" t="str">
        <f aca="false">IF(I585="","",IF(H585="",1,H585)*I585)</f>
        <v/>
      </c>
      <c r="K585" s="15"/>
      <c r="L585" s="97" t="str">
        <f aca="false">IF(C585="","",IF(OR(C585="Material",C585="Equipo",C585="Suministro"),"Materiales y equipos",IF(C585="Mano de obra contratista","Mano de obra contratista",IF(C585="Transporte","Transporte y otros","Alquileres"))))</f>
        <v/>
      </c>
      <c r="M585" s="6"/>
    </row>
    <row r="586" customFormat="false" ht="16.5" hidden="false" customHeight="true" outlineLevel="0" collapsed="false">
      <c r="A586" s="95" t="str">
        <f aca="false">IF(AND(B586="",C586=""),"",ROW()-6)</f>
        <v/>
      </c>
      <c r="B586" s="83"/>
      <c r="C586" s="15"/>
      <c r="D586" s="15"/>
      <c r="E586" s="85"/>
      <c r="F586" s="15"/>
      <c r="G586" s="15"/>
      <c r="H586" s="96"/>
      <c r="I586" s="16"/>
      <c r="J586" s="37" t="str">
        <f aca="false">IF(I586="","",IF(H586="",1,H586)*I586)</f>
        <v/>
      </c>
      <c r="K586" s="15"/>
      <c r="L586" s="97" t="str">
        <f aca="false">IF(C586="","",IF(OR(C586="Material",C586="Equipo",C586="Suministro"),"Materiales y equipos",IF(C586="Mano de obra contratista","Mano de obra contratista",IF(C586="Transporte","Transporte y otros","Alquileres"))))</f>
        <v/>
      </c>
      <c r="M586" s="6"/>
    </row>
    <row r="587" customFormat="false" ht="16.5" hidden="false" customHeight="true" outlineLevel="0" collapsed="false">
      <c r="A587" s="95" t="str">
        <f aca="false">IF(AND(B587="",C587=""),"",ROW()-6)</f>
        <v/>
      </c>
      <c r="B587" s="83"/>
      <c r="C587" s="15"/>
      <c r="D587" s="15"/>
      <c r="E587" s="85"/>
      <c r="F587" s="15"/>
      <c r="G587" s="15"/>
      <c r="H587" s="96"/>
      <c r="I587" s="16"/>
      <c r="J587" s="37" t="str">
        <f aca="false">IF(I587="","",IF(H587="",1,H587)*I587)</f>
        <v/>
      </c>
      <c r="K587" s="15"/>
      <c r="L587" s="97" t="str">
        <f aca="false">IF(C587="","",IF(OR(C587="Material",C587="Equipo",C587="Suministro"),"Materiales y equipos",IF(C587="Mano de obra contratista","Mano de obra contratista",IF(C587="Transporte","Transporte y otros","Alquileres"))))</f>
        <v/>
      </c>
      <c r="M587" s="6"/>
    </row>
    <row r="588" customFormat="false" ht="16.5" hidden="false" customHeight="true" outlineLevel="0" collapsed="false">
      <c r="A588" s="95" t="str">
        <f aca="false">IF(AND(B588="",C588=""),"",ROW()-6)</f>
        <v/>
      </c>
      <c r="B588" s="83"/>
      <c r="C588" s="15"/>
      <c r="D588" s="15"/>
      <c r="E588" s="85"/>
      <c r="F588" s="15"/>
      <c r="G588" s="15"/>
      <c r="H588" s="96"/>
      <c r="I588" s="16"/>
      <c r="J588" s="37" t="str">
        <f aca="false">IF(I588="","",IF(H588="",1,H588)*I588)</f>
        <v/>
      </c>
      <c r="K588" s="15"/>
      <c r="L588" s="97" t="str">
        <f aca="false">IF(C588="","",IF(OR(C588="Material",C588="Equipo",C588="Suministro"),"Materiales y equipos",IF(C588="Mano de obra contratista","Mano de obra contratista",IF(C588="Transporte","Transporte y otros","Alquileres"))))</f>
        <v/>
      </c>
      <c r="M588" s="6"/>
    </row>
    <row r="589" customFormat="false" ht="16.5" hidden="false" customHeight="true" outlineLevel="0" collapsed="false">
      <c r="A589" s="95" t="str">
        <f aca="false">IF(AND(B589="",C589=""),"",ROW()-6)</f>
        <v/>
      </c>
      <c r="B589" s="83"/>
      <c r="C589" s="15"/>
      <c r="D589" s="15"/>
      <c r="E589" s="85"/>
      <c r="F589" s="15"/>
      <c r="G589" s="15"/>
      <c r="H589" s="96"/>
      <c r="I589" s="16"/>
      <c r="J589" s="37" t="str">
        <f aca="false">IF(I589="","",IF(H589="",1,H589)*I589)</f>
        <v/>
      </c>
      <c r="K589" s="15"/>
      <c r="L589" s="97" t="str">
        <f aca="false">IF(C589="","",IF(OR(C589="Material",C589="Equipo",C589="Suministro"),"Materiales y equipos",IF(C589="Mano de obra contratista","Mano de obra contratista",IF(C589="Transporte","Transporte y otros","Alquileres"))))</f>
        <v/>
      </c>
      <c r="M589" s="6"/>
    </row>
    <row r="590" customFormat="false" ht="16.5" hidden="false" customHeight="true" outlineLevel="0" collapsed="false">
      <c r="A590" s="95" t="str">
        <f aca="false">IF(AND(B590="",C590=""),"",ROW()-6)</f>
        <v/>
      </c>
      <c r="B590" s="83"/>
      <c r="C590" s="15"/>
      <c r="D590" s="15"/>
      <c r="E590" s="85"/>
      <c r="F590" s="15"/>
      <c r="G590" s="15"/>
      <c r="H590" s="96"/>
      <c r="I590" s="16"/>
      <c r="J590" s="37" t="str">
        <f aca="false">IF(I590="","",IF(H590="",1,H590)*I590)</f>
        <v/>
      </c>
      <c r="K590" s="15"/>
      <c r="L590" s="97" t="str">
        <f aca="false">IF(C590="","",IF(OR(C590="Material",C590="Equipo",C590="Suministro"),"Materiales y equipos",IF(C590="Mano de obra contratista","Mano de obra contratista",IF(C590="Transporte","Transporte y otros","Alquileres"))))</f>
        <v/>
      </c>
      <c r="M590" s="6"/>
    </row>
    <row r="591" customFormat="false" ht="16.5" hidden="false" customHeight="true" outlineLevel="0" collapsed="false">
      <c r="A591" s="95" t="str">
        <f aca="false">IF(AND(B591="",C591=""),"",ROW()-6)</f>
        <v/>
      </c>
      <c r="B591" s="83"/>
      <c r="C591" s="15"/>
      <c r="D591" s="15"/>
      <c r="E591" s="85"/>
      <c r="F591" s="15"/>
      <c r="G591" s="15"/>
      <c r="H591" s="96"/>
      <c r="I591" s="16"/>
      <c r="J591" s="37" t="str">
        <f aca="false">IF(I591="","",IF(H591="",1,H591)*I591)</f>
        <v/>
      </c>
      <c r="K591" s="15"/>
      <c r="L591" s="97" t="str">
        <f aca="false">IF(C591="","",IF(OR(C591="Material",C591="Equipo",C591="Suministro"),"Materiales y equipos",IF(C591="Mano de obra contratista","Mano de obra contratista",IF(C591="Transporte","Transporte y otros","Alquileres"))))</f>
        <v/>
      </c>
      <c r="M591" s="6"/>
    </row>
    <row r="592" customFormat="false" ht="16.5" hidden="false" customHeight="true" outlineLevel="0" collapsed="false">
      <c r="A592" s="95" t="str">
        <f aca="false">IF(AND(B592="",C592=""),"",ROW()-6)</f>
        <v/>
      </c>
      <c r="B592" s="83"/>
      <c r="C592" s="15"/>
      <c r="D592" s="15"/>
      <c r="E592" s="85"/>
      <c r="F592" s="15"/>
      <c r="G592" s="15"/>
      <c r="H592" s="96"/>
      <c r="I592" s="16"/>
      <c r="J592" s="37" t="str">
        <f aca="false">IF(I592="","",IF(H592="",1,H592)*I592)</f>
        <v/>
      </c>
      <c r="K592" s="15"/>
      <c r="L592" s="97" t="str">
        <f aca="false">IF(C592="","",IF(OR(C592="Material",C592="Equipo",C592="Suministro"),"Materiales y equipos",IF(C592="Mano de obra contratista","Mano de obra contratista",IF(C592="Transporte","Transporte y otros","Alquileres"))))</f>
        <v/>
      </c>
      <c r="M592" s="6"/>
    </row>
    <row r="593" customFormat="false" ht="16.5" hidden="false" customHeight="true" outlineLevel="0" collapsed="false">
      <c r="A593" s="95" t="str">
        <f aca="false">IF(AND(B593="",C593=""),"",ROW()-6)</f>
        <v/>
      </c>
      <c r="B593" s="83"/>
      <c r="C593" s="15"/>
      <c r="D593" s="15"/>
      <c r="E593" s="85"/>
      <c r="F593" s="15"/>
      <c r="G593" s="15"/>
      <c r="H593" s="96"/>
      <c r="I593" s="16"/>
      <c r="J593" s="37" t="str">
        <f aca="false">IF(I593="","",IF(H593="",1,H593)*I593)</f>
        <v/>
      </c>
      <c r="K593" s="15"/>
      <c r="L593" s="97" t="str">
        <f aca="false">IF(C593="","",IF(OR(C593="Material",C593="Equipo",C593="Suministro"),"Materiales y equipos",IF(C593="Mano de obra contratista","Mano de obra contratista",IF(C593="Transporte","Transporte y otros","Alquileres"))))</f>
        <v/>
      </c>
      <c r="M593" s="6"/>
    </row>
    <row r="594" customFormat="false" ht="16.5" hidden="false" customHeight="true" outlineLevel="0" collapsed="false">
      <c r="A594" s="95" t="str">
        <f aca="false">IF(AND(B594="",C594=""),"",ROW()-6)</f>
        <v/>
      </c>
      <c r="B594" s="83"/>
      <c r="C594" s="15"/>
      <c r="D594" s="15"/>
      <c r="E594" s="85"/>
      <c r="F594" s="15"/>
      <c r="G594" s="15"/>
      <c r="H594" s="96"/>
      <c r="I594" s="16"/>
      <c r="J594" s="37" t="str">
        <f aca="false">IF(I594="","",IF(H594="",1,H594)*I594)</f>
        <v/>
      </c>
      <c r="K594" s="15"/>
      <c r="L594" s="97" t="str">
        <f aca="false">IF(C594="","",IF(OR(C594="Material",C594="Equipo",C594="Suministro"),"Materiales y equipos",IF(C594="Mano de obra contratista","Mano de obra contratista",IF(C594="Transporte","Transporte y otros","Alquileres"))))</f>
        <v/>
      </c>
      <c r="M594" s="6"/>
    </row>
    <row r="595" customFormat="false" ht="16.5" hidden="false" customHeight="true" outlineLevel="0" collapsed="false">
      <c r="A595" s="95" t="str">
        <f aca="false">IF(AND(B595="",C595=""),"",ROW()-6)</f>
        <v/>
      </c>
      <c r="B595" s="83"/>
      <c r="C595" s="15"/>
      <c r="D595" s="15"/>
      <c r="E595" s="85"/>
      <c r="F595" s="15"/>
      <c r="G595" s="15"/>
      <c r="H595" s="96"/>
      <c r="I595" s="16"/>
      <c r="J595" s="37" t="str">
        <f aca="false">IF(I595="","",IF(H595="",1,H595)*I595)</f>
        <v/>
      </c>
      <c r="K595" s="15"/>
      <c r="L595" s="97" t="str">
        <f aca="false">IF(C595="","",IF(OR(C595="Material",C595="Equipo",C595="Suministro"),"Materiales y equipos",IF(C595="Mano de obra contratista","Mano de obra contratista",IF(C595="Transporte","Transporte y otros","Alquileres"))))</f>
        <v/>
      </c>
      <c r="M595" s="6"/>
    </row>
    <row r="596" customFormat="false" ht="16.5" hidden="false" customHeight="true" outlineLevel="0" collapsed="false">
      <c r="A596" s="95" t="str">
        <f aca="false">IF(AND(B596="",C596=""),"",ROW()-6)</f>
        <v/>
      </c>
      <c r="B596" s="83"/>
      <c r="C596" s="15"/>
      <c r="D596" s="15"/>
      <c r="E596" s="85"/>
      <c r="F596" s="15"/>
      <c r="G596" s="15"/>
      <c r="H596" s="96"/>
      <c r="I596" s="16"/>
      <c r="J596" s="37" t="str">
        <f aca="false">IF(I596="","",IF(H596="",1,H596)*I596)</f>
        <v/>
      </c>
      <c r="K596" s="15"/>
      <c r="L596" s="97" t="str">
        <f aca="false">IF(C596="","",IF(OR(C596="Material",C596="Equipo",C596="Suministro"),"Materiales y equipos",IF(C596="Mano de obra contratista","Mano de obra contratista",IF(C596="Transporte","Transporte y otros","Alquileres"))))</f>
        <v/>
      </c>
      <c r="M596" s="6"/>
    </row>
    <row r="597" customFormat="false" ht="16.5" hidden="false" customHeight="true" outlineLevel="0" collapsed="false">
      <c r="A597" s="95" t="str">
        <f aca="false">IF(AND(B597="",C597=""),"",ROW()-6)</f>
        <v/>
      </c>
      <c r="B597" s="83"/>
      <c r="C597" s="15"/>
      <c r="D597" s="15"/>
      <c r="E597" s="85"/>
      <c r="F597" s="15"/>
      <c r="G597" s="15"/>
      <c r="H597" s="96"/>
      <c r="I597" s="16"/>
      <c r="J597" s="37" t="str">
        <f aca="false">IF(I597="","",IF(H597="",1,H597)*I597)</f>
        <v/>
      </c>
      <c r="K597" s="15"/>
      <c r="L597" s="97" t="str">
        <f aca="false">IF(C597="","",IF(OR(C597="Material",C597="Equipo",C597="Suministro"),"Materiales y equipos",IF(C597="Mano de obra contratista","Mano de obra contratista",IF(C597="Transporte","Transporte y otros","Alquileres"))))</f>
        <v/>
      </c>
      <c r="M597" s="6"/>
    </row>
    <row r="598" customFormat="false" ht="16.5" hidden="false" customHeight="true" outlineLevel="0" collapsed="false">
      <c r="A598" s="95" t="str">
        <f aca="false">IF(AND(B598="",C598=""),"",ROW()-6)</f>
        <v/>
      </c>
      <c r="B598" s="83"/>
      <c r="C598" s="15"/>
      <c r="D598" s="15"/>
      <c r="E598" s="85"/>
      <c r="F598" s="15"/>
      <c r="G598" s="15"/>
      <c r="H598" s="96"/>
      <c r="I598" s="16"/>
      <c r="J598" s="37" t="str">
        <f aca="false">IF(I598="","",IF(H598="",1,H598)*I598)</f>
        <v/>
      </c>
      <c r="K598" s="15"/>
      <c r="L598" s="97" t="str">
        <f aca="false">IF(C598="","",IF(OR(C598="Material",C598="Equipo",C598="Suministro"),"Materiales y equipos",IF(C598="Mano de obra contratista","Mano de obra contratista",IF(C598="Transporte","Transporte y otros","Alquileres"))))</f>
        <v/>
      </c>
      <c r="M598" s="6"/>
    </row>
    <row r="599" customFormat="false" ht="16.5" hidden="false" customHeight="true" outlineLevel="0" collapsed="false">
      <c r="A599" s="95" t="str">
        <f aca="false">IF(AND(B599="",C599=""),"",ROW()-6)</f>
        <v/>
      </c>
      <c r="B599" s="83"/>
      <c r="C599" s="15"/>
      <c r="D599" s="15"/>
      <c r="E599" s="85"/>
      <c r="F599" s="15"/>
      <c r="G599" s="15"/>
      <c r="H599" s="96"/>
      <c r="I599" s="16"/>
      <c r="J599" s="37" t="str">
        <f aca="false">IF(I599="","",IF(H599="",1,H599)*I599)</f>
        <v/>
      </c>
      <c r="K599" s="15"/>
      <c r="L599" s="97" t="str">
        <f aca="false">IF(C599="","",IF(OR(C599="Material",C599="Equipo",C599="Suministro"),"Materiales y equipos",IF(C599="Mano de obra contratista","Mano de obra contratista",IF(C599="Transporte","Transporte y otros","Alquileres"))))</f>
        <v/>
      </c>
      <c r="M599" s="6"/>
    </row>
    <row r="600" customFormat="false" ht="16.5" hidden="false" customHeight="true" outlineLevel="0" collapsed="false">
      <c r="A600" s="95" t="str">
        <f aca="false">IF(AND(B600="",C600=""),"",ROW()-6)</f>
        <v/>
      </c>
      <c r="B600" s="83"/>
      <c r="C600" s="15"/>
      <c r="D600" s="15"/>
      <c r="E600" s="85"/>
      <c r="F600" s="15"/>
      <c r="G600" s="15"/>
      <c r="H600" s="96"/>
      <c r="I600" s="16"/>
      <c r="J600" s="37" t="str">
        <f aca="false">IF(I600="","",IF(H600="",1,H600)*I600)</f>
        <v/>
      </c>
      <c r="K600" s="15"/>
      <c r="L600" s="97" t="str">
        <f aca="false">IF(C600="","",IF(OR(C600="Material",C600="Equipo",C600="Suministro"),"Materiales y equipos",IF(C600="Mano de obra contratista","Mano de obra contratista",IF(C600="Transporte","Transporte y otros","Alquileres"))))</f>
        <v/>
      </c>
      <c r="M600" s="6"/>
    </row>
    <row r="601" customFormat="false" ht="16.5" hidden="false" customHeight="true" outlineLevel="0" collapsed="false">
      <c r="A601" s="95" t="str">
        <f aca="false">IF(AND(B601="",C601=""),"",ROW()-6)</f>
        <v/>
      </c>
      <c r="B601" s="83"/>
      <c r="C601" s="15"/>
      <c r="D601" s="15"/>
      <c r="E601" s="85"/>
      <c r="F601" s="15"/>
      <c r="G601" s="15"/>
      <c r="H601" s="96"/>
      <c r="I601" s="16"/>
      <c r="J601" s="37" t="str">
        <f aca="false">IF(I601="","",IF(H601="",1,H601)*I601)</f>
        <v/>
      </c>
      <c r="K601" s="15"/>
      <c r="L601" s="97" t="str">
        <f aca="false">IF(C601="","",IF(OR(C601="Material",C601="Equipo",C601="Suministro"),"Materiales y equipos",IF(C601="Mano de obra contratista","Mano de obra contratista",IF(C601="Transporte","Transporte y otros","Alquileres"))))</f>
        <v/>
      </c>
      <c r="M601" s="6"/>
    </row>
    <row r="602" customFormat="false" ht="16.5" hidden="false" customHeight="true" outlineLevel="0" collapsed="false">
      <c r="A602" s="95" t="str">
        <f aca="false">IF(AND(B602="",C602=""),"",ROW()-6)</f>
        <v/>
      </c>
      <c r="B602" s="83"/>
      <c r="C602" s="15"/>
      <c r="D602" s="15"/>
      <c r="E602" s="85"/>
      <c r="F602" s="15"/>
      <c r="G602" s="15"/>
      <c r="H602" s="96"/>
      <c r="I602" s="16"/>
      <c r="J602" s="37" t="str">
        <f aca="false">IF(I602="","",IF(H602="",1,H602)*I602)</f>
        <v/>
      </c>
      <c r="K602" s="15"/>
      <c r="L602" s="97" t="str">
        <f aca="false">IF(C602="","",IF(OR(C602="Material",C602="Equipo",C602="Suministro"),"Materiales y equipos",IF(C602="Mano de obra contratista","Mano de obra contratista",IF(C602="Transporte","Transporte y otros","Alquileres"))))</f>
        <v/>
      </c>
      <c r="M602" s="6"/>
    </row>
    <row r="603" customFormat="false" ht="16.5" hidden="false" customHeight="true" outlineLevel="0" collapsed="false">
      <c r="A603" s="95" t="str">
        <f aca="false">IF(AND(B603="",C603=""),"",ROW()-6)</f>
        <v/>
      </c>
      <c r="B603" s="83"/>
      <c r="C603" s="15"/>
      <c r="D603" s="15"/>
      <c r="E603" s="85"/>
      <c r="F603" s="15"/>
      <c r="G603" s="15"/>
      <c r="H603" s="96"/>
      <c r="I603" s="16"/>
      <c r="J603" s="37" t="str">
        <f aca="false">IF(I603="","",IF(H603="",1,H603)*I603)</f>
        <v/>
      </c>
      <c r="K603" s="15"/>
      <c r="L603" s="97" t="str">
        <f aca="false">IF(C603="","",IF(OR(C603="Material",C603="Equipo",C603="Suministro"),"Materiales y equipos",IF(C603="Mano de obra contratista","Mano de obra contratista",IF(C603="Transporte","Transporte y otros","Alquileres"))))</f>
        <v/>
      </c>
      <c r="M603" s="6"/>
    </row>
    <row r="604" customFormat="false" ht="16.5" hidden="false" customHeight="true" outlineLevel="0" collapsed="false">
      <c r="A604" s="95" t="str">
        <f aca="false">IF(AND(B604="",C604=""),"",ROW()-6)</f>
        <v/>
      </c>
      <c r="B604" s="83"/>
      <c r="C604" s="15"/>
      <c r="D604" s="15"/>
      <c r="E604" s="85"/>
      <c r="F604" s="15"/>
      <c r="G604" s="15"/>
      <c r="H604" s="96"/>
      <c r="I604" s="16"/>
      <c r="J604" s="37" t="str">
        <f aca="false">IF(I604="","",IF(H604="",1,H604)*I604)</f>
        <v/>
      </c>
      <c r="K604" s="15"/>
      <c r="L604" s="97" t="str">
        <f aca="false">IF(C604="","",IF(OR(C604="Material",C604="Equipo",C604="Suministro"),"Materiales y equipos",IF(C604="Mano de obra contratista","Mano de obra contratista",IF(C604="Transporte","Transporte y otros","Alquileres"))))</f>
        <v/>
      </c>
      <c r="M604" s="6"/>
    </row>
    <row r="605" customFormat="false" ht="16.5" hidden="false" customHeight="true" outlineLevel="0" collapsed="false">
      <c r="A605" s="95" t="str">
        <f aca="false">IF(AND(B605="",C605=""),"",ROW()-6)</f>
        <v/>
      </c>
      <c r="B605" s="83"/>
      <c r="C605" s="15"/>
      <c r="D605" s="15"/>
      <c r="E605" s="85"/>
      <c r="F605" s="15"/>
      <c r="G605" s="15"/>
      <c r="H605" s="96"/>
      <c r="I605" s="16"/>
      <c r="J605" s="37" t="str">
        <f aca="false">IF(I605="","",IF(H605="",1,H605)*I605)</f>
        <v/>
      </c>
      <c r="K605" s="15"/>
      <c r="L605" s="97" t="str">
        <f aca="false">IF(C605="","",IF(OR(C605="Material",C605="Equipo",C605="Suministro"),"Materiales y equipos",IF(C605="Mano de obra contratista","Mano de obra contratista",IF(C605="Transporte","Transporte y otros","Alquileres"))))</f>
        <v/>
      </c>
      <c r="M605" s="6"/>
    </row>
    <row r="606" customFormat="false" ht="16.5" hidden="false" customHeight="true" outlineLevel="0" collapsed="false">
      <c r="A606" s="95" t="str">
        <f aca="false">IF(AND(B606="",C606=""),"",ROW()-6)</f>
        <v/>
      </c>
      <c r="B606" s="83"/>
      <c r="C606" s="15"/>
      <c r="D606" s="15"/>
      <c r="E606" s="85"/>
      <c r="F606" s="15"/>
      <c r="G606" s="15"/>
      <c r="H606" s="96"/>
      <c r="I606" s="16"/>
      <c r="J606" s="37" t="str">
        <f aca="false">IF(I606="","",IF(H606="",1,H606)*I606)</f>
        <v/>
      </c>
      <c r="K606" s="15"/>
      <c r="L606" s="97" t="str">
        <f aca="false">IF(C606="","",IF(OR(C606="Material",C606="Equipo",C606="Suministro"),"Materiales y equipos",IF(C606="Mano de obra contratista","Mano de obra contratista",IF(C606="Transporte","Transporte y otros","Alquileres"))))</f>
        <v/>
      </c>
      <c r="M606" s="6"/>
    </row>
    <row r="607" customFormat="false" ht="16.5" hidden="false" customHeight="true" outlineLevel="0" collapsed="false">
      <c r="A607" s="95" t="str">
        <f aca="false">IF(AND(B607="",C607=""),"",ROW()-6)</f>
        <v/>
      </c>
      <c r="B607" s="83"/>
      <c r="C607" s="15"/>
      <c r="D607" s="15"/>
      <c r="E607" s="85"/>
      <c r="F607" s="15"/>
      <c r="G607" s="15"/>
      <c r="H607" s="96"/>
      <c r="I607" s="16"/>
      <c r="J607" s="37" t="str">
        <f aca="false">IF(I607="","",IF(H607="",1,H607)*I607)</f>
        <v/>
      </c>
      <c r="K607" s="15"/>
      <c r="L607" s="97" t="str">
        <f aca="false">IF(C607="","",IF(OR(C607="Material",C607="Equipo",C607="Suministro"),"Materiales y equipos",IF(C607="Mano de obra contratista","Mano de obra contratista",IF(C607="Transporte","Transporte y otros","Alquileres"))))</f>
        <v/>
      </c>
      <c r="M607" s="6"/>
    </row>
    <row r="608" customFormat="false" ht="16.5" hidden="false" customHeight="true" outlineLevel="0" collapsed="false">
      <c r="A608" s="95" t="str">
        <f aca="false">IF(AND(B608="",C608=""),"",ROW()-6)</f>
        <v/>
      </c>
      <c r="B608" s="83"/>
      <c r="C608" s="15"/>
      <c r="D608" s="15"/>
      <c r="E608" s="85"/>
      <c r="F608" s="15"/>
      <c r="G608" s="15"/>
      <c r="H608" s="96"/>
      <c r="I608" s="16"/>
      <c r="J608" s="37" t="str">
        <f aca="false">IF(I608="","",IF(H608="",1,H608)*I608)</f>
        <v/>
      </c>
      <c r="K608" s="15"/>
      <c r="L608" s="97" t="str">
        <f aca="false">IF(C608="","",IF(OR(C608="Material",C608="Equipo",C608="Suministro"),"Materiales y equipos",IF(C608="Mano de obra contratista","Mano de obra contratista",IF(C608="Transporte","Transporte y otros","Alquileres"))))</f>
        <v/>
      </c>
      <c r="M608" s="6"/>
    </row>
    <row r="609" customFormat="false" ht="16.5" hidden="false" customHeight="true" outlineLevel="0" collapsed="false">
      <c r="A609" s="95" t="str">
        <f aca="false">IF(AND(B609="",C609=""),"",ROW()-6)</f>
        <v/>
      </c>
      <c r="B609" s="83"/>
      <c r="C609" s="15"/>
      <c r="D609" s="15"/>
      <c r="E609" s="85"/>
      <c r="F609" s="15"/>
      <c r="G609" s="15"/>
      <c r="H609" s="96"/>
      <c r="I609" s="16"/>
      <c r="J609" s="37" t="str">
        <f aca="false">IF(I609="","",IF(H609="",1,H609)*I609)</f>
        <v/>
      </c>
      <c r="K609" s="15"/>
      <c r="L609" s="97" t="str">
        <f aca="false">IF(C609="","",IF(OR(C609="Material",C609="Equipo",C609="Suministro"),"Materiales y equipos",IF(C609="Mano de obra contratista","Mano de obra contratista",IF(C609="Transporte","Transporte y otros","Alquileres"))))</f>
        <v/>
      </c>
      <c r="M609" s="6"/>
    </row>
    <row r="610" customFormat="false" ht="16.5" hidden="false" customHeight="true" outlineLevel="0" collapsed="false">
      <c r="A610" s="95" t="str">
        <f aca="false">IF(AND(B610="",C610=""),"",ROW()-6)</f>
        <v/>
      </c>
      <c r="B610" s="83"/>
      <c r="C610" s="15"/>
      <c r="D610" s="15"/>
      <c r="E610" s="85"/>
      <c r="F610" s="15"/>
      <c r="G610" s="15"/>
      <c r="H610" s="96"/>
      <c r="I610" s="16"/>
      <c r="J610" s="37" t="str">
        <f aca="false">IF(I610="","",IF(H610="",1,H610)*I610)</f>
        <v/>
      </c>
      <c r="K610" s="15"/>
      <c r="L610" s="97" t="str">
        <f aca="false">IF(C610="","",IF(OR(C610="Material",C610="Equipo",C610="Suministro"),"Materiales y equipos",IF(C610="Mano de obra contratista","Mano de obra contratista",IF(C610="Transporte","Transporte y otros","Alquileres"))))</f>
        <v/>
      </c>
      <c r="M610" s="6"/>
    </row>
    <row r="611" customFormat="false" ht="16.5" hidden="false" customHeight="true" outlineLevel="0" collapsed="false">
      <c r="A611" s="95" t="str">
        <f aca="false">IF(AND(B611="",C611=""),"",ROW()-6)</f>
        <v/>
      </c>
      <c r="B611" s="83"/>
      <c r="C611" s="15"/>
      <c r="D611" s="15"/>
      <c r="E611" s="85"/>
      <c r="F611" s="15"/>
      <c r="G611" s="15"/>
      <c r="H611" s="96"/>
      <c r="I611" s="16"/>
      <c r="J611" s="37" t="str">
        <f aca="false">IF(I611="","",IF(H611="",1,H611)*I611)</f>
        <v/>
      </c>
      <c r="K611" s="15"/>
      <c r="L611" s="97" t="str">
        <f aca="false">IF(C611="","",IF(OR(C611="Material",C611="Equipo",C611="Suministro"),"Materiales y equipos",IF(C611="Mano de obra contratista","Mano de obra contratista",IF(C611="Transporte","Transporte y otros","Alquileres"))))</f>
        <v/>
      </c>
      <c r="M611" s="6"/>
    </row>
    <row r="612" customFormat="false" ht="16.5" hidden="false" customHeight="true" outlineLevel="0" collapsed="false">
      <c r="A612" s="95" t="str">
        <f aca="false">IF(AND(B612="",C612=""),"",ROW()-6)</f>
        <v/>
      </c>
      <c r="B612" s="83"/>
      <c r="C612" s="15"/>
      <c r="D612" s="15"/>
      <c r="E612" s="85"/>
      <c r="F612" s="15"/>
      <c r="G612" s="15"/>
      <c r="H612" s="96"/>
      <c r="I612" s="16"/>
      <c r="J612" s="37" t="str">
        <f aca="false">IF(I612="","",IF(H612="",1,H612)*I612)</f>
        <v/>
      </c>
      <c r="K612" s="15"/>
      <c r="L612" s="97" t="str">
        <f aca="false">IF(C612="","",IF(OR(C612="Material",C612="Equipo",C612="Suministro"),"Materiales y equipos",IF(C612="Mano de obra contratista","Mano de obra contratista",IF(C612="Transporte","Transporte y otros","Alquileres"))))</f>
        <v/>
      </c>
      <c r="M612" s="6"/>
    </row>
    <row r="613" customFormat="false" ht="16.5" hidden="false" customHeight="true" outlineLevel="0" collapsed="false">
      <c r="A613" s="95" t="str">
        <f aca="false">IF(AND(B613="",C613=""),"",ROW()-6)</f>
        <v/>
      </c>
      <c r="B613" s="83"/>
      <c r="C613" s="15"/>
      <c r="D613" s="15"/>
      <c r="E613" s="85"/>
      <c r="F613" s="15"/>
      <c r="G613" s="15"/>
      <c r="H613" s="96"/>
      <c r="I613" s="16"/>
      <c r="J613" s="37" t="str">
        <f aca="false">IF(I613="","",IF(H613="",1,H613)*I613)</f>
        <v/>
      </c>
      <c r="K613" s="15"/>
      <c r="L613" s="97" t="str">
        <f aca="false">IF(C613="","",IF(OR(C613="Material",C613="Equipo",C613="Suministro"),"Materiales y equipos",IF(C613="Mano de obra contratista","Mano de obra contratista",IF(C613="Transporte","Transporte y otros","Alquileres"))))</f>
        <v/>
      </c>
      <c r="M613" s="6"/>
    </row>
    <row r="614" customFormat="false" ht="16.5" hidden="false" customHeight="true" outlineLevel="0" collapsed="false">
      <c r="A614" s="95" t="str">
        <f aca="false">IF(AND(B614="",C614=""),"",ROW()-6)</f>
        <v/>
      </c>
      <c r="B614" s="83"/>
      <c r="C614" s="15"/>
      <c r="D614" s="15"/>
      <c r="E614" s="85"/>
      <c r="F614" s="15"/>
      <c r="G614" s="15"/>
      <c r="H614" s="96"/>
      <c r="I614" s="16"/>
      <c r="J614" s="37" t="str">
        <f aca="false">IF(I614="","",IF(H614="",1,H614)*I614)</f>
        <v/>
      </c>
      <c r="K614" s="15"/>
      <c r="L614" s="97" t="str">
        <f aca="false">IF(C614="","",IF(OR(C614="Material",C614="Equipo",C614="Suministro"),"Materiales y equipos",IF(C614="Mano de obra contratista","Mano de obra contratista",IF(C614="Transporte","Transporte y otros","Alquileres"))))</f>
        <v/>
      </c>
      <c r="M614" s="6"/>
    </row>
    <row r="615" customFormat="false" ht="16.5" hidden="false" customHeight="true" outlineLevel="0" collapsed="false">
      <c r="A615" s="95" t="str">
        <f aca="false">IF(AND(B615="",C615=""),"",ROW()-6)</f>
        <v/>
      </c>
      <c r="B615" s="83"/>
      <c r="C615" s="15"/>
      <c r="D615" s="15"/>
      <c r="E615" s="85"/>
      <c r="F615" s="15"/>
      <c r="G615" s="15"/>
      <c r="H615" s="96"/>
      <c r="I615" s="16"/>
      <c r="J615" s="37" t="str">
        <f aca="false">IF(I615="","",IF(H615="",1,H615)*I615)</f>
        <v/>
      </c>
      <c r="K615" s="15"/>
      <c r="L615" s="97" t="str">
        <f aca="false">IF(C615="","",IF(OR(C615="Material",C615="Equipo",C615="Suministro"),"Materiales y equipos",IF(C615="Mano de obra contratista","Mano de obra contratista",IF(C615="Transporte","Transporte y otros","Alquileres"))))</f>
        <v/>
      </c>
      <c r="M615" s="6"/>
    </row>
    <row r="616" customFormat="false" ht="16.5" hidden="false" customHeight="true" outlineLevel="0" collapsed="false">
      <c r="A616" s="95" t="str">
        <f aca="false">IF(AND(B616="",C616=""),"",ROW()-6)</f>
        <v/>
      </c>
      <c r="B616" s="83"/>
      <c r="C616" s="15"/>
      <c r="D616" s="15"/>
      <c r="E616" s="85"/>
      <c r="F616" s="15"/>
      <c r="G616" s="15"/>
      <c r="H616" s="96"/>
      <c r="I616" s="16"/>
      <c r="J616" s="37" t="str">
        <f aca="false">IF(I616="","",IF(H616="",1,H616)*I616)</f>
        <v/>
      </c>
      <c r="K616" s="15"/>
      <c r="L616" s="97" t="str">
        <f aca="false">IF(C616="","",IF(OR(C616="Material",C616="Equipo",C616="Suministro"),"Materiales y equipos",IF(C616="Mano de obra contratista","Mano de obra contratista",IF(C616="Transporte","Transporte y otros","Alquileres"))))</f>
        <v/>
      </c>
      <c r="M616" s="6"/>
    </row>
    <row r="617" customFormat="false" ht="16.5" hidden="false" customHeight="true" outlineLevel="0" collapsed="false">
      <c r="A617" s="95" t="str">
        <f aca="false">IF(AND(B617="",C617=""),"",ROW()-6)</f>
        <v/>
      </c>
      <c r="B617" s="83"/>
      <c r="C617" s="15"/>
      <c r="D617" s="15"/>
      <c r="E617" s="85"/>
      <c r="F617" s="15"/>
      <c r="G617" s="15"/>
      <c r="H617" s="96"/>
      <c r="I617" s="16"/>
      <c r="J617" s="37" t="str">
        <f aca="false">IF(I617="","",IF(H617="",1,H617)*I617)</f>
        <v/>
      </c>
      <c r="K617" s="15"/>
      <c r="L617" s="97" t="str">
        <f aca="false">IF(C617="","",IF(OR(C617="Material",C617="Equipo",C617="Suministro"),"Materiales y equipos",IF(C617="Mano de obra contratista","Mano de obra contratista",IF(C617="Transporte","Transporte y otros","Alquileres"))))</f>
        <v/>
      </c>
      <c r="M617" s="6"/>
    </row>
    <row r="618" customFormat="false" ht="16.5" hidden="false" customHeight="true" outlineLevel="0" collapsed="false">
      <c r="A618" s="95" t="str">
        <f aca="false">IF(AND(B618="",C618=""),"",ROW()-6)</f>
        <v/>
      </c>
      <c r="B618" s="83"/>
      <c r="C618" s="15"/>
      <c r="D618" s="15"/>
      <c r="E618" s="85"/>
      <c r="F618" s="15"/>
      <c r="G618" s="15"/>
      <c r="H618" s="96"/>
      <c r="I618" s="16"/>
      <c r="J618" s="37" t="str">
        <f aca="false">IF(I618="","",IF(H618="",1,H618)*I618)</f>
        <v/>
      </c>
      <c r="K618" s="15"/>
      <c r="L618" s="97" t="str">
        <f aca="false">IF(C618="","",IF(OR(C618="Material",C618="Equipo",C618="Suministro"),"Materiales y equipos",IF(C618="Mano de obra contratista","Mano de obra contratista",IF(C618="Transporte","Transporte y otros","Alquileres"))))</f>
        <v/>
      </c>
      <c r="M618" s="6"/>
    </row>
    <row r="619" customFormat="false" ht="16.5" hidden="false" customHeight="true" outlineLevel="0" collapsed="false">
      <c r="A619" s="95" t="str">
        <f aca="false">IF(AND(B619="",C619=""),"",ROW()-6)</f>
        <v/>
      </c>
      <c r="B619" s="83"/>
      <c r="C619" s="15"/>
      <c r="D619" s="15"/>
      <c r="E619" s="85"/>
      <c r="F619" s="15"/>
      <c r="G619" s="15"/>
      <c r="H619" s="96"/>
      <c r="I619" s="16"/>
      <c r="J619" s="37" t="str">
        <f aca="false">IF(I619="","",IF(H619="",1,H619)*I619)</f>
        <v/>
      </c>
      <c r="K619" s="15"/>
      <c r="L619" s="97" t="str">
        <f aca="false">IF(C619="","",IF(OR(C619="Material",C619="Equipo",C619="Suministro"),"Materiales y equipos",IF(C619="Mano de obra contratista","Mano de obra contratista",IF(C619="Transporte","Transporte y otros","Alquileres"))))</f>
        <v/>
      </c>
      <c r="M619" s="6"/>
    </row>
    <row r="620" customFormat="false" ht="16.5" hidden="false" customHeight="true" outlineLevel="0" collapsed="false">
      <c r="A620" s="95" t="str">
        <f aca="false">IF(AND(B620="",C620=""),"",ROW()-6)</f>
        <v/>
      </c>
      <c r="B620" s="83"/>
      <c r="C620" s="15"/>
      <c r="D620" s="15"/>
      <c r="E620" s="85"/>
      <c r="F620" s="15"/>
      <c r="G620" s="15"/>
      <c r="H620" s="96"/>
      <c r="I620" s="16"/>
      <c r="J620" s="37" t="str">
        <f aca="false">IF(I620="","",IF(H620="",1,H620)*I620)</f>
        <v/>
      </c>
      <c r="K620" s="15"/>
      <c r="L620" s="97" t="str">
        <f aca="false">IF(C620="","",IF(OR(C620="Material",C620="Equipo",C620="Suministro"),"Materiales y equipos",IF(C620="Mano de obra contratista","Mano de obra contratista",IF(C620="Transporte","Transporte y otros","Alquileres"))))</f>
        <v/>
      </c>
      <c r="M620" s="6"/>
    </row>
    <row r="621" customFormat="false" ht="16.5" hidden="false" customHeight="true" outlineLevel="0" collapsed="false">
      <c r="A621" s="95" t="str">
        <f aca="false">IF(AND(B621="",C621=""),"",ROW()-6)</f>
        <v/>
      </c>
      <c r="B621" s="83"/>
      <c r="C621" s="15"/>
      <c r="D621" s="15"/>
      <c r="E621" s="85"/>
      <c r="F621" s="15"/>
      <c r="G621" s="15"/>
      <c r="H621" s="96"/>
      <c r="I621" s="16"/>
      <c r="J621" s="37" t="str">
        <f aca="false">IF(I621="","",IF(H621="",1,H621)*I621)</f>
        <v/>
      </c>
      <c r="K621" s="15"/>
      <c r="L621" s="97" t="str">
        <f aca="false">IF(C621="","",IF(OR(C621="Material",C621="Equipo",C621="Suministro"),"Materiales y equipos",IF(C621="Mano de obra contratista","Mano de obra contratista",IF(C621="Transporte","Transporte y otros","Alquileres"))))</f>
        <v/>
      </c>
      <c r="M621" s="6"/>
    </row>
    <row r="622" customFormat="false" ht="16.5" hidden="false" customHeight="true" outlineLevel="0" collapsed="false">
      <c r="A622" s="95" t="str">
        <f aca="false">IF(AND(B622="",C622=""),"",ROW()-6)</f>
        <v/>
      </c>
      <c r="B622" s="83"/>
      <c r="C622" s="15"/>
      <c r="D622" s="15"/>
      <c r="E622" s="85"/>
      <c r="F622" s="15"/>
      <c r="G622" s="15"/>
      <c r="H622" s="96"/>
      <c r="I622" s="16"/>
      <c r="J622" s="37" t="str">
        <f aca="false">IF(I622="","",IF(H622="",1,H622)*I622)</f>
        <v/>
      </c>
      <c r="K622" s="15"/>
      <c r="L622" s="97" t="str">
        <f aca="false">IF(C622="","",IF(OR(C622="Material",C622="Equipo",C622="Suministro"),"Materiales y equipos",IF(C622="Mano de obra contratista","Mano de obra contratista",IF(C622="Transporte","Transporte y otros","Alquileres"))))</f>
        <v/>
      </c>
      <c r="M622" s="6"/>
    </row>
    <row r="623" customFormat="false" ht="16.5" hidden="false" customHeight="true" outlineLevel="0" collapsed="false">
      <c r="A623" s="95" t="str">
        <f aca="false">IF(AND(B623="",C623=""),"",ROW()-6)</f>
        <v/>
      </c>
      <c r="B623" s="83"/>
      <c r="C623" s="15"/>
      <c r="D623" s="15"/>
      <c r="E623" s="85"/>
      <c r="F623" s="15"/>
      <c r="G623" s="15"/>
      <c r="H623" s="96"/>
      <c r="I623" s="16"/>
      <c r="J623" s="37" t="str">
        <f aca="false">IF(I623="","",IF(H623="",1,H623)*I623)</f>
        <v/>
      </c>
      <c r="K623" s="15"/>
      <c r="L623" s="97" t="str">
        <f aca="false">IF(C623="","",IF(OR(C623="Material",C623="Equipo",C623="Suministro"),"Materiales y equipos",IF(C623="Mano de obra contratista","Mano de obra contratista",IF(C623="Transporte","Transporte y otros","Alquileres"))))</f>
        <v/>
      </c>
      <c r="M623" s="6"/>
    </row>
    <row r="624" customFormat="false" ht="16.5" hidden="false" customHeight="true" outlineLevel="0" collapsed="false">
      <c r="A624" s="95" t="str">
        <f aca="false">IF(AND(B624="",C624=""),"",ROW()-6)</f>
        <v/>
      </c>
      <c r="B624" s="83"/>
      <c r="C624" s="15"/>
      <c r="D624" s="15"/>
      <c r="E624" s="85"/>
      <c r="F624" s="15"/>
      <c r="G624" s="15"/>
      <c r="H624" s="96"/>
      <c r="I624" s="16"/>
      <c r="J624" s="37" t="str">
        <f aca="false">IF(I624="","",IF(H624="",1,H624)*I624)</f>
        <v/>
      </c>
      <c r="K624" s="15"/>
      <c r="L624" s="97" t="str">
        <f aca="false">IF(C624="","",IF(OR(C624="Material",C624="Equipo",C624="Suministro"),"Materiales y equipos",IF(C624="Mano de obra contratista","Mano de obra contratista",IF(C624="Transporte","Transporte y otros","Alquileres"))))</f>
        <v/>
      </c>
      <c r="M624" s="6"/>
    </row>
    <row r="625" customFormat="false" ht="16.5" hidden="false" customHeight="true" outlineLevel="0" collapsed="false">
      <c r="A625" s="95" t="str">
        <f aca="false">IF(AND(B625="",C625=""),"",ROW()-6)</f>
        <v/>
      </c>
      <c r="B625" s="83"/>
      <c r="C625" s="15"/>
      <c r="D625" s="15"/>
      <c r="E625" s="85"/>
      <c r="F625" s="15"/>
      <c r="G625" s="15"/>
      <c r="H625" s="96"/>
      <c r="I625" s="16"/>
      <c r="J625" s="37" t="str">
        <f aca="false">IF(I625="","",IF(H625="",1,H625)*I625)</f>
        <v/>
      </c>
      <c r="K625" s="15"/>
      <c r="L625" s="97" t="str">
        <f aca="false">IF(C625="","",IF(OR(C625="Material",C625="Equipo",C625="Suministro"),"Materiales y equipos",IF(C625="Mano de obra contratista","Mano de obra contratista",IF(C625="Transporte","Transporte y otros","Alquileres"))))</f>
        <v/>
      </c>
      <c r="M625" s="6"/>
    </row>
    <row r="626" customFormat="false" ht="16.5" hidden="false" customHeight="true" outlineLevel="0" collapsed="false">
      <c r="A626" s="95" t="str">
        <f aca="false">IF(AND(B626="",C626=""),"",ROW()-6)</f>
        <v/>
      </c>
      <c r="B626" s="83"/>
      <c r="C626" s="15"/>
      <c r="D626" s="15"/>
      <c r="E626" s="85"/>
      <c r="F626" s="15"/>
      <c r="G626" s="15"/>
      <c r="H626" s="96"/>
      <c r="I626" s="16"/>
      <c r="J626" s="37" t="str">
        <f aca="false">IF(I626="","",IF(H626="",1,H626)*I626)</f>
        <v/>
      </c>
      <c r="K626" s="15"/>
      <c r="L626" s="97" t="str">
        <f aca="false">IF(C626="","",IF(OR(C626="Material",C626="Equipo",C626="Suministro"),"Materiales y equipos",IF(C626="Mano de obra contratista","Mano de obra contratista",IF(C626="Transporte","Transporte y otros","Alquileres"))))</f>
        <v/>
      </c>
      <c r="M626" s="6"/>
    </row>
    <row r="627" customFormat="false" ht="16.5" hidden="false" customHeight="true" outlineLevel="0" collapsed="false">
      <c r="A627" s="95" t="str">
        <f aca="false">IF(AND(B627="",C627=""),"",ROW()-6)</f>
        <v/>
      </c>
      <c r="B627" s="83"/>
      <c r="C627" s="15"/>
      <c r="D627" s="15"/>
      <c r="E627" s="85"/>
      <c r="F627" s="15"/>
      <c r="G627" s="15"/>
      <c r="H627" s="96"/>
      <c r="I627" s="16"/>
      <c r="J627" s="37" t="str">
        <f aca="false">IF(I627="","",IF(H627="",1,H627)*I627)</f>
        <v/>
      </c>
      <c r="K627" s="15"/>
      <c r="L627" s="97" t="str">
        <f aca="false">IF(C627="","",IF(OR(C627="Material",C627="Equipo",C627="Suministro"),"Materiales y equipos",IF(C627="Mano de obra contratista","Mano de obra contratista",IF(C627="Transporte","Transporte y otros","Alquileres"))))</f>
        <v/>
      </c>
      <c r="M627" s="6"/>
    </row>
    <row r="628" customFormat="false" ht="16.5" hidden="false" customHeight="true" outlineLevel="0" collapsed="false">
      <c r="A628" s="95" t="str">
        <f aca="false">IF(AND(B628="",C628=""),"",ROW()-6)</f>
        <v/>
      </c>
      <c r="B628" s="83"/>
      <c r="C628" s="15"/>
      <c r="D628" s="15"/>
      <c r="E628" s="85"/>
      <c r="F628" s="15"/>
      <c r="G628" s="15"/>
      <c r="H628" s="96"/>
      <c r="I628" s="16"/>
      <c r="J628" s="37" t="str">
        <f aca="false">IF(I628="","",IF(H628="",1,H628)*I628)</f>
        <v/>
      </c>
      <c r="K628" s="15"/>
      <c r="L628" s="97" t="str">
        <f aca="false">IF(C628="","",IF(OR(C628="Material",C628="Equipo",C628="Suministro"),"Materiales y equipos",IF(C628="Mano de obra contratista","Mano de obra contratista",IF(C628="Transporte","Transporte y otros","Alquileres"))))</f>
        <v/>
      </c>
      <c r="M628" s="6"/>
    </row>
    <row r="629" customFormat="false" ht="16.5" hidden="false" customHeight="true" outlineLevel="0" collapsed="false">
      <c r="A629" s="95" t="str">
        <f aca="false">IF(AND(B629="",C629=""),"",ROW()-6)</f>
        <v/>
      </c>
      <c r="B629" s="83"/>
      <c r="C629" s="15"/>
      <c r="D629" s="15"/>
      <c r="E629" s="85"/>
      <c r="F629" s="15"/>
      <c r="G629" s="15"/>
      <c r="H629" s="96"/>
      <c r="I629" s="16"/>
      <c r="J629" s="37" t="str">
        <f aca="false">IF(I629="","",IF(H629="",1,H629)*I629)</f>
        <v/>
      </c>
      <c r="K629" s="15"/>
      <c r="L629" s="97" t="str">
        <f aca="false">IF(C629="","",IF(OR(C629="Material",C629="Equipo",C629="Suministro"),"Materiales y equipos",IF(C629="Mano de obra contratista","Mano de obra contratista",IF(C629="Transporte","Transporte y otros","Alquileres"))))</f>
        <v/>
      </c>
      <c r="M629" s="6"/>
    </row>
    <row r="630" customFormat="false" ht="16.5" hidden="false" customHeight="true" outlineLevel="0" collapsed="false">
      <c r="A630" s="95" t="str">
        <f aca="false">IF(AND(B630="",C630=""),"",ROW()-6)</f>
        <v/>
      </c>
      <c r="B630" s="83"/>
      <c r="C630" s="15"/>
      <c r="D630" s="15"/>
      <c r="E630" s="85"/>
      <c r="F630" s="15"/>
      <c r="G630" s="15"/>
      <c r="H630" s="96"/>
      <c r="I630" s="16"/>
      <c r="J630" s="37" t="str">
        <f aca="false">IF(I630="","",IF(H630="",1,H630)*I630)</f>
        <v/>
      </c>
      <c r="K630" s="15"/>
      <c r="L630" s="97" t="str">
        <f aca="false">IF(C630="","",IF(OR(C630="Material",C630="Equipo",C630="Suministro"),"Materiales y equipos",IF(C630="Mano de obra contratista","Mano de obra contratista",IF(C630="Transporte","Transporte y otros","Alquileres"))))</f>
        <v/>
      </c>
      <c r="M630" s="6"/>
    </row>
    <row r="631" customFormat="false" ht="16.5" hidden="false" customHeight="true" outlineLevel="0" collapsed="false">
      <c r="A631" s="95" t="str">
        <f aca="false">IF(AND(B631="",C631=""),"",ROW()-6)</f>
        <v/>
      </c>
      <c r="B631" s="83"/>
      <c r="C631" s="15"/>
      <c r="D631" s="15"/>
      <c r="E631" s="85"/>
      <c r="F631" s="15"/>
      <c r="G631" s="15"/>
      <c r="H631" s="96"/>
      <c r="I631" s="16"/>
      <c r="J631" s="37" t="str">
        <f aca="false">IF(I631="","",IF(H631="",1,H631)*I631)</f>
        <v/>
      </c>
      <c r="K631" s="15"/>
      <c r="L631" s="97" t="str">
        <f aca="false">IF(C631="","",IF(OR(C631="Material",C631="Equipo",C631="Suministro"),"Materiales y equipos",IF(C631="Mano de obra contratista","Mano de obra contratista",IF(C631="Transporte","Transporte y otros","Alquileres"))))</f>
        <v/>
      </c>
      <c r="M631" s="6"/>
    </row>
    <row r="632" customFormat="false" ht="16.5" hidden="false" customHeight="true" outlineLevel="0" collapsed="false">
      <c r="A632" s="95" t="str">
        <f aca="false">IF(AND(B632="",C632=""),"",ROW()-6)</f>
        <v/>
      </c>
      <c r="B632" s="83"/>
      <c r="C632" s="15"/>
      <c r="D632" s="15"/>
      <c r="E632" s="85"/>
      <c r="F632" s="15"/>
      <c r="G632" s="15"/>
      <c r="H632" s="96"/>
      <c r="I632" s="16"/>
      <c r="J632" s="37" t="str">
        <f aca="false">IF(I632="","",IF(H632="",1,H632)*I632)</f>
        <v/>
      </c>
      <c r="K632" s="15"/>
      <c r="L632" s="97" t="str">
        <f aca="false">IF(C632="","",IF(OR(C632="Material",C632="Equipo",C632="Suministro"),"Materiales y equipos",IF(C632="Mano de obra contratista","Mano de obra contratista",IF(C632="Transporte","Transporte y otros","Alquileres"))))</f>
        <v/>
      </c>
      <c r="M632" s="6"/>
    </row>
    <row r="633" customFormat="false" ht="16.5" hidden="false" customHeight="true" outlineLevel="0" collapsed="false">
      <c r="A633" s="95" t="str">
        <f aca="false">IF(AND(B633="",C633=""),"",ROW()-6)</f>
        <v/>
      </c>
      <c r="B633" s="83"/>
      <c r="C633" s="15"/>
      <c r="D633" s="15"/>
      <c r="E633" s="85"/>
      <c r="F633" s="15"/>
      <c r="G633" s="15"/>
      <c r="H633" s="96"/>
      <c r="I633" s="16"/>
      <c r="J633" s="37" t="str">
        <f aca="false">IF(I633="","",IF(H633="",1,H633)*I633)</f>
        <v/>
      </c>
      <c r="K633" s="15"/>
      <c r="L633" s="97" t="str">
        <f aca="false">IF(C633="","",IF(OR(C633="Material",C633="Equipo",C633="Suministro"),"Materiales y equipos",IF(C633="Mano de obra contratista","Mano de obra contratista",IF(C633="Transporte","Transporte y otros","Alquileres"))))</f>
        <v/>
      </c>
      <c r="M633" s="6"/>
    </row>
    <row r="634" customFormat="false" ht="16.5" hidden="false" customHeight="true" outlineLevel="0" collapsed="false">
      <c r="A634" s="95" t="str">
        <f aca="false">IF(AND(B634="",C634=""),"",ROW()-6)</f>
        <v/>
      </c>
      <c r="B634" s="83"/>
      <c r="C634" s="15"/>
      <c r="D634" s="15"/>
      <c r="E634" s="85"/>
      <c r="F634" s="15"/>
      <c r="G634" s="15"/>
      <c r="H634" s="96"/>
      <c r="I634" s="16"/>
      <c r="J634" s="37" t="str">
        <f aca="false">IF(I634="","",IF(H634="",1,H634)*I634)</f>
        <v/>
      </c>
      <c r="K634" s="15"/>
      <c r="L634" s="97" t="str">
        <f aca="false">IF(C634="","",IF(OR(C634="Material",C634="Equipo",C634="Suministro"),"Materiales y equipos",IF(C634="Mano de obra contratista","Mano de obra contratista",IF(C634="Transporte","Transporte y otros","Alquileres"))))</f>
        <v/>
      </c>
      <c r="M634" s="6"/>
    </row>
    <row r="635" customFormat="false" ht="16.5" hidden="false" customHeight="true" outlineLevel="0" collapsed="false">
      <c r="A635" s="95" t="str">
        <f aca="false">IF(AND(B635="",C635=""),"",ROW()-6)</f>
        <v/>
      </c>
      <c r="B635" s="83"/>
      <c r="C635" s="15"/>
      <c r="D635" s="15"/>
      <c r="E635" s="85"/>
      <c r="F635" s="15"/>
      <c r="G635" s="15"/>
      <c r="H635" s="96"/>
      <c r="I635" s="16"/>
      <c r="J635" s="37" t="str">
        <f aca="false">IF(I635="","",IF(H635="",1,H635)*I635)</f>
        <v/>
      </c>
      <c r="K635" s="15"/>
      <c r="L635" s="97" t="str">
        <f aca="false">IF(C635="","",IF(OR(C635="Material",C635="Equipo",C635="Suministro"),"Materiales y equipos",IF(C635="Mano de obra contratista","Mano de obra contratista",IF(C635="Transporte","Transporte y otros","Alquileres"))))</f>
        <v/>
      </c>
      <c r="M635" s="6"/>
    </row>
    <row r="636" customFormat="false" ht="16.5" hidden="false" customHeight="true" outlineLevel="0" collapsed="false">
      <c r="A636" s="95" t="str">
        <f aca="false">IF(AND(B636="",C636=""),"",ROW()-6)</f>
        <v/>
      </c>
      <c r="B636" s="83"/>
      <c r="C636" s="15"/>
      <c r="D636" s="15"/>
      <c r="E636" s="85"/>
      <c r="F636" s="15"/>
      <c r="G636" s="15"/>
      <c r="H636" s="96"/>
      <c r="I636" s="16"/>
      <c r="J636" s="37" t="str">
        <f aca="false">IF(I636="","",IF(H636="",1,H636)*I636)</f>
        <v/>
      </c>
      <c r="K636" s="15"/>
      <c r="L636" s="97" t="str">
        <f aca="false">IF(C636="","",IF(OR(C636="Material",C636="Equipo",C636="Suministro"),"Materiales y equipos",IF(C636="Mano de obra contratista","Mano de obra contratista",IF(C636="Transporte","Transporte y otros","Alquileres"))))</f>
        <v/>
      </c>
      <c r="M636" s="6"/>
    </row>
    <row r="637" customFormat="false" ht="16.5" hidden="false" customHeight="true" outlineLevel="0" collapsed="false">
      <c r="A637" s="95" t="str">
        <f aca="false">IF(AND(B637="",C637=""),"",ROW()-6)</f>
        <v/>
      </c>
      <c r="B637" s="83"/>
      <c r="C637" s="15"/>
      <c r="D637" s="15"/>
      <c r="E637" s="85"/>
      <c r="F637" s="15"/>
      <c r="G637" s="15"/>
      <c r="H637" s="96"/>
      <c r="I637" s="16"/>
      <c r="J637" s="37" t="str">
        <f aca="false">IF(I637="","",IF(H637="",1,H637)*I637)</f>
        <v/>
      </c>
      <c r="K637" s="15"/>
      <c r="L637" s="97" t="str">
        <f aca="false">IF(C637="","",IF(OR(C637="Material",C637="Equipo",C637="Suministro"),"Materiales y equipos",IF(C637="Mano de obra contratista","Mano de obra contratista",IF(C637="Transporte","Transporte y otros","Alquileres"))))</f>
        <v/>
      </c>
      <c r="M637" s="6"/>
    </row>
    <row r="638" customFormat="false" ht="16.5" hidden="false" customHeight="true" outlineLevel="0" collapsed="false">
      <c r="A638" s="95" t="str">
        <f aca="false">IF(AND(B638="",C638=""),"",ROW()-6)</f>
        <v/>
      </c>
      <c r="B638" s="83"/>
      <c r="C638" s="15"/>
      <c r="D638" s="15"/>
      <c r="E638" s="85"/>
      <c r="F638" s="15"/>
      <c r="G638" s="15"/>
      <c r="H638" s="96"/>
      <c r="I638" s="16"/>
      <c r="J638" s="37" t="str">
        <f aca="false">IF(I638="","",IF(H638="",1,H638)*I638)</f>
        <v/>
      </c>
      <c r="K638" s="15"/>
      <c r="L638" s="97" t="str">
        <f aca="false">IF(C638="","",IF(OR(C638="Material",C638="Equipo",C638="Suministro"),"Materiales y equipos",IF(C638="Mano de obra contratista","Mano de obra contratista",IF(C638="Transporte","Transporte y otros","Alquileres"))))</f>
        <v/>
      </c>
      <c r="M638" s="6"/>
    </row>
    <row r="639" customFormat="false" ht="16.5" hidden="false" customHeight="true" outlineLevel="0" collapsed="false">
      <c r="A639" s="95" t="str">
        <f aca="false">IF(AND(B639="",C639=""),"",ROW()-6)</f>
        <v/>
      </c>
      <c r="B639" s="83"/>
      <c r="C639" s="15"/>
      <c r="D639" s="15"/>
      <c r="E639" s="85"/>
      <c r="F639" s="15"/>
      <c r="G639" s="15"/>
      <c r="H639" s="96"/>
      <c r="I639" s="16"/>
      <c r="J639" s="37" t="str">
        <f aca="false">IF(I639="","",IF(H639="",1,H639)*I639)</f>
        <v/>
      </c>
      <c r="K639" s="15"/>
      <c r="L639" s="97" t="str">
        <f aca="false">IF(C639="","",IF(OR(C639="Material",C639="Equipo",C639="Suministro"),"Materiales y equipos",IF(C639="Mano de obra contratista","Mano de obra contratista",IF(C639="Transporte","Transporte y otros","Alquileres"))))</f>
        <v/>
      </c>
      <c r="M639" s="6"/>
    </row>
    <row r="640" customFormat="false" ht="16.5" hidden="false" customHeight="true" outlineLevel="0" collapsed="false">
      <c r="A640" s="95" t="str">
        <f aca="false">IF(AND(B640="",C640=""),"",ROW()-6)</f>
        <v/>
      </c>
      <c r="B640" s="83"/>
      <c r="C640" s="15"/>
      <c r="D640" s="15"/>
      <c r="E640" s="85"/>
      <c r="F640" s="15"/>
      <c r="G640" s="15"/>
      <c r="H640" s="96"/>
      <c r="I640" s="16"/>
      <c r="J640" s="37" t="str">
        <f aca="false">IF(I640="","",IF(H640="",1,H640)*I640)</f>
        <v/>
      </c>
      <c r="K640" s="15"/>
      <c r="L640" s="97" t="str">
        <f aca="false">IF(C640="","",IF(OR(C640="Material",C640="Equipo",C640="Suministro"),"Materiales y equipos",IF(C640="Mano de obra contratista","Mano de obra contratista",IF(C640="Transporte","Transporte y otros","Alquileres"))))</f>
        <v/>
      </c>
      <c r="M640" s="6"/>
    </row>
    <row r="641" customFormat="false" ht="16.5" hidden="false" customHeight="true" outlineLevel="0" collapsed="false">
      <c r="A641" s="95" t="str">
        <f aca="false">IF(AND(B641="",C641=""),"",ROW()-6)</f>
        <v/>
      </c>
      <c r="B641" s="83"/>
      <c r="C641" s="15"/>
      <c r="D641" s="15"/>
      <c r="E641" s="85"/>
      <c r="F641" s="15"/>
      <c r="G641" s="15"/>
      <c r="H641" s="96"/>
      <c r="I641" s="16"/>
      <c r="J641" s="37" t="str">
        <f aca="false">IF(I641="","",IF(H641="",1,H641)*I641)</f>
        <v/>
      </c>
      <c r="K641" s="15"/>
      <c r="L641" s="97" t="str">
        <f aca="false">IF(C641="","",IF(OR(C641="Material",C641="Equipo",C641="Suministro"),"Materiales y equipos",IF(C641="Mano de obra contratista","Mano de obra contratista",IF(C641="Transporte","Transporte y otros","Alquileres"))))</f>
        <v/>
      </c>
      <c r="M641" s="6"/>
    </row>
    <row r="642" customFormat="false" ht="16.5" hidden="false" customHeight="true" outlineLevel="0" collapsed="false">
      <c r="A642" s="95" t="str">
        <f aca="false">IF(AND(B642="",C642=""),"",ROW()-6)</f>
        <v/>
      </c>
      <c r="B642" s="83"/>
      <c r="C642" s="15"/>
      <c r="D642" s="15"/>
      <c r="E642" s="85"/>
      <c r="F642" s="15"/>
      <c r="G642" s="15"/>
      <c r="H642" s="96"/>
      <c r="I642" s="16"/>
      <c r="J642" s="37" t="str">
        <f aca="false">IF(I642="","",IF(H642="",1,H642)*I642)</f>
        <v/>
      </c>
      <c r="K642" s="15"/>
      <c r="L642" s="97" t="str">
        <f aca="false">IF(C642="","",IF(OR(C642="Material",C642="Equipo",C642="Suministro"),"Materiales y equipos",IF(C642="Mano de obra contratista","Mano de obra contratista",IF(C642="Transporte","Transporte y otros","Alquileres"))))</f>
        <v/>
      </c>
      <c r="M642" s="6"/>
    </row>
    <row r="643" customFormat="false" ht="16.5" hidden="false" customHeight="true" outlineLevel="0" collapsed="false">
      <c r="A643" s="95" t="str">
        <f aca="false">IF(AND(B643="",C643=""),"",ROW()-6)</f>
        <v/>
      </c>
      <c r="B643" s="83"/>
      <c r="C643" s="15"/>
      <c r="D643" s="15"/>
      <c r="E643" s="85"/>
      <c r="F643" s="15"/>
      <c r="G643" s="15"/>
      <c r="H643" s="96"/>
      <c r="I643" s="16"/>
      <c r="J643" s="37" t="str">
        <f aca="false">IF(I643="","",IF(H643="",1,H643)*I643)</f>
        <v/>
      </c>
      <c r="K643" s="15"/>
      <c r="L643" s="97" t="str">
        <f aca="false">IF(C643="","",IF(OR(C643="Material",C643="Equipo",C643="Suministro"),"Materiales y equipos",IF(C643="Mano de obra contratista","Mano de obra contratista",IF(C643="Transporte","Transporte y otros","Alquileres"))))</f>
        <v/>
      </c>
      <c r="M643" s="6"/>
    </row>
    <row r="644" customFormat="false" ht="16.5" hidden="false" customHeight="true" outlineLevel="0" collapsed="false">
      <c r="A644" s="95" t="str">
        <f aca="false">IF(AND(B644="",C644=""),"",ROW()-6)</f>
        <v/>
      </c>
      <c r="B644" s="83"/>
      <c r="C644" s="15"/>
      <c r="D644" s="15"/>
      <c r="E644" s="85"/>
      <c r="F644" s="15"/>
      <c r="G644" s="15"/>
      <c r="H644" s="96"/>
      <c r="I644" s="16"/>
      <c r="J644" s="37" t="str">
        <f aca="false">IF(I644="","",IF(H644="",1,H644)*I644)</f>
        <v/>
      </c>
      <c r="K644" s="15"/>
      <c r="L644" s="97" t="str">
        <f aca="false">IF(C644="","",IF(OR(C644="Material",C644="Equipo",C644="Suministro"),"Materiales y equipos",IF(C644="Mano de obra contratista","Mano de obra contratista",IF(C644="Transporte","Transporte y otros","Alquileres"))))</f>
        <v/>
      </c>
      <c r="M644" s="6"/>
    </row>
    <row r="645" customFormat="false" ht="16.5" hidden="false" customHeight="true" outlineLevel="0" collapsed="false">
      <c r="A645" s="95" t="str">
        <f aca="false">IF(AND(B645="",C645=""),"",ROW()-6)</f>
        <v/>
      </c>
      <c r="B645" s="83"/>
      <c r="C645" s="15"/>
      <c r="D645" s="15"/>
      <c r="E645" s="85"/>
      <c r="F645" s="15"/>
      <c r="G645" s="15"/>
      <c r="H645" s="96"/>
      <c r="I645" s="16"/>
      <c r="J645" s="37" t="str">
        <f aca="false">IF(I645="","",IF(H645="",1,H645)*I645)</f>
        <v/>
      </c>
      <c r="K645" s="15"/>
      <c r="L645" s="97" t="str">
        <f aca="false">IF(C645="","",IF(OR(C645="Material",C645="Equipo",C645="Suministro"),"Materiales y equipos",IF(C645="Mano de obra contratista","Mano de obra contratista",IF(C645="Transporte","Transporte y otros","Alquileres"))))</f>
        <v/>
      </c>
      <c r="M645" s="6"/>
    </row>
    <row r="646" customFormat="false" ht="16.5" hidden="false" customHeight="true" outlineLevel="0" collapsed="false">
      <c r="A646" s="95" t="str">
        <f aca="false">IF(AND(B646="",C646=""),"",ROW()-6)</f>
        <v/>
      </c>
      <c r="B646" s="83"/>
      <c r="C646" s="15"/>
      <c r="D646" s="15"/>
      <c r="E646" s="85"/>
      <c r="F646" s="15"/>
      <c r="G646" s="15"/>
      <c r="H646" s="96"/>
      <c r="I646" s="16"/>
      <c r="J646" s="37" t="str">
        <f aca="false">IF(I646="","",IF(H646="",1,H646)*I646)</f>
        <v/>
      </c>
      <c r="K646" s="15"/>
      <c r="L646" s="97" t="str">
        <f aca="false">IF(C646="","",IF(OR(C646="Material",C646="Equipo",C646="Suministro"),"Materiales y equipos",IF(C646="Mano de obra contratista","Mano de obra contratista",IF(C646="Transporte","Transporte y otros","Alquileres"))))</f>
        <v/>
      </c>
      <c r="M646" s="6"/>
    </row>
    <row r="647" customFormat="false" ht="16.5" hidden="false" customHeight="true" outlineLevel="0" collapsed="false">
      <c r="A647" s="95" t="str">
        <f aca="false">IF(AND(B647="",C647=""),"",ROW()-6)</f>
        <v/>
      </c>
      <c r="B647" s="83"/>
      <c r="C647" s="15"/>
      <c r="D647" s="15"/>
      <c r="E647" s="85"/>
      <c r="F647" s="15"/>
      <c r="G647" s="15"/>
      <c r="H647" s="96"/>
      <c r="I647" s="16"/>
      <c r="J647" s="37" t="str">
        <f aca="false">IF(I647="","",IF(H647="",1,H647)*I647)</f>
        <v/>
      </c>
      <c r="K647" s="15"/>
      <c r="L647" s="97" t="str">
        <f aca="false">IF(C647="","",IF(OR(C647="Material",C647="Equipo",C647="Suministro"),"Materiales y equipos",IF(C647="Mano de obra contratista","Mano de obra contratista",IF(C647="Transporte","Transporte y otros","Alquileres"))))</f>
        <v/>
      </c>
      <c r="M647" s="6"/>
    </row>
    <row r="648" customFormat="false" ht="16.5" hidden="false" customHeight="true" outlineLevel="0" collapsed="false">
      <c r="A648" s="95" t="str">
        <f aca="false">IF(AND(B648="",C648=""),"",ROW()-6)</f>
        <v/>
      </c>
      <c r="B648" s="83"/>
      <c r="C648" s="15"/>
      <c r="D648" s="15"/>
      <c r="E648" s="85"/>
      <c r="F648" s="15"/>
      <c r="G648" s="15"/>
      <c r="H648" s="96"/>
      <c r="I648" s="16"/>
      <c r="J648" s="37" t="str">
        <f aca="false">IF(I648="","",IF(H648="",1,H648)*I648)</f>
        <v/>
      </c>
      <c r="K648" s="15"/>
      <c r="L648" s="97" t="str">
        <f aca="false">IF(C648="","",IF(OR(C648="Material",C648="Equipo",C648="Suministro"),"Materiales y equipos",IF(C648="Mano de obra contratista","Mano de obra contratista",IF(C648="Transporte","Transporte y otros","Alquileres"))))</f>
        <v/>
      </c>
      <c r="M648" s="6"/>
    </row>
    <row r="649" customFormat="false" ht="16.5" hidden="false" customHeight="true" outlineLevel="0" collapsed="false">
      <c r="A649" s="95" t="str">
        <f aca="false">IF(AND(B649="",C649=""),"",ROW()-6)</f>
        <v/>
      </c>
      <c r="B649" s="83"/>
      <c r="C649" s="15"/>
      <c r="D649" s="15"/>
      <c r="E649" s="85"/>
      <c r="F649" s="15"/>
      <c r="G649" s="15"/>
      <c r="H649" s="96"/>
      <c r="I649" s="16"/>
      <c r="J649" s="37" t="str">
        <f aca="false">IF(I649="","",IF(H649="",1,H649)*I649)</f>
        <v/>
      </c>
      <c r="K649" s="15"/>
      <c r="L649" s="97" t="str">
        <f aca="false">IF(C649="","",IF(OR(C649="Material",C649="Equipo",C649="Suministro"),"Materiales y equipos",IF(C649="Mano de obra contratista","Mano de obra contratista",IF(C649="Transporte","Transporte y otros","Alquileres"))))</f>
        <v/>
      </c>
      <c r="M649" s="6"/>
    </row>
    <row r="650" customFormat="false" ht="16.5" hidden="false" customHeight="true" outlineLevel="0" collapsed="false">
      <c r="A650" s="95" t="str">
        <f aca="false">IF(AND(B650="",C650=""),"",ROW()-6)</f>
        <v/>
      </c>
      <c r="B650" s="83"/>
      <c r="C650" s="15"/>
      <c r="D650" s="15"/>
      <c r="E650" s="85"/>
      <c r="F650" s="15"/>
      <c r="G650" s="15"/>
      <c r="H650" s="96"/>
      <c r="I650" s="16"/>
      <c r="J650" s="37" t="str">
        <f aca="false">IF(I650="","",IF(H650="",1,H650)*I650)</f>
        <v/>
      </c>
      <c r="K650" s="15"/>
      <c r="L650" s="97" t="str">
        <f aca="false">IF(C650="","",IF(OR(C650="Material",C650="Equipo",C650="Suministro"),"Materiales y equipos",IF(C650="Mano de obra contratista","Mano de obra contratista",IF(C650="Transporte","Transporte y otros","Alquileres"))))</f>
        <v/>
      </c>
      <c r="M650" s="6"/>
    </row>
    <row r="651" customFormat="false" ht="16.5" hidden="false" customHeight="true" outlineLevel="0" collapsed="false">
      <c r="A651" s="95" t="str">
        <f aca="false">IF(AND(B651="",C651=""),"",ROW()-6)</f>
        <v/>
      </c>
      <c r="B651" s="83"/>
      <c r="C651" s="15"/>
      <c r="D651" s="15"/>
      <c r="E651" s="85"/>
      <c r="F651" s="15"/>
      <c r="G651" s="15"/>
      <c r="H651" s="96"/>
      <c r="I651" s="16"/>
      <c r="J651" s="37" t="str">
        <f aca="false">IF(I651="","",IF(H651="",1,H651)*I651)</f>
        <v/>
      </c>
      <c r="K651" s="15"/>
      <c r="L651" s="97" t="str">
        <f aca="false">IF(C651="","",IF(OR(C651="Material",C651="Equipo",C651="Suministro"),"Materiales y equipos",IF(C651="Mano de obra contratista","Mano de obra contratista",IF(C651="Transporte","Transporte y otros","Alquileres"))))</f>
        <v/>
      </c>
      <c r="M651" s="6"/>
    </row>
    <row r="652" customFormat="false" ht="16.5" hidden="false" customHeight="true" outlineLevel="0" collapsed="false">
      <c r="A652" s="95" t="str">
        <f aca="false">IF(AND(B652="",C652=""),"",ROW()-6)</f>
        <v/>
      </c>
      <c r="B652" s="83"/>
      <c r="C652" s="15"/>
      <c r="D652" s="15"/>
      <c r="E652" s="85"/>
      <c r="F652" s="15"/>
      <c r="G652" s="15"/>
      <c r="H652" s="96"/>
      <c r="I652" s="16"/>
      <c r="J652" s="37" t="str">
        <f aca="false">IF(I652="","",IF(H652="",1,H652)*I652)</f>
        <v/>
      </c>
      <c r="K652" s="15"/>
      <c r="L652" s="97" t="str">
        <f aca="false">IF(C652="","",IF(OR(C652="Material",C652="Equipo",C652="Suministro"),"Materiales y equipos",IF(C652="Mano de obra contratista","Mano de obra contratista",IF(C652="Transporte","Transporte y otros","Alquileres"))))</f>
        <v/>
      </c>
      <c r="M652" s="6"/>
    </row>
    <row r="653" customFormat="false" ht="16.5" hidden="false" customHeight="true" outlineLevel="0" collapsed="false">
      <c r="A653" s="95" t="str">
        <f aca="false">IF(AND(B653="",C653=""),"",ROW()-6)</f>
        <v/>
      </c>
      <c r="B653" s="83"/>
      <c r="C653" s="15"/>
      <c r="D653" s="15"/>
      <c r="E653" s="85"/>
      <c r="F653" s="15"/>
      <c r="G653" s="15"/>
      <c r="H653" s="96"/>
      <c r="I653" s="16"/>
      <c r="J653" s="37" t="str">
        <f aca="false">IF(I653="","",IF(H653="",1,H653)*I653)</f>
        <v/>
      </c>
      <c r="K653" s="15"/>
      <c r="L653" s="97" t="str">
        <f aca="false">IF(C653="","",IF(OR(C653="Material",C653="Equipo",C653="Suministro"),"Materiales y equipos",IF(C653="Mano de obra contratista","Mano de obra contratista",IF(C653="Transporte","Transporte y otros","Alquileres"))))</f>
        <v/>
      </c>
      <c r="M653" s="6"/>
    </row>
    <row r="654" customFormat="false" ht="16.5" hidden="false" customHeight="true" outlineLevel="0" collapsed="false">
      <c r="A654" s="95" t="str">
        <f aca="false">IF(AND(B654="",C654=""),"",ROW()-6)</f>
        <v/>
      </c>
      <c r="B654" s="83"/>
      <c r="C654" s="15"/>
      <c r="D654" s="15"/>
      <c r="E654" s="85"/>
      <c r="F654" s="15"/>
      <c r="G654" s="15"/>
      <c r="H654" s="96"/>
      <c r="I654" s="16"/>
      <c r="J654" s="37" t="str">
        <f aca="false">IF(I654="","",IF(H654="",1,H654)*I654)</f>
        <v/>
      </c>
      <c r="K654" s="15"/>
      <c r="L654" s="97" t="str">
        <f aca="false">IF(C654="","",IF(OR(C654="Material",C654="Equipo",C654="Suministro"),"Materiales y equipos",IF(C654="Mano de obra contratista","Mano de obra contratista",IF(C654="Transporte","Transporte y otros","Alquileres"))))</f>
        <v/>
      </c>
      <c r="M654" s="6"/>
    </row>
    <row r="655" customFormat="false" ht="16.5" hidden="false" customHeight="true" outlineLevel="0" collapsed="false">
      <c r="A655" s="95" t="str">
        <f aca="false">IF(AND(B655="",C655=""),"",ROW()-6)</f>
        <v/>
      </c>
      <c r="B655" s="83"/>
      <c r="C655" s="15"/>
      <c r="D655" s="15"/>
      <c r="E655" s="85"/>
      <c r="F655" s="15"/>
      <c r="G655" s="15"/>
      <c r="H655" s="96"/>
      <c r="I655" s="16"/>
      <c r="J655" s="37" t="str">
        <f aca="false">IF(I655="","",IF(H655="",1,H655)*I655)</f>
        <v/>
      </c>
      <c r="K655" s="15"/>
      <c r="L655" s="97" t="str">
        <f aca="false">IF(C655="","",IF(OR(C655="Material",C655="Equipo",C655="Suministro"),"Materiales y equipos",IF(C655="Mano de obra contratista","Mano de obra contratista",IF(C655="Transporte","Transporte y otros","Alquileres"))))</f>
        <v/>
      </c>
      <c r="M655" s="6"/>
    </row>
    <row r="656" customFormat="false" ht="16.5" hidden="false" customHeight="true" outlineLevel="0" collapsed="false">
      <c r="A656" s="95" t="str">
        <f aca="false">IF(AND(B656="",C656=""),"",ROW()-6)</f>
        <v/>
      </c>
      <c r="B656" s="83"/>
      <c r="C656" s="15"/>
      <c r="D656" s="15"/>
      <c r="E656" s="85"/>
      <c r="F656" s="15"/>
      <c r="G656" s="15"/>
      <c r="H656" s="96"/>
      <c r="I656" s="16"/>
      <c r="J656" s="37" t="str">
        <f aca="false">IF(I656="","",IF(H656="",1,H656)*I656)</f>
        <v/>
      </c>
      <c r="K656" s="15"/>
      <c r="L656" s="97" t="str">
        <f aca="false">IF(C656="","",IF(OR(C656="Material",C656="Equipo",C656="Suministro"),"Materiales y equipos",IF(C656="Mano de obra contratista","Mano de obra contratista",IF(C656="Transporte","Transporte y otros","Alquileres"))))</f>
        <v/>
      </c>
      <c r="M656" s="6"/>
    </row>
    <row r="657" customFormat="false" ht="16.5" hidden="false" customHeight="true" outlineLevel="0" collapsed="false">
      <c r="A657" s="95" t="str">
        <f aca="false">IF(AND(B657="",C657=""),"",ROW()-6)</f>
        <v/>
      </c>
      <c r="B657" s="83"/>
      <c r="C657" s="15"/>
      <c r="D657" s="15"/>
      <c r="E657" s="85"/>
      <c r="F657" s="15"/>
      <c r="G657" s="15"/>
      <c r="H657" s="96"/>
      <c r="I657" s="16"/>
      <c r="J657" s="37" t="str">
        <f aca="false">IF(I657="","",IF(H657="",1,H657)*I657)</f>
        <v/>
      </c>
      <c r="K657" s="15"/>
      <c r="L657" s="97" t="str">
        <f aca="false">IF(C657="","",IF(OR(C657="Material",C657="Equipo",C657="Suministro"),"Materiales y equipos",IF(C657="Mano de obra contratista","Mano de obra contratista",IF(C657="Transporte","Transporte y otros","Alquileres"))))</f>
        <v/>
      </c>
      <c r="M657" s="6"/>
    </row>
    <row r="658" customFormat="false" ht="16.5" hidden="false" customHeight="true" outlineLevel="0" collapsed="false">
      <c r="A658" s="95" t="str">
        <f aca="false">IF(AND(B658="",C658=""),"",ROW()-6)</f>
        <v/>
      </c>
      <c r="B658" s="83"/>
      <c r="C658" s="15"/>
      <c r="D658" s="15"/>
      <c r="E658" s="85"/>
      <c r="F658" s="15"/>
      <c r="G658" s="15"/>
      <c r="H658" s="96"/>
      <c r="I658" s="16"/>
      <c r="J658" s="37" t="str">
        <f aca="false">IF(I658="","",IF(H658="",1,H658)*I658)</f>
        <v/>
      </c>
      <c r="K658" s="15"/>
      <c r="L658" s="97" t="str">
        <f aca="false">IF(C658="","",IF(OR(C658="Material",C658="Equipo",C658="Suministro"),"Materiales y equipos",IF(C658="Mano de obra contratista","Mano de obra contratista",IF(C658="Transporte","Transporte y otros","Alquileres"))))</f>
        <v/>
      </c>
      <c r="M658" s="6"/>
    </row>
    <row r="659" customFormat="false" ht="16.5" hidden="false" customHeight="true" outlineLevel="0" collapsed="false">
      <c r="A659" s="95" t="str">
        <f aca="false">IF(AND(B659="",C659=""),"",ROW()-6)</f>
        <v/>
      </c>
      <c r="B659" s="83"/>
      <c r="C659" s="15"/>
      <c r="D659" s="15"/>
      <c r="E659" s="85"/>
      <c r="F659" s="15"/>
      <c r="G659" s="15"/>
      <c r="H659" s="96"/>
      <c r="I659" s="16"/>
      <c r="J659" s="37" t="str">
        <f aca="false">IF(I659="","",IF(H659="",1,H659)*I659)</f>
        <v/>
      </c>
      <c r="K659" s="15"/>
      <c r="L659" s="97" t="str">
        <f aca="false">IF(C659="","",IF(OR(C659="Material",C659="Equipo",C659="Suministro"),"Materiales y equipos",IF(C659="Mano de obra contratista","Mano de obra contratista",IF(C659="Transporte","Transporte y otros","Alquileres"))))</f>
        <v/>
      </c>
      <c r="M659" s="6"/>
    </row>
    <row r="660" customFormat="false" ht="16.5" hidden="false" customHeight="true" outlineLevel="0" collapsed="false">
      <c r="A660" s="95" t="str">
        <f aca="false">IF(AND(B660="",C660=""),"",ROW()-6)</f>
        <v/>
      </c>
      <c r="B660" s="83"/>
      <c r="C660" s="15"/>
      <c r="D660" s="15"/>
      <c r="E660" s="85"/>
      <c r="F660" s="15"/>
      <c r="G660" s="15"/>
      <c r="H660" s="96"/>
      <c r="I660" s="16"/>
      <c r="J660" s="37" t="str">
        <f aca="false">IF(I660="","",IF(H660="",1,H660)*I660)</f>
        <v/>
      </c>
      <c r="K660" s="15"/>
      <c r="L660" s="97" t="str">
        <f aca="false">IF(C660="","",IF(OR(C660="Material",C660="Equipo",C660="Suministro"),"Materiales y equipos",IF(C660="Mano de obra contratista","Mano de obra contratista",IF(C660="Transporte","Transporte y otros","Alquileres"))))</f>
        <v/>
      </c>
      <c r="M660" s="6"/>
    </row>
    <row r="661" customFormat="false" ht="16.5" hidden="false" customHeight="true" outlineLevel="0" collapsed="false">
      <c r="A661" s="95" t="str">
        <f aca="false">IF(AND(B661="",C661=""),"",ROW()-6)</f>
        <v/>
      </c>
      <c r="B661" s="83"/>
      <c r="C661" s="15"/>
      <c r="D661" s="15"/>
      <c r="E661" s="85"/>
      <c r="F661" s="15"/>
      <c r="G661" s="15"/>
      <c r="H661" s="96"/>
      <c r="I661" s="16"/>
      <c r="J661" s="37" t="str">
        <f aca="false">IF(I661="","",IF(H661="",1,H661)*I661)</f>
        <v/>
      </c>
      <c r="K661" s="15"/>
      <c r="L661" s="97" t="str">
        <f aca="false">IF(C661="","",IF(OR(C661="Material",C661="Equipo",C661="Suministro"),"Materiales y equipos",IF(C661="Mano de obra contratista","Mano de obra contratista",IF(C661="Transporte","Transporte y otros","Alquileres"))))</f>
        <v/>
      </c>
      <c r="M661" s="6"/>
    </row>
    <row r="662" customFormat="false" ht="16.5" hidden="false" customHeight="true" outlineLevel="0" collapsed="false">
      <c r="A662" s="95" t="str">
        <f aca="false">IF(AND(B662="",C662=""),"",ROW()-6)</f>
        <v/>
      </c>
      <c r="B662" s="83"/>
      <c r="C662" s="15"/>
      <c r="D662" s="15"/>
      <c r="E662" s="85"/>
      <c r="F662" s="15"/>
      <c r="G662" s="15"/>
      <c r="H662" s="96"/>
      <c r="I662" s="16"/>
      <c r="J662" s="37" t="str">
        <f aca="false">IF(I662="","",IF(H662="",1,H662)*I662)</f>
        <v/>
      </c>
      <c r="K662" s="15"/>
      <c r="L662" s="97" t="str">
        <f aca="false">IF(C662="","",IF(OR(C662="Material",C662="Equipo",C662="Suministro"),"Materiales y equipos",IF(C662="Mano de obra contratista","Mano de obra contratista",IF(C662="Transporte","Transporte y otros","Alquileres"))))</f>
        <v/>
      </c>
      <c r="M662" s="6"/>
    </row>
    <row r="663" customFormat="false" ht="16.5" hidden="false" customHeight="true" outlineLevel="0" collapsed="false">
      <c r="A663" s="95" t="str">
        <f aca="false">IF(AND(B663="",C663=""),"",ROW()-6)</f>
        <v/>
      </c>
      <c r="B663" s="83"/>
      <c r="C663" s="15"/>
      <c r="D663" s="15"/>
      <c r="E663" s="85"/>
      <c r="F663" s="15"/>
      <c r="G663" s="15"/>
      <c r="H663" s="96"/>
      <c r="I663" s="16"/>
      <c r="J663" s="37" t="str">
        <f aca="false">IF(I663="","",IF(H663="",1,H663)*I663)</f>
        <v/>
      </c>
      <c r="K663" s="15"/>
      <c r="L663" s="97" t="str">
        <f aca="false">IF(C663="","",IF(OR(C663="Material",C663="Equipo",C663="Suministro"),"Materiales y equipos",IF(C663="Mano de obra contratista","Mano de obra contratista",IF(C663="Transporte","Transporte y otros","Alquileres"))))</f>
        <v/>
      </c>
      <c r="M663" s="6"/>
    </row>
    <row r="664" customFormat="false" ht="16.5" hidden="false" customHeight="true" outlineLevel="0" collapsed="false">
      <c r="A664" s="95" t="str">
        <f aca="false">IF(AND(B664="",C664=""),"",ROW()-6)</f>
        <v/>
      </c>
      <c r="B664" s="83"/>
      <c r="C664" s="15"/>
      <c r="D664" s="15"/>
      <c r="E664" s="85"/>
      <c r="F664" s="15"/>
      <c r="G664" s="15"/>
      <c r="H664" s="96"/>
      <c r="I664" s="16"/>
      <c r="J664" s="37" t="str">
        <f aca="false">IF(I664="","",IF(H664="",1,H664)*I664)</f>
        <v/>
      </c>
      <c r="K664" s="15"/>
      <c r="L664" s="97" t="str">
        <f aca="false">IF(C664="","",IF(OR(C664="Material",C664="Equipo",C664="Suministro"),"Materiales y equipos",IF(C664="Mano de obra contratista","Mano de obra contratista",IF(C664="Transporte","Transporte y otros","Alquileres"))))</f>
        <v/>
      </c>
      <c r="M664" s="6"/>
    </row>
    <row r="665" customFormat="false" ht="16.5" hidden="false" customHeight="true" outlineLevel="0" collapsed="false">
      <c r="A665" s="95" t="str">
        <f aca="false">IF(AND(B665="",C665=""),"",ROW()-6)</f>
        <v/>
      </c>
      <c r="B665" s="83"/>
      <c r="C665" s="15"/>
      <c r="D665" s="15"/>
      <c r="E665" s="85"/>
      <c r="F665" s="15"/>
      <c r="G665" s="15"/>
      <c r="H665" s="96"/>
      <c r="I665" s="16"/>
      <c r="J665" s="37" t="str">
        <f aca="false">IF(I665="","",IF(H665="",1,H665)*I665)</f>
        <v/>
      </c>
      <c r="K665" s="15"/>
      <c r="L665" s="97" t="str">
        <f aca="false">IF(C665="","",IF(OR(C665="Material",C665="Equipo",C665="Suministro"),"Materiales y equipos",IF(C665="Mano de obra contratista","Mano de obra contratista",IF(C665="Transporte","Transporte y otros","Alquileres"))))</f>
        <v/>
      </c>
      <c r="M665" s="6"/>
    </row>
    <row r="666" customFormat="false" ht="16.5" hidden="false" customHeight="true" outlineLevel="0" collapsed="false">
      <c r="A666" s="95" t="str">
        <f aca="false">IF(AND(B666="",C666=""),"",ROW()-6)</f>
        <v/>
      </c>
      <c r="B666" s="83"/>
      <c r="C666" s="15"/>
      <c r="D666" s="15"/>
      <c r="E666" s="85"/>
      <c r="F666" s="15"/>
      <c r="G666" s="15"/>
      <c r="H666" s="96"/>
      <c r="I666" s="16"/>
      <c r="J666" s="37" t="str">
        <f aca="false">IF(I666="","",IF(H666="",1,H666)*I666)</f>
        <v/>
      </c>
      <c r="K666" s="15"/>
      <c r="L666" s="97" t="str">
        <f aca="false">IF(C666="","",IF(OR(C666="Material",C666="Equipo",C666="Suministro"),"Materiales y equipos",IF(C666="Mano de obra contratista","Mano de obra contratista",IF(C666="Transporte","Transporte y otros","Alquileres"))))</f>
        <v/>
      </c>
      <c r="M666" s="6"/>
    </row>
    <row r="667" customFormat="false" ht="16.5" hidden="false" customHeight="true" outlineLevel="0" collapsed="false">
      <c r="A667" s="95" t="str">
        <f aca="false">IF(AND(B667="",C667=""),"",ROW()-6)</f>
        <v/>
      </c>
      <c r="B667" s="83"/>
      <c r="C667" s="15"/>
      <c r="D667" s="15"/>
      <c r="E667" s="85"/>
      <c r="F667" s="15"/>
      <c r="G667" s="15"/>
      <c r="H667" s="96"/>
      <c r="I667" s="16"/>
      <c r="J667" s="37" t="str">
        <f aca="false">IF(I667="","",IF(H667="",1,H667)*I667)</f>
        <v/>
      </c>
      <c r="K667" s="15"/>
      <c r="L667" s="97" t="str">
        <f aca="false">IF(C667="","",IF(OR(C667="Material",C667="Equipo",C667="Suministro"),"Materiales y equipos",IF(C667="Mano de obra contratista","Mano de obra contratista",IF(C667="Transporte","Transporte y otros","Alquileres"))))</f>
        <v/>
      </c>
      <c r="M667" s="6"/>
    </row>
    <row r="668" customFormat="false" ht="16.5" hidden="false" customHeight="true" outlineLevel="0" collapsed="false">
      <c r="A668" s="95" t="str">
        <f aca="false">IF(AND(B668="",C668=""),"",ROW()-6)</f>
        <v/>
      </c>
      <c r="B668" s="83"/>
      <c r="C668" s="15"/>
      <c r="D668" s="15"/>
      <c r="E668" s="85"/>
      <c r="F668" s="15"/>
      <c r="G668" s="15"/>
      <c r="H668" s="96"/>
      <c r="I668" s="16"/>
      <c r="J668" s="37" t="str">
        <f aca="false">IF(I668="","",IF(H668="",1,H668)*I668)</f>
        <v/>
      </c>
      <c r="K668" s="15"/>
      <c r="L668" s="97" t="str">
        <f aca="false">IF(C668="","",IF(OR(C668="Material",C668="Equipo",C668="Suministro"),"Materiales y equipos",IF(C668="Mano de obra contratista","Mano de obra contratista",IF(C668="Transporte","Transporte y otros","Alquileres"))))</f>
        <v/>
      </c>
      <c r="M668" s="6"/>
    </row>
    <row r="669" customFormat="false" ht="16.5" hidden="false" customHeight="true" outlineLevel="0" collapsed="false">
      <c r="A669" s="95" t="str">
        <f aca="false">IF(AND(B669="",C669=""),"",ROW()-6)</f>
        <v/>
      </c>
      <c r="B669" s="83"/>
      <c r="C669" s="15"/>
      <c r="D669" s="15"/>
      <c r="E669" s="85"/>
      <c r="F669" s="15"/>
      <c r="G669" s="15"/>
      <c r="H669" s="96"/>
      <c r="I669" s="16"/>
      <c r="J669" s="37" t="str">
        <f aca="false">IF(I669="","",IF(H669="",1,H669)*I669)</f>
        <v/>
      </c>
      <c r="K669" s="15"/>
      <c r="L669" s="97" t="str">
        <f aca="false">IF(C669="","",IF(OR(C669="Material",C669="Equipo",C669="Suministro"),"Materiales y equipos",IF(C669="Mano de obra contratista","Mano de obra contratista",IF(C669="Transporte","Transporte y otros","Alquileres"))))</f>
        <v/>
      </c>
      <c r="M669" s="6"/>
    </row>
    <row r="670" customFormat="false" ht="16.5" hidden="false" customHeight="true" outlineLevel="0" collapsed="false">
      <c r="A670" s="95" t="str">
        <f aca="false">IF(AND(B670="",C670=""),"",ROW()-6)</f>
        <v/>
      </c>
      <c r="B670" s="83"/>
      <c r="C670" s="15"/>
      <c r="D670" s="15"/>
      <c r="E670" s="85"/>
      <c r="F670" s="15"/>
      <c r="G670" s="15"/>
      <c r="H670" s="96"/>
      <c r="I670" s="16"/>
      <c r="J670" s="37" t="str">
        <f aca="false">IF(I670="","",IF(H670="",1,H670)*I670)</f>
        <v/>
      </c>
      <c r="K670" s="15"/>
      <c r="L670" s="97" t="str">
        <f aca="false">IF(C670="","",IF(OR(C670="Material",C670="Equipo",C670="Suministro"),"Materiales y equipos",IF(C670="Mano de obra contratista","Mano de obra contratista",IF(C670="Transporte","Transporte y otros","Alquileres"))))</f>
        <v/>
      </c>
      <c r="M670" s="6"/>
    </row>
    <row r="671" customFormat="false" ht="16.5" hidden="false" customHeight="true" outlineLevel="0" collapsed="false">
      <c r="A671" s="95" t="str">
        <f aca="false">IF(AND(B671="",C671=""),"",ROW()-6)</f>
        <v/>
      </c>
      <c r="B671" s="83"/>
      <c r="C671" s="15"/>
      <c r="D671" s="15"/>
      <c r="E671" s="85"/>
      <c r="F671" s="15"/>
      <c r="G671" s="15"/>
      <c r="H671" s="96"/>
      <c r="I671" s="16"/>
      <c r="J671" s="37" t="str">
        <f aca="false">IF(I671="","",IF(H671="",1,H671)*I671)</f>
        <v/>
      </c>
      <c r="K671" s="15"/>
      <c r="L671" s="97" t="str">
        <f aca="false">IF(C671="","",IF(OR(C671="Material",C671="Equipo",C671="Suministro"),"Materiales y equipos",IF(C671="Mano de obra contratista","Mano de obra contratista",IF(C671="Transporte","Transporte y otros","Alquileres"))))</f>
        <v/>
      </c>
      <c r="M671" s="6"/>
    </row>
    <row r="672" customFormat="false" ht="16.5" hidden="false" customHeight="true" outlineLevel="0" collapsed="false">
      <c r="A672" s="95" t="str">
        <f aca="false">IF(AND(B672="",C672=""),"",ROW()-6)</f>
        <v/>
      </c>
      <c r="B672" s="83"/>
      <c r="C672" s="15"/>
      <c r="D672" s="15"/>
      <c r="E672" s="85"/>
      <c r="F672" s="15"/>
      <c r="G672" s="15"/>
      <c r="H672" s="96"/>
      <c r="I672" s="16"/>
      <c r="J672" s="37" t="str">
        <f aca="false">IF(I672="","",IF(H672="",1,H672)*I672)</f>
        <v/>
      </c>
      <c r="K672" s="15"/>
      <c r="L672" s="97" t="str">
        <f aca="false">IF(C672="","",IF(OR(C672="Material",C672="Equipo",C672="Suministro"),"Materiales y equipos",IF(C672="Mano de obra contratista","Mano de obra contratista",IF(C672="Transporte","Transporte y otros","Alquileres"))))</f>
        <v/>
      </c>
      <c r="M672" s="6"/>
    </row>
    <row r="673" customFormat="false" ht="16.5" hidden="false" customHeight="true" outlineLevel="0" collapsed="false">
      <c r="A673" s="95" t="str">
        <f aca="false">IF(AND(B673="",C673=""),"",ROW()-6)</f>
        <v/>
      </c>
      <c r="B673" s="83"/>
      <c r="C673" s="15"/>
      <c r="D673" s="15"/>
      <c r="E673" s="85"/>
      <c r="F673" s="15"/>
      <c r="G673" s="15"/>
      <c r="H673" s="96"/>
      <c r="I673" s="16"/>
      <c r="J673" s="37" t="str">
        <f aca="false">IF(I673="","",IF(H673="",1,H673)*I673)</f>
        <v/>
      </c>
      <c r="K673" s="15"/>
      <c r="L673" s="97" t="str">
        <f aca="false">IF(C673="","",IF(OR(C673="Material",C673="Equipo",C673="Suministro"),"Materiales y equipos",IF(C673="Mano de obra contratista","Mano de obra contratista",IF(C673="Transporte","Transporte y otros","Alquileres"))))</f>
        <v/>
      </c>
      <c r="M673" s="6"/>
    </row>
    <row r="674" customFormat="false" ht="16.5" hidden="false" customHeight="true" outlineLevel="0" collapsed="false">
      <c r="A674" s="95" t="str">
        <f aca="false">IF(AND(B674="",C674=""),"",ROW()-6)</f>
        <v/>
      </c>
      <c r="B674" s="83"/>
      <c r="C674" s="15"/>
      <c r="D674" s="15"/>
      <c r="E674" s="85"/>
      <c r="F674" s="15"/>
      <c r="G674" s="15"/>
      <c r="H674" s="96"/>
      <c r="I674" s="16"/>
      <c r="J674" s="37" t="str">
        <f aca="false">IF(I674="","",IF(H674="",1,H674)*I674)</f>
        <v/>
      </c>
      <c r="K674" s="15"/>
      <c r="L674" s="97" t="str">
        <f aca="false">IF(C674="","",IF(OR(C674="Material",C674="Equipo",C674="Suministro"),"Materiales y equipos",IF(C674="Mano de obra contratista","Mano de obra contratista",IF(C674="Transporte","Transporte y otros","Alquileres"))))</f>
        <v/>
      </c>
      <c r="M674" s="6"/>
    </row>
    <row r="675" customFormat="false" ht="16.5" hidden="false" customHeight="true" outlineLevel="0" collapsed="false">
      <c r="A675" s="95" t="str">
        <f aca="false">IF(AND(B675="",C675=""),"",ROW()-6)</f>
        <v/>
      </c>
      <c r="B675" s="83"/>
      <c r="C675" s="15"/>
      <c r="D675" s="15"/>
      <c r="E675" s="85"/>
      <c r="F675" s="15"/>
      <c r="G675" s="15"/>
      <c r="H675" s="96"/>
      <c r="I675" s="16"/>
      <c r="J675" s="37" t="str">
        <f aca="false">IF(I675="","",IF(H675="",1,H675)*I675)</f>
        <v/>
      </c>
      <c r="K675" s="15"/>
      <c r="L675" s="97" t="str">
        <f aca="false">IF(C675="","",IF(OR(C675="Material",C675="Equipo",C675="Suministro"),"Materiales y equipos",IF(C675="Mano de obra contratista","Mano de obra contratista",IF(C675="Transporte","Transporte y otros","Alquileres"))))</f>
        <v/>
      </c>
      <c r="M675" s="6"/>
    </row>
    <row r="676" customFormat="false" ht="16.5" hidden="false" customHeight="true" outlineLevel="0" collapsed="false">
      <c r="A676" s="95" t="str">
        <f aca="false">IF(AND(B676="",C676=""),"",ROW()-6)</f>
        <v/>
      </c>
      <c r="B676" s="83"/>
      <c r="C676" s="15"/>
      <c r="D676" s="15"/>
      <c r="E676" s="85"/>
      <c r="F676" s="15"/>
      <c r="G676" s="15"/>
      <c r="H676" s="96"/>
      <c r="I676" s="16"/>
      <c r="J676" s="37" t="str">
        <f aca="false">IF(I676="","",IF(H676="",1,H676)*I676)</f>
        <v/>
      </c>
      <c r="K676" s="15"/>
      <c r="L676" s="97" t="str">
        <f aca="false">IF(C676="","",IF(OR(C676="Material",C676="Equipo",C676="Suministro"),"Materiales y equipos",IF(C676="Mano de obra contratista","Mano de obra contratista",IF(C676="Transporte","Transporte y otros","Alquileres"))))</f>
        <v/>
      </c>
      <c r="M676" s="6"/>
    </row>
    <row r="677" customFormat="false" ht="16.5" hidden="false" customHeight="true" outlineLevel="0" collapsed="false">
      <c r="A677" s="95" t="str">
        <f aca="false">IF(AND(B677="",C677=""),"",ROW()-6)</f>
        <v/>
      </c>
      <c r="B677" s="83"/>
      <c r="C677" s="15"/>
      <c r="D677" s="15"/>
      <c r="E677" s="85"/>
      <c r="F677" s="15"/>
      <c r="G677" s="15"/>
      <c r="H677" s="96"/>
      <c r="I677" s="16"/>
      <c r="J677" s="37" t="str">
        <f aca="false">IF(I677="","",IF(H677="",1,H677)*I677)</f>
        <v/>
      </c>
      <c r="K677" s="15"/>
      <c r="L677" s="97" t="str">
        <f aca="false">IF(C677="","",IF(OR(C677="Material",C677="Equipo",C677="Suministro"),"Materiales y equipos",IF(C677="Mano de obra contratista","Mano de obra contratista",IF(C677="Transporte","Transporte y otros","Alquileres"))))</f>
        <v/>
      </c>
      <c r="M677" s="6"/>
    </row>
    <row r="678" customFormat="false" ht="16.5" hidden="false" customHeight="true" outlineLevel="0" collapsed="false">
      <c r="A678" s="95" t="str">
        <f aca="false">IF(AND(B678="",C678=""),"",ROW()-6)</f>
        <v/>
      </c>
      <c r="B678" s="83"/>
      <c r="C678" s="15"/>
      <c r="D678" s="15"/>
      <c r="E678" s="85"/>
      <c r="F678" s="15"/>
      <c r="G678" s="15"/>
      <c r="H678" s="96"/>
      <c r="I678" s="16"/>
      <c r="J678" s="37" t="str">
        <f aca="false">IF(I678="","",IF(H678="",1,H678)*I678)</f>
        <v/>
      </c>
      <c r="K678" s="15"/>
      <c r="L678" s="97" t="str">
        <f aca="false">IF(C678="","",IF(OR(C678="Material",C678="Equipo",C678="Suministro"),"Materiales y equipos",IF(C678="Mano de obra contratista","Mano de obra contratista",IF(C678="Transporte","Transporte y otros","Alquileres"))))</f>
        <v/>
      </c>
      <c r="M678" s="6"/>
    </row>
    <row r="679" customFormat="false" ht="16.5" hidden="false" customHeight="true" outlineLevel="0" collapsed="false">
      <c r="A679" s="95" t="str">
        <f aca="false">IF(AND(B679="",C679=""),"",ROW()-6)</f>
        <v/>
      </c>
      <c r="B679" s="83"/>
      <c r="C679" s="15"/>
      <c r="D679" s="15"/>
      <c r="E679" s="85"/>
      <c r="F679" s="15"/>
      <c r="G679" s="15"/>
      <c r="H679" s="96"/>
      <c r="I679" s="16"/>
      <c r="J679" s="37" t="str">
        <f aca="false">IF(I679="","",IF(H679="",1,H679)*I679)</f>
        <v/>
      </c>
      <c r="K679" s="15"/>
      <c r="L679" s="97" t="str">
        <f aca="false">IF(C679="","",IF(OR(C679="Material",C679="Equipo",C679="Suministro"),"Materiales y equipos",IF(C679="Mano de obra contratista","Mano de obra contratista",IF(C679="Transporte","Transporte y otros","Alquileres"))))</f>
        <v/>
      </c>
      <c r="M679" s="6"/>
    </row>
    <row r="680" customFormat="false" ht="16.5" hidden="false" customHeight="true" outlineLevel="0" collapsed="false">
      <c r="A680" s="95" t="str">
        <f aca="false">IF(AND(B680="",C680=""),"",ROW()-6)</f>
        <v/>
      </c>
      <c r="B680" s="83"/>
      <c r="C680" s="15"/>
      <c r="D680" s="15"/>
      <c r="E680" s="85"/>
      <c r="F680" s="15"/>
      <c r="G680" s="15"/>
      <c r="H680" s="96"/>
      <c r="I680" s="16"/>
      <c r="J680" s="37" t="str">
        <f aca="false">IF(I680="","",IF(H680="",1,H680)*I680)</f>
        <v/>
      </c>
      <c r="K680" s="15"/>
      <c r="L680" s="97" t="str">
        <f aca="false">IF(C680="","",IF(OR(C680="Material",C680="Equipo",C680="Suministro"),"Materiales y equipos",IF(C680="Mano de obra contratista","Mano de obra contratista",IF(C680="Transporte","Transporte y otros","Alquileres"))))</f>
        <v/>
      </c>
      <c r="M680" s="6"/>
    </row>
    <row r="681" customFormat="false" ht="16.5" hidden="false" customHeight="true" outlineLevel="0" collapsed="false">
      <c r="A681" s="95" t="str">
        <f aca="false">IF(AND(B681="",C681=""),"",ROW()-6)</f>
        <v/>
      </c>
      <c r="B681" s="83"/>
      <c r="C681" s="15"/>
      <c r="D681" s="15"/>
      <c r="E681" s="85"/>
      <c r="F681" s="15"/>
      <c r="G681" s="15"/>
      <c r="H681" s="96"/>
      <c r="I681" s="16"/>
      <c r="J681" s="37" t="str">
        <f aca="false">IF(I681="","",IF(H681="",1,H681)*I681)</f>
        <v/>
      </c>
      <c r="K681" s="15"/>
      <c r="L681" s="97" t="str">
        <f aca="false">IF(C681="","",IF(OR(C681="Material",C681="Equipo",C681="Suministro"),"Materiales y equipos",IF(C681="Mano de obra contratista","Mano de obra contratista",IF(C681="Transporte","Transporte y otros","Alquileres"))))</f>
        <v/>
      </c>
      <c r="M681" s="6"/>
    </row>
    <row r="682" customFormat="false" ht="16.5" hidden="false" customHeight="true" outlineLevel="0" collapsed="false">
      <c r="A682" s="95" t="str">
        <f aca="false">IF(AND(B682="",C682=""),"",ROW()-6)</f>
        <v/>
      </c>
      <c r="B682" s="83"/>
      <c r="C682" s="15"/>
      <c r="D682" s="15"/>
      <c r="E682" s="85"/>
      <c r="F682" s="15"/>
      <c r="G682" s="15"/>
      <c r="H682" s="96"/>
      <c r="I682" s="16"/>
      <c r="J682" s="37" t="str">
        <f aca="false">IF(I682="","",IF(H682="",1,H682)*I682)</f>
        <v/>
      </c>
      <c r="K682" s="15"/>
      <c r="L682" s="97" t="str">
        <f aca="false">IF(C682="","",IF(OR(C682="Material",C682="Equipo",C682="Suministro"),"Materiales y equipos",IF(C682="Mano de obra contratista","Mano de obra contratista",IF(C682="Transporte","Transporte y otros","Alquileres"))))</f>
        <v/>
      </c>
      <c r="M682" s="6"/>
    </row>
    <row r="683" customFormat="false" ht="16.5" hidden="false" customHeight="true" outlineLevel="0" collapsed="false">
      <c r="A683" s="95" t="str">
        <f aca="false">IF(AND(B683="",C683=""),"",ROW()-6)</f>
        <v/>
      </c>
      <c r="B683" s="83"/>
      <c r="C683" s="15"/>
      <c r="D683" s="15"/>
      <c r="E683" s="85"/>
      <c r="F683" s="15"/>
      <c r="G683" s="15"/>
      <c r="H683" s="96"/>
      <c r="I683" s="16"/>
      <c r="J683" s="37" t="str">
        <f aca="false">IF(I683="","",IF(H683="",1,H683)*I683)</f>
        <v/>
      </c>
      <c r="K683" s="15"/>
      <c r="L683" s="97" t="str">
        <f aca="false">IF(C683="","",IF(OR(C683="Material",C683="Equipo",C683="Suministro"),"Materiales y equipos",IF(C683="Mano de obra contratista","Mano de obra contratista",IF(C683="Transporte","Transporte y otros","Alquileres"))))</f>
        <v/>
      </c>
      <c r="M683" s="6"/>
    </row>
    <row r="684" customFormat="false" ht="16.5" hidden="false" customHeight="true" outlineLevel="0" collapsed="false">
      <c r="A684" s="95" t="str">
        <f aca="false">IF(AND(B684="",C684=""),"",ROW()-6)</f>
        <v/>
      </c>
      <c r="B684" s="83"/>
      <c r="C684" s="15"/>
      <c r="D684" s="15"/>
      <c r="E684" s="85"/>
      <c r="F684" s="15"/>
      <c r="G684" s="15"/>
      <c r="H684" s="96"/>
      <c r="I684" s="16"/>
      <c r="J684" s="37" t="str">
        <f aca="false">IF(I684="","",IF(H684="",1,H684)*I684)</f>
        <v/>
      </c>
      <c r="K684" s="15"/>
      <c r="L684" s="97" t="str">
        <f aca="false">IF(C684="","",IF(OR(C684="Material",C684="Equipo",C684="Suministro"),"Materiales y equipos",IF(C684="Mano de obra contratista","Mano de obra contratista",IF(C684="Transporte","Transporte y otros","Alquileres"))))</f>
        <v/>
      </c>
      <c r="M684" s="6"/>
    </row>
    <row r="685" customFormat="false" ht="16.5" hidden="false" customHeight="true" outlineLevel="0" collapsed="false">
      <c r="A685" s="95" t="str">
        <f aca="false">IF(AND(B685="",C685=""),"",ROW()-6)</f>
        <v/>
      </c>
      <c r="B685" s="83"/>
      <c r="C685" s="15"/>
      <c r="D685" s="15"/>
      <c r="E685" s="85"/>
      <c r="F685" s="15"/>
      <c r="G685" s="15"/>
      <c r="H685" s="96"/>
      <c r="I685" s="16"/>
      <c r="J685" s="37" t="str">
        <f aca="false">IF(I685="","",IF(H685="",1,H685)*I685)</f>
        <v/>
      </c>
      <c r="K685" s="15"/>
      <c r="L685" s="97" t="str">
        <f aca="false">IF(C685="","",IF(OR(C685="Material",C685="Equipo",C685="Suministro"),"Materiales y equipos",IF(C685="Mano de obra contratista","Mano de obra contratista",IF(C685="Transporte","Transporte y otros","Alquileres"))))</f>
        <v/>
      </c>
      <c r="M685" s="6"/>
    </row>
    <row r="686" customFormat="false" ht="16.5" hidden="false" customHeight="true" outlineLevel="0" collapsed="false">
      <c r="A686" s="95" t="str">
        <f aca="false">IF(AND(B686="",C686=""),"",ROW()-6)</f>
        <v/>
      </c>
      <c r="B686" s="83"/>
      <c r="C686" s="15"/>
      <c r="D686" s="15"/>
      <c r="E686" s="85"/>
      <c r="F686" s="15"/>
      <c r="G686" s="15"/>
      <c r="H686" s="96"/>
      <c r="I686" s="16"/>
      <c r="J686" s="37" t="str">
        <f aca="false">IF(I686="","",IF(H686="",1,H686)*I686)</f>
        <v/>
      </c>
      <c r="K686" s="15"/>
      <c r="L686" s="97" t="str">
        <f aca="false">IF(C686="","",IF(OR(C686="Material",C686="Equipo",C686="Suministro"),"Materiales y equipos",IF(C686="Mano de obra contratista","Mano de obra contratista",IF(C686="Transporte","Transporte y otros","Alquileres"))))</f>
        <v/>
      </c>
      <c r="M686" s="6"/>
    </row>
    <row r="687" customFormat="false" ht="16.5" hidden="false" customHeight="true" outlineLevel="0" collapsed="false">
      <c r="A687" s="95" t="str">
        <f aca="false">IF(AND(B687="",C687=""),"",ROW()-6)</f>
        <v/>
      </c>
      <c r="B687" s="83"/>
      <c r="C687" s="15"/>
      <c r="D687" s="15"/>
      <c r="E687" s="85"/>
      <c r="F687" s="15"/>
      <c r="G687" s="15"/>
      <c r="H687" s="96"/>
      <c r="I687" s="16"/>
      <c r="J687" s="37" t="str">
        <f aca="false">IF(I687="","",IF(H687="",1,H687)*I687)</f>
        <v/>
      </c>
      <c r="K687" s="15"/>
      <c r="L687" s="97" t="str">
        <f aca="false">IF(C687="","",IF(OR(C687="Material",C687="Equipo",C687="Suministro"),"Materiales y equipos",IF(C687="Mano de obra contratista","Mano de obra contratista",IF(C687="Transporte","Transporte y otros","Alquileres"))))</f>
        <v/>
      </c>
      <c r="M687" s="6"/>
    </row>
    <row r="688" customFormat="false" ht="16.5" hidden="false" customHeight="true" outlineLevel="0" collapsed="false">
      <c r="A688" s="95" t="str">
        <f aca="false">IF(AND(B688="",C688=""),"",ROW()-6)</f>
        <v/>
      </c>
      <c r="B688" s="83"/>
      <c r="C688" s="15"/>
      <c r="D688" s="15"/>
      <c r="E688" s="85"/>
      <c r="F688" s="15"/>
      <c r="G688" s="15"/>
      <c r="H688" s="96"/>
      <c r="I688" s="16"/>
      <c r="J688" s="37" t="str">
        <f aca="false">IF(I688="","",IF(H688="",1,H688)*I688)</f>
        <v/>
      </c>
      <c r="K688" s="15"/>
      <c r="L688" s="97" t="str">
        <f aca="false">IF(C688="","",IF(OR(C688="Material",C688="Equipo",C688="Suministro"),"Materiales y equipos",IF(C688="Mano de obra contratista","Mano de obra contratista",IF(C688="Transporte","Transporte y otros","Alquileres"))))</f>
        <v/>
      </c>
      <c r="M688" s="6"/>
    </row>
    <row r="689" customFormat="false" ht="16.5" hidden="false" customHeight="true" outlineLevel="0" collapsed="false">
      <c r="A689" s="95" t="str">
        <f aca="false">IF(AND(B689="",C689=""),"",ROW()-6)</f>
        <v/>
      </c>
      <c r="B689" s="83"/>
      <c r="C689" s="15"/>
      <c r="D689" s="15"/>
      <c r="E689" s="85"/>
      <c r="F689" s="15"/>
      <c r="G689" s="15"/>
      <c r="H689" s="96"/>
      <c r="I689" s="16"/>
      <c r="J689" s="37" t="str">
        <f aca="false">IF(I689="","",IF(H689="",1,H689)*I689)</f>
        <v/>
      </c>
      <c r="K689" s="15"/>
      <c r="L689" s="97" t="str">
        <f aca="false">IF(C689="","",IF(OR(C689="Material",C689="Equipo",C689="Suministro"),"Materiales y equipos",IF(C689="Mano de obra contratista","Mano de obra contratista",IF(C689="Transporte","Transporte y otros","Alquileres"))))</f>
        <v/>
      </c>
      <c r="M689" s="6"/>
    </row>
    <row r="690" customFormat="false" ht="16.5" hidden="false" customHeight="true" outlineLevel="0" collapsed="false">
      <c r="A690" s="95" t="str">
        <f aca="false">IF(AND(B690="",C690=""),"",ROW()-6)</f>
        <v/>
      </c>
      <c r="B690" s="83"/>
      <c r="C690" s="15"/>
      <c r="D690" s="15"/>
      <c r="E690" s="85"/>
      <c r="F690" s="15"/>
      <c r="G690" s="15"/>
      <c r="H690" s="96"/>
      <c r="I690" s="16"/>
      <c r="J690" s="37" t="str">
        <f aca="false">IF(I690="","",IF(H690="",1,H690)*I690)</f>
        <v/>
      </c>
      <c r="K690" s="15"/>
      <c r="L690" s="97" t="str">
        <f aca="false">IF(C690="","",IF(OR(C690="Material",C690="Equipo",C690="Suministro"),"Materiales y equipos",IF(C690="Mano de obra contratista","Mano de obra contratista",IF(C690="Transporte","Transporte y otros","Alquileres"))))</f>
        <v/>
      </c>
      <c r="M690" s="6"/>
    </row>
    <row r="691" customFormat="false" ht="16.5" hidden="false" customHeight="true" outlineLevel="0" collapsed="false">
      <c r="A691" s="95" t="str">
        <f aca="false">IF(AND(B691="",C691=""),"",ROW()-6)</f>
        <v/>
      </c>
      <c r="B691" s="83"/>
      <c r="C691" s="15"/>
      <c r="D691" s="15"/>
      <c r="E691" s="85"/>
      <c r="F691" s="15"/>
      <c r="G691" s="15"/>
      <c r="H691" s="96"/>
      <c r="I691" s="16"/>
      <c r="J691" s="37" t="str">
        <f aca="false">IF(I691="","",IF(H691="",1,H691)*I691)</f>
        <v/>
      </c>
      <c r="K691" s="15"/>
      <c r="L691" s="97" t="str">
        <f aca="false">IF(C691="","",IF(OR(C691="Material",C691="Equipo",C691="Suministro"),"Materiales y equipos",IF(C691="Mano de obra contratista","Mano de obra contratista",IF(C691="Transporte","Transporte y otros","Alquileres"))))</f>
        <v/>
      </c>
      <c r="M691" s="6"/>
    </row>
    <row r="692" customFormat="false" ht="16.5" hidden="false" customHeight="true" outlineLevel="0" collapsed="false">
      <c r="A692" s="95" t="str">
        <f aca="false">IF(AND(B692="",C692=""),"",ROW()-6)</f>
        <v/>
      </c>
      <c r="B692" s="83"/>
      <c r="C692" s="15"/>
      <c r="D692" s="15"/>
      <c r="E692" s="85"/>
      <c r="F692" s="15"/>
      <c r="G692" s="15"/>
      <c r="H692" s="96"/>
      <c r="I692" s="16"/>
      <c r="J692" s="37" t="str">
        <f aca="false">IF(I692="","",IF(H692="",1,H692)*I692)</f>
        <v/>
      </c>
      <c r="K692" s="15"/>
      <c r="L692" s="97" t="str">
        <f aca="false">IF(C692="","",IF(OR(C692="Material",C692="Equipo",C692="Suministro"),"Materiales y equipos",IF(C692="Mano de obra contratista","Mano de obra contratista",IF(C692="Transporte","Transporte y otros","Alquileres"))))</f>
        <v/>
      </c>
      <c r="M692" s="6"/>
    </row>
    <row r="693" customFormat="false" ht="16.5" hidden="false" customHeight="true" outlineLevel="0" collapsed="false">
      <c r="A693" s="95" t="str">
        <f aca="false">IF(AND(B693="",C693=""),"",ROW()-6)</f>
        <v/>
      </c>
      <c r="B693" s="83"/>
      <c r="C693" s="15"/>
      <c r="D693" s="15"/>
      <c r="E693" s="85"/>
      <c r="F693" s="15"/>
      <c r="G693" s="15"/>
      <c r="H693" s="96"/>
      <c r="I693" s="16"/>
      <c r="J693" s="37" t="str">
        <f aca="false">IF(I693="","",IF(H693="",1,H693)*I693)</f>
        <v/>
      </c>
      <c r="K693" s="15"/>
      <c r="L693" s="97" t="str">
        <f aca="false">IF(C693="","",IF(OR(C693="Material",C693="Equipo",C693="Suministro"),"Materiales y equipos",IF(C693="Mano de obra contratista","Mano de obra contratista",IF(C693="Transporte","Transporte y otros","Alquileres"))))</f>
        <v/>
      </c>
      <c r="M693" s="6"/>
    </row>
    <row r="694" customFormat="false" ht="16.5" hidden="false" customHeight="true" outlineLevel="0" collapsed="false">
      <c r="A694" s="95" t="str">
        <f aca="false">IF(AND(B694="",C694=""),"",ROW()-6)</f>
        <v/>
      </c>
      <c r="B694" s="83"/>
      <c r="C694" s="15"/>
      <c r="D694" s="15"/>
      <c r="E694" s="85"/>
      <c r="F694" s="15"/>
      <c r="G694" s="15"/>
      <c r="H694" s="96"/>
      <c r="I694" s="16"/>
      <c r="J694" s="37" t="str">
        <f aca="false">IF(I694="","",IF(H694="",1,H694)*I694)</f>
        <v/>
      </c>
      <c r="K694" s="15"/>
      <c r="L694" s="97" t="str">
        <f aca="false">IF(C694="","",IF(OR(C694="Material",C694="Equipo",C694="Suministro"),"Materiales y equipos",IF(C694="Mano de obra contratista","Mano de obra contratista",IF(C694="Transporte","Transporte y otros","Alquileres"))))</f>
        <v/>
      </c>
      <c r="M694" s="6"/>
    </row>
    <row r="695" customFormat="false" ht="16.5" hidden="false" customHeight="true" outlineLevel="0" collapsed="false">
      <c r="A695" s="95" t="str">
        <f aca="false">IF(AND(B695="",C695=""),"",ROW()-6)</f>
        <v/>
      </c>
      <c r="B695" s="83"/>
      <c r="C695" s="15"/>
      <c r="D695" s="15"/>
      <c r="E695" s="85"/>
      <c r="F695" s="15"/>
      <c r="G695" s="15"/>
      <c r="H695" s="96"/>
      <c r="I695" s="16"/>
      <c r="J695" s="37" t="str">
        <f aca="false">IF(I695="","",IF(H695="",1,H695)*I695)</f>
        <v/>
      </c>
      <c r="K695" s="15"/>
      <c r="L695" s="97" t="str">
        <f aca="false">IF(C695="","",IF(OR(C695="Material",C695="Equipo",C695="Suministro"),"Materiales y equipos",IF(C695="Mano de obra contratista","Mano de obra contratista",IF(C695="Transporte","Transporte y otros","Alquileres"))))</f>
        <v/>
      </c>
      <c r="M695" s="6"/>
    </row>
    <row r="696" customFormat="false" ht="16.5" hidden="false" customHeight="true" outlineLevel="0" collapsed="false">
      <c r="A696" s="95" t="str">
        <f aca="false">IF(AND(B696="",C696=""),"",ROW()-6)</f>
        <v/>
      </c>
      <c r="B696" s="83"/>
      <c r="C696" s="15"/>
      <c r="D696" s="15"/>
      <c r="E696" s="85"/>
      <c r="F696" s="15"/>
      <c r="G696" s="15"/>
      <c r="H696" s="96"/>
      <c r="I696" s="16"/>
      <c r="J696" s="37" t="str">
        <f aca="false">IF(I696="","",IF(H696="",1,H696)*I696)</f>
        <v/>
      </c>
      <c r="K696" s="15"/>
      <c r="L696" s="97" t="str">
        <f aca="false">IF(C696="","",IF(OR(C696="Material",C696="Equipo",C696="Suministro"),"Materiales y equipos",IF(C696="Mano de obra contratista","Mano de obra contratista",IF(C696="Transporte","Transporte y otros","Alquileres"))))</f>
        <v/>
      </c>
      <c r="M696" s="6"/>
    </row>
    <row r="697" customFormat="false" ht="16.5" hidden="false" customHeight="true" outlineLevel="0" collapsed="false">
      <c r="A697" s="95" t="str">
        <f aca="false">IF(AND(B697="",C697=""),"",ROW()-6)</f>
        <v/>
      </c>
      <c r="B697" s="83"/>
      <c r="C697" s="15"/>
      <c r="D697" s="15"/>
      <c r="E697" s="85"/>
      <c r="F697" s="15"/>
      <c r="G697" s="15"/>
      <c r="H697" s="96"/>
      <c r="I697" s="16"/>
      <c r="J697" s="37" t="str">
        <f aca="false">IF(I697="","",IF(H697="",1,H697)*I697)</f>
        <v/>
      </c>
      <c r="K697" s="15"/>
      <c r="L697" s="97" t="str">
        <f aca="false">IF(C697="","",IF(OR(C697="Material",C697="Equipo",C697="Suministro"),"Materiales y equipos",IF(C697="Mano de obra contratista","Mano de obra contratista",IF(C697="Transporte","Transporte y otros","Alquileres"))))</f>
        <v/>
      </c>
      <c r="M697" s="6"/>
    </row>
    <row r="698" customFormat="false" ht="16.5" hidden="false" customHeight="true" outlineLevel="0" collapsed="false">
      <c r="A698" s="95" t="str">
        <f aca="false">IF(AND(B698="",C698=""),"",ROW()-6)</f>
        <v/>
      </c>
      <c r="B698" s="83"/>
      <c r="C698" s="15"/>
      <c r="D698" s="15"/>
      <c r="E698" s="85"/>
      <c r="F698" s="15"/>
      <c r="G698" s="15"/>
      <c r="H698" s="96"/>
      <c r="I698" s="16"/>
      <c r="J698" s="37" t="str">
        <f aca="false">IF(I698="","",IF(H698="",1,H698)*I698)</f>
        <v/>
      </c>
      <c r="K698" s="15"/>
      <c r="L698" s="97" t="str">
        <f aca="false">IF(C698="","",IF(OR(C698="Material",C698="Equipo",C698="Suministro"),"Materiales y equipos",IF(C698="Mano de obra contratista","Mano de obra contratista",IF(C698="Transporte","Transporte y otros","Alquileres"))))</f>
        <v/>
      </c>
      <c r="M698" s="6"/>
    </row>
    <row r="699" customFormat="false" ht="16.5" hidden="false" customHeight="true" outlineLevel="0" collapsed="false">
      <c r="A699" s="95" t="str">
        <f aca="false">IF(AND(B699="",C699=""),"",ROW()-6)</f>
        <v/>
      </c>
      <c r="B699" s="83"/>
      <c r="C699" s="15"/>
      <c r="D699" s="15"/>
      <c r="E699" s="85"/>
      <c r="F699" s="15"/>
      <c r="G699" s="15"/>
      <c r="H699" s="96"/>
      <c r="I699" s="16"/>
      <c r="J699" s="37" t="str">
        <f aca="false">IF(I699="","",IF(H699="",1,H699)*I699)</f>
        <v/>
      </c>
      <c r="K699" s="15"/>
      <c r="L699" s="97" t="str">
        <f aca="false">IF(C699="","",IF(OR(C699="Material",C699="Equipo",C699="Suministro"),"Materiales y equipos",IF(C699="Mano de obra contratista","Mano de obra contratista",IF(C699="Transporte","Transporte y otros","Alquileres"))))</f>
        <v/>
      </c>
      <c r="M699" s="6"/>
    </row>
    <row r="700" customFormat="false" ht="16.5" hidden="false" customHeight="true" outlineLevel="0" collapsed="false">
      <c r="A700" s="95" t="str">
        <f aca="false">IF(AND(B700="",C700=""),"",ROW()-6)</f>
        <v/>
      </c>
      <c r="B700" s="83"/>
      <c r="C700" s="15"/>
      <c r="D700" s="15"/>
      <c r="E700" s="85"/>
      <c r="F700" s="15"/>
      <c r="G700" s="15"/>
      <c r="H700" s="96"/>
      <c r="I700" s="16"/>
      <c r="J700" s="37" t="str">
        <f aca="false">IF(I700="","",IF(H700="",1,H700)*I700)</f>
        <v/>
      </c>
      <c r="K700" s="15"/>
      <c r="L700" s="97" t="str">
        <f aca="false">IF(C700="","",IF(OR(C700="Material",C700="Equipo",C700="Suministro"),"Materiales y equipos",IF(C700="Mano de obra contratista","Mano de obra contratista",IF(C700="Transporte","Transporte y otros","Alquileres"))))</f>
        <v/>
      </c>
      <c r="M700" s="6"/>
    </row>
    <row r="701" customFormat="false" ht="16.5" hidden="false" customHeight="true" outlineLevel="0" collapsed="false">
      <c r="A701" s="95" t="str">
        <f aca="false">IF(AND(B701="",C701=""),"",ROW()-6)</f>
        <v/>
      </c>
      <c r="B701" s="83"/>
      <c r="C701" s="15"/>
      <c r="D701" s="15"/>
      <c r="E701" s="85"/>
      <c r="F701" s="15"/>
      <c r="G701" s="15"/>
      <c r="H701" s="96"/>
      <c r="I701" s="16"/>
      <c r="J701" s="37" t="str">
        <f aca="false">IF(I701="","",IF(H701="",1,H701)*I701)</f>
        <v/>
      </c>
      <c r="K701" s="15"/>
      <c r="L701" s="97" t="str">
        <f aca="false">IF(C701="","",IF(OR(C701="Material",C701="Equipo",C701="Suministro"),"Materiales y equipos",IF(C701="Mano de obra contratista","Mano de obra contratista",IF(C701="Transporte","Transporte y otros","Alquileres"))))</f>
        <v/>
      </c>
      <c r="M701" s="6"/>
    </row>
    <row r="702" customFormat="false" ht="16.5" hidden="false" customHeight="true" outlineLevel="0" collapsed="false">
      <c r="A702" s="95" t="str">
        <f aca="false">IF(AND(B702="",C702=""),"",ROW()-6)</f>
        <v/>
      </c>
      <c r="B702" s="83"/>
      <c r="C702" s="15"/>
      <c r="D702" s="15"/>
      <c r="E702" s="85"/>
      <c r="F702" s="15"/>
      <c r="G702" s="15"/>
      <c r="H702" s="96"/>
      <c r="I702" s="16"/>
      <c r="J702" s="37" t="str">
        <f aca="false">IF(I702="","",IF(H702="",1,H702)*I702)</f>
        <v/>
      </c>
      <c r="K702" s="15"/>
      <c r="L702" s="97" t="str">
        <f aca="false">IF(C702="","",IF(OR(C702="Material",C702="Equipo",C702="Suministro"),"Materiales y equipos",IF(C702="Mano de obra contratista","Mano de obra contratista",IF(C702="Transporte","Transporte y otros","Alquileres"))))</f>
        <v/>
      </c>
      <c r="M702" s="6"/>
    </row>
    <row r="703" customFormat="false" ht="16.5" hidden="false" customHeight="true" outlineLevel="0" collapsed="false">
      <c r="A703" s="95" t="str">
        <f aca="false">IF(AND(B703="",C703=""),"",ROW()-6)</f>
        <v/>
      </c>
      <c r="B703" s="83"/>
      <c r="C703" s="15"/>
      <c r="D703" s="15"/>
      <c r="E703" s="85"/>
      <c r="F703" s="15"/>
      <c r="G703" s="15"/>
      <c r="H703" s="96"/>
      <c r="I703" s="16"/>
      <c r="J703" s="37" t="str">
        <f aca="false">IF(I703="","",IF(H703="",1,H703)*I703)</f>
        <v/>
      </c>
      <c r="K703" s="15"/>
      <c r="L703" s="97" t="str">
        <f aca="false">IF(C703="","",IF(OR(C703="Material",C703="Equipo",C703="Suministro"),"Materiales y equipos",IF(C703="Mano de obra contratista","Mano de obra contratista",IF(C703="Transporte","Transporte y otros","Alquileres"))))</f>
        <v/>
      </c>
      <c r="M703" s="6"/>
    </row>
    <row r="704" customFormat="false" ht="16.5" hidden="false" customHeight="true" outlineLevel="0" collapsed="false">
      <c r="A704" s="95" t="str">
        <f aca="false">IF(AND(B704="",C704=""),"",ROW()-6)</f>
        <v/>
      </c>
      <c r="B704" s="83"/>
      <c r="C704" s="15"/>
      <c r="D704" s="15"/>
      <c r="E704" s="85"/>
      <c r="F704" s="15"/>
      <c r="G704" s="15"/>
      <c r="H704" s="96"/>
      <c r="I704" s="16"/>
      <c r="J704" s="37" t="str">
        <f aca="false">IF(I704="","",IF(H704="",1,H704)*I704)</f>
        <v/>
      </c>
      <c r="K704" s="15"/>
      <c r="L704" s="97" t="str">
        <f aca="false">IF(C704="","",IF(OR(C704="Material",C704="Equipo",C704="Suministro"),"Materiales y equipos",IF(C704="Mano de obra contratista","Mano de obra contratista",IF(C704="Transporte","Transporte y otros","Alquileres"))))</f>
        <v/>
      </c>
      <c r="M704" s="6"/>
    </row>
    <row r="705" customFormat="false" ht="16.5" hidden="false" customHeight="true" outlineLevel="0" collapsed="false">
      <c r="A705" s="95" t="str">
        <f aca="false">IF(AND(B705="",C705=""),"",ROW()-6)</f>
        <v/>
      </c>
      <c r="B705" s="83"/>
      <c r="C705" s="15"/>
      <c r="D705" s="15"/>
      <c r="E705" s="85"/>
      <c r="F705" s="15"/>
      <c r="G705" s="15"/>
      <c r="H705" s="96"/>
      <c r="I705" s="16"/>
      <c r="J705" s="37" t="str">
        <f aca="false">IF(I705="","",IF(H705="",1,H705)*I705)</f>
        <v/>
      </c>
      <c r="K705" s="15"/>
      <c r="L705" s="97" t="str">
        <f aca="false">IF(C705="","",IF(OR(C705="Material",C705="Equipo",C705="Suministro"),"Materiales y equipos",IF(C705="Mano de obra contratista","Mano de obra contratista",IF(C705="Transporte","Transporte y otros","Alquileres"))))</f>
        <v/>
      </c>
      <c r="M705" s="6"/>
    </row>
    <row r="706" customFormat="false" ht="16.5" hidden="false" customHeight="true" outlineLevel="0" collapsed="false">
      <c r="A706" s="95" t="str">
        <f aca="false">IF(AND(B706="",C706=""),"",ROW()-6)</f>
        <v/>
      </c>
      <c r="B706" s="83"/>
      <c r="C706" s="15"/>
      <c r="D706" s="15"/>
      <c r="E706" s="85"/>
      <c r="F706" s="15"/>
      <c r="G706" s="15"/>
      <c r="H706" s="96"/>
      <c r="I706" s="16"/>
      <c r="J706" s="37" t="str">
        <f aca="false">IF(I706="","",IF(H706="",1,H706)*I706)</f>
        <v/>
      </c>
      <c r="K706" s="15"/>
      <c r="L706" s="97" t="str">
        <f aca="false">IF(C706="","",IF(OR(C706="Material",C706="Equipo",C706="Suministro"),"Materiales y equipos",IF(C706="Mano de obra contratista","Mano de obra contratista",IF(C706="Transporte","Transporte y otros","Alquileres"))))</f>
        <v/>
      </c>
      <c r="M706" s="6"/>
    </row>
    <row r="707" customFormat="false" ht="16.5" hidden="false" customHeight="true" outlineLevel="0" collapsed="false">
      <c r="A707" s="95" t="str">
        <f aca="false">IF(AND(B707="",C707=""),"",ROW()-6)</f>
        <v/>
      </c>
      <c r="B707" s="83"/>
      <c r="C707" s="15"/>
      <c r="D707" s="15"/>
      <c r="E707" s="85"/>
      <c r="F707" s="15"/>
      <c r="G707" s="15"/>
      <c r="H707" s="96"/>
      <c r="I707" s="16"/>
      <c r="J707" s="37" t="str">
        <f aca="false">IF(I707="","",IF(H707="",1,H707)*I707)</f>
        <v/>
      </c>
      <c r="K707" s="15"/>
      <c r="L707" s="97" t="str">
        <f aca="false">IF(C707="","",IF(OR(C707="Material",C707="Equipo",C707="Suministro"),"Materiales y equipos",IF(C707="Mano de obra contratista","Mano de obra contratista",IF(C707="Transporte","Transporte y otros","Alquileres"))))</f>
        <v/>
      </c>
      <c r="M707" s="6"/>
    </row>
    <row r="708" customFormat="false" ht="16.5" hidden="false" customHeight="true" outlineLevel="0" collapsed="false">
      <c r="A708" s="95" t="str">
        <f aca="false">IF(AND(B708="",C708=""),"",ROW()-6)</f>
        <v/>
      </c>
      <c r="B708" s="83"/>
      <c r="C708" s="15"/>
      <c r="D708" s="15"/>
      <c r="E708" s="85"/>
      <c r="F708" s="15"/>
      <c r="G708" s="15"/>
      <c r="H708" s="96"/>
      <c r="I708" s="16"/>
      <c r="J708" s="37" t="str">
        <f aca="false">IF(I708="","",IF(H708="",1,H708)*I708)</f>
        <v/>
      </c>
      <c r="K708" s="15"/>
      <c r="L708" s="97" t="str">
        <f aca="false">IF(C708="","",IF(OR(C708="Material",C708="Equipo",C708="Suministro"),"Materiales y equipos",IF(C708="Mano de obra contratista","Mano de obra contratista",IF(C708="Transporte","Transporte y otros","Alquileres"))))</f>
        <v/>
      </c>
      <c r="M708" s="6"/>
    </row>
    <row r="709" customFormat="false" ht="16.5" hidden="false" customHeight="true" outlineLevel="0" collapsed="false">
      <c r="A709" s="95" t="str">
        <f aca="false">IF(AND(B709="",C709=""),"",ROW()-6)</f>
        <v/>
      </c>
      <c r="B709" s="83"/>
      <c r="C709" s="15"/>
      <c r="D709" s="15"/>
      <c r="E709" s="85"/>
      <c r="F709" s="15"/>
      <c r="G709" s="15"/>
      <c r="H709" s="96"/>
      <c r="I709" s="16"/>
      <c r="J709" s="37" t="str">
        <f aca="false">IF(I709="","",IF(H709="",1,H709)*I709)</f>
        <v/>
      </c>
      <c r="K709" s="15"/>
      <c r="L709" s="97" t="str">
        <f aca="false">IF(C709="","",IF(OR(C709="Material",C709="Equipo",C709="Suministro"),"Materiales y equipos",IF(C709="Mano de obra contratista","Mano de obra contratista",IF(C709="Transporte","Transporte y otros","Alquileres"))))</f>
        <v/>
      </c>
      <c r="M709" s="6"/>
    </row>
    <row r="710" customFormat="false" ht="16.5" hidden="false" customHeight="true" outlineLevel="0" collapsed="false">
      <c r="A710" s="95" t="str">
        <f aca="false">IF(AND(B710="",C710=""),"",ROW()-6)</f>
        <v/>
      </c>
      <c r="B710" s="83"/>
      <c r="C710" s="15"/>
      <c r="D710" s="15"/>
      <c r="E710" s="85"/>
      <c r="F710" s="15"/>
      <c r="G710" s="15"/>
      <c r="H710" s="96"/>
      <c r="I710" s="16"/>
      <c r="J710" s="37" t="str">
        <f aca="false">IF(I710="","",IF(H710="",1,H710)*I710)</f>
        <v/>
      </c>
      <c r="K710" s="15"/>
      <c r="L710" s="97" t="str">
        <f aca="false">IF(C710="","",IF(OR(C710="Material",C710="Equipo",C710="Suministro"),"Materiales y equipos",IF(C710="Mano de obra contratista","Mano de obra contratista",IF(C710="Transporte","Transporte y otros","Alquileres"))))</f>
        <v/>
      </c>
      <c r="M710" s="6"/>
    </row>
    <row r="711" customFormat="false" ht="16.5" hidden="false" customHeight="true" outlineLevel="0" collapsed="false">
      <c r="A711" s="95" t="str">
        <f aca="false">IF(AND(B711="",C711=""),"",ROW()-6)</f>
        <v/>
      </c>
      <c r="B711" s="83"/>
      <c r="C711" s="15"/>
      <c r="D711" s="15"/>
      <c r="E711" s="85"/>
      <c r="F711" s="15"/>
      <c r="G711" s="15"/>
      <c r="H711" s="96"/>
      <c r="I711" s="16"/>
      <c r="J711" s="37" t="str">
        <f aca="false">IF(I711="","",IF(H711="",1,H711)*I711)</f>
        <v/>
      </c>
      <c r="K711" s="15"/>
      <c r="L711" s="97" t="str">
        <f aca="false">IF(C711="","",IF(OR(C711="Material",C711="Equipo",C711="Suministro"),"Materiales y equipos",IF(C711="Mano de obra contratista","Mano de obra contratista",IF(C711="Transporte","Transporte y otros","Alquileres"))))</f>
        <v/>
      </c>
      <c r="M711" s="6"/>
    </row>
    <row r="712" customFormat="false" ht="16.5" hidden="false" customHeight="true" outlineLevel="0" collapsed="false">
      <c r="A712" s="95" t="str">
        <f aca="false">IF(AND(B712="",C712=""),"",ROW()-6)</f>
        <v/>
      </c>
      <c r="B712" s="83"/>
      <c r="C712" s="15"/>
      <c r="D712" s="15"/>
      <c r="E712" s="85"/>
      <c r="F712" s="15"/>
      <c r="G712" s="15"/>
      <c r="H712" s="96"/>
      <c r="I712" s="16"/>
      <c r="J712" s="37" t="str">
        <f aca="false">IF(I712="","",IF(H712="",1,H712)*I712)</f>
        <v/>
      </c>
      <c r="K712" s="15"/>
      <c r="L712" s="97" t="str">
        <f aca="false">IF(C712="","",IF(OR(C712="Material",C712="Equipo",C712="Suministro"),"Materiales y equipos",IF(C712="Mano de obra contratista","Mano de obra contratista",IF(C712="Transporte","Transporte y otros","Alquileres"))))</f>
        <v/>
      </c>
      <c r="M712" s="6"/>
    </row>
    <row r="713" customFormat="false" ht="16.5" hidden="false" customHeight="true" outlineLevel="0" collapsed="false">
      <c r="A713" s="95" t="str">
        <f aca="false">IF(AND(B713="",C713=""),"",ROW()-6)</f>
        <v/>
      </c>
      <c r="B713" s="83"/>
      <c r="C713" s="15"/>
      <c r="D713" s="15"/>
      <c r="E713" s="85"/>
      <c r="F713" s="15"/>
      <c r="G713" s="15"/>
      <c r="H713" s="96"/>
      <c r="I713" s="16"/>
      <c r="J713" s="37" t="str">
        <f aca="false">IF(I713="","",IF(H713="",1,H713)*I713)</f>
        <v/>
      </c>
      <c r="K713" s="15"/>
      <c r="L713" s="97" t="str">
        <f aca="false">IF(C713="","",IF(OR(C713="Material",C713="Equipo",C713="Suministro"),"Materiales y equipos",IF(C713="Mano de obra contratista","Mano de obra contratista",IF(C713="Transporte","Transporte y otros","Alquileres"))))</f>
        <v/>
      </c>
      <c r="M713" s="6"/>
    </row>
    <row r="714" customFormat="false" ht="16.5" hidden="false" customHeight="true" outlineLevel="0" collapsed="false">
      <c r="A714" s="95" t="str">
        <f aca="false">IF(AND(B714="",C714=""),"",ROW()-6)</f>
        <v/>
      </c>
      <c r="B714" s="83"/>
      <c r="C714" s="15"/>
      <c r="D714" s="15"/>
      <c r="E714" s="85"/>
      <c r="F714" s="15"/>
      <c r="G714" s="15"/>
      <c r="H714" s="96"/>
      <c r="I714" s="16"/>
      <c r="J714" s="37" t="str">
        <f aca="false">IF(I714="","",IF(H714="",1,H714)*I714)</f>
        <v/>
      </c>
      <c r="K714" s="15"/>
      <c r="L714" s="97" t="str">
        <f aca="false">IF(C714="","",IF(OR(C714="Material",C714="Equipo",C714="Suministro"),"Materiales y equipos",IF(C714="Mano de obra contratista","Mano de obra contratista",IF(C714="Transporte","Transporte y otros","Alquileres"))))</f>
        <v/>
      </c>
      <c r="M714" s="6"/>
    </row>
    <row r="715" customFormat="false" ht="16.5" hidden="false" customHeight="true" outlineLevel="0" collapsed="false">
      <c r="A715" s="95" t="str">
        <f aca="false">IF(AND(B715="",C715=""),"",ROW()-6)</f>
        <v/>
      </c>
      <c r="B715" s="83"/>
      <c r="C715" s="15"/>
      <c r="D715" s="15"/>
      <c r="E715" s="85"/>
      <c r="F715" s="15"/>
      <c r="G715" s="15"/>
      <c r="H715" s="96"/>
      <c r="I715" s="16"/>
      <c r="J715" s="37" t="str">
        <f aca="false">IF(I715="","",IF(H715="",1,H715)*I715)</f>
        <v/>
      </c>
      <c r="K715" s="15"/>
      <c r="L715" s="97" t="str">
        <f aca="false">IF(C715="","",IF(OR(C715="Material",C715="Equipo",C715="Suministro"),"Materiales y equipos",IF(C715="Mano de obra contratista","Mano de obra contratista",IF(C715="Transporte","Transporte y otros","Alquileres"))))</f>
        <v/>
      </c>
      <c r="M715" s="6"/>
    </row>
    <row r="716" customFormat="false" ht="16.5" hidden="false" customHeight="true" outlineLevel="0" collapsed="false">
      <c r="A716" s="95" t="str">
        <f aca="false">IF(AND(B716="",C716=""),"",ROW()-6)</f>
        <v/>
      </c>
      <c r="B716" s="83"/>
      <c r="C716" s="15"/>
      <c r="D716" s="15"/>
      <c r="E716" s="85"/>
      <c r="F716" s="15"/>
      <c r="G716" s="15"/>
      <c r="H716" s="96"/>
      <c r="I716" s="16"/>
      <c r="J716" s="37" t="str">
        <f aca="false">IF(I716="","",IF(H716="",1,H716)*I716)</f>
        <v/>
      </c>
      <c r="K716" s="15"/>
      <c r="L716" s="97" t="str">
        <f aca="false">IF(C716="","",IF(OR(C716="Material",C716="Equipo",C716="Suministro"),"Materiales y equipos",IF(C716="Mano de obra contratista","Mano de obra contratista",IF(C716="Transporte","Transporte y otros","Alquileres"))))</f>
        <v/>
      </c>
      <c r="M716" s="6"/>
    </row>
    <row r="717" customFormat="false" ht="16.5" hidden="false" customHeight="true" outlineLevel="0" collapsed="false">
      <c r="A717" s="95" t="str">
        <f aca="false">IF(AND(B717="",C717=""),"",ROW()-6)</f>
        <v/>
      </c>
      <c r="B717" s="83"/>
      <c r="C717" s="15"/>
      <c r="D717" s="15"/>
      <c r="E717" s="85"/>
      <c r="F717" s="15"/>
      <c r="G717" s="15"/>
      <c r="H717" s="96"/>
      <c r="I717" s="16"/>
      <c r="J717" s="37" t="str">
        <f aca="false">IF(I717="","",IF(H717="",1,H717)*I717)</f>
        <v/>
      </c>
      <c r="K717" s="15"/>
      <c r="L717" s="97" t="str">
        <f aca="false">IF(C717="","",IF(OR(C717="Material",C717="Equipo",C717="Suministro"),"Materiales y equipos",IF(C717="Mano de obra contratista","Mano de obra contratista",IF(C717="Transporte","Transporte y otros","Alquileres"))))</f>
        <v/>
      </c>
      <c r="M717" s="6"/>
    </row>
    <row r="718" customFormat="false" ht="16.5" hidden="false" customHeight="true" outlineLevel="0" collapsed="false">
      <c r="A718" s="95" t="str">
        <f aca="false">IF(AND(B718="",C718=""),"",ROW()-6)</f>
        <v/>
      </c>
      <c r="B718" s="83"/>
      <c r="C718" s="15"/>
      <c r="D718" s="15"/>
      <c r="E718" s="85"/>
      <c r="F718" s="15"/>
      <c r="G718" s="15"/>
      <c r="H718" s="96"/>
      <c r="I718" s="16"/>
      <c r="J718" s="37" t="str">
        <f aca="false">IF(I718="","",IF(H718="",1,H718)*I718)</f>
        <v/>
      </c>
      <c r="K718" s="15"/>
      <c r="L718" s="97" t="str">
        <f aca="false">IF(C718="","",IF(OR(C718="Material",C718="Equipo",C718="Suministro"),"Materiales y equipos",IF(C718="Mano de obra contratista","Mano de obra contratista",IF(C718="Transporte","Transporte y otros","Alquileres"))))</f>
        <v/>
      </c>
      <c r="M718" s="6"/>
    </row>
    <row r="719" customFormat="false" ht="16.5" hidden="false" customHeight="true" outlineLevel="0" collapsed="false">
      <c r="A719" s="95" t="str">
        <f aca="false">IF(AND(B719="",C719=""),"",ROW()-6)</f>
        <v/>
      </c>
      <c r="B719" s="83"/>
      <c r="C719" s="15"/>
      <c r="D719" s="15"/>
      <c r="E719" s="85"/>
      <c r="F719" s="15"/>
      <c r="G719" s="15"/>
      <c r="H719" s="96"/>
      <c r="I719" s="16"/>
      <c r="J719" s="37" t="str">
        <f aca="false">IF(I719="","",IF(H719="",1,H719)*I719)</f>
        <v/>
      </c>
      <c r="K719" s="15"/>
      <c r="L719" s="97" t="str">
        <f aca="false">IF(C719="","",IF(OR(C719="Material",C719="Equipo",C719="Suministro"),"Materiales y equipos",IF(C719="Mano de obra contratista","Mano de obra contratista",IF(C719="Transporte","Transporte y otros","Alquileres"))))</f>
        <v/>
      </c>
      <c r="M719" s="6"/>
    </row>
    <row r="720" customFormat="false" ht="16.5" hidden="false" customHeight="true" outlineLevel="0" collapsed="false">
      <c r="A720" s="95" t="str">
        <f aca="false">IF(AND(B720="",C720=""),"",ROW()-6)</f>
        <v/>
      </c>
      <c r="B720" s="83"/>
      <c r="C720" s="15"/>
      <c r="D720" s="15"/>
      <c r="E720" s="85"/>
      <c r="F720" s="15"/>
      <c r="G720" s="15"/>
      <c r="H720" s="96"/>
      <c r="I720" s="16"/>
      <c r="J720" s="37" t="str">
        <f aca="false">IF(I720="","",IF(H720="",1,H720)*I720)</f>
        <v/>
      </c>
      <c r="K720" s="15"/>
      <c r="L720" s="97" t="str">
        <f aca="false">IF(C720="","",IF(OR(C720="Material",C720="Equipo",C720="Suministro"),"Materiales y equipos",IF(C720="Mano de obra contratista","Mano de obra contratista",IF(C720="Transporte","Transporte y otros","Alquileres"))))</f>
        <v/>
      </c>
      <c r="M720" s="6"/>
    </row>
    <row r="721" customFormat="false" ht="16.5" hidden="false" customHeight="true" outlineLevel="0" collapsed="false">
      <c r="A721" s="95" t="str">
        <f aca="false">IF(AND(B721="",C721=""),"",ROW()-6)</f>
        <v/>
      </c>
      <c r="B721" s="83"/>
      <c r="C721" s="15"/>
      <c r="D721" s="15"/>
      <c r="E721" s="85"/>
      <c r="F721" s="15"/>
      <c r="G721" s="15"/>
      <c r="H721" s="96"/>
      <c r="I721" s="16"/>
      <c r="J721" s="37" t="str">
        <f aca="false">IF(I721="","",IF(H721="",1,H721)*I721)</f>
        <v/>
      </c>
      <c r="K721" s="15"/>
      <c r="L721" s="97" t="str">
        <f aca="false">IF(C721="","",IF(OR(C721="Material",C721="Equipo",C721="Suministro"),"Materiales y equipos",IF(C721="Mano de obra contratista","Mano de obra contratista",IF(C721="Transporte","Transporte y otros","Alquileres"))))</f>
        <v/>
      </c>
      <c r="M721" s="6"/>
    </row>
    <row r="722" customFormat="false" ht="16.5" hidden="false" customHeight="true" outlineLevel="0" collapsed="false">
      <c r="A722" s="95" t="str">
        <f aca="false">IF(AND(B722="",C722=""),"",ROW()-6)</f>
        <v/>
      </c>
      <c r="B722" s="83"/>
      <c r="C722" s="15"/>
      <c r="D722" s="15"/>
      <c r="E722" s="85"/>
      <c r="F722" s="15"/>
      <c r="G722" s="15"/>
      <c r="H722" s="96"/>
      <c r="I722" s="16"/>
      <c r="J722" s="37" t="str">
        <f aca="false">IF(I722="","",IF(H722="",1,H722)*I722)</f>
        <v/>
      </c>
      <c r="K722" s="15"/>
      <c r="L722" s="97" t="str">
        <f aca="false">IF(C722="","",IF(OR(C722="Material",C722="Equipo",C722="Suministro"),"Materiales y equipos",IF(C722="Mano de obra contratista","Mano de obra contratista",IF(C722="Transporte","Transporte y otros","Alquileres"))))</f>
        <v/>
      </c>
      <c r="M722" s="6"/>
    </row>
    <row r="723" customFormat="false" ht="16.5" hidden="false" customHeight="true" outlineLevel="0" collapsed="false">
      <c r="A723" s="95" t="str">
        <f aca="false">IF(AND(B723="",C723=""),"",ROW()-6)</f>
        <v/>
      </c>
      <c r="B723" s="83"/>
      <c r="C723" s="15"/>
      <c r="D723" s="15"/>
      <c r="E723" s="85"/>
      <c r="F723" s="15"/>
      <c r="G723" s="15"/>
      <c r="H723" s="96"/>
      <c r="I723" s="16"/>
      <c r="J723" s="37" t="str">
        <f aca="false">IF(I723="","",IF(H723="",1,H723)*I723)</f>
        <v/>
      </c>
      <c r="K723" s="15"/>
      <c r="L723" s="97" t="str">
        <f aca="false">IF(C723="","",IF(OR(C723="Material",C723="Equipo",C723="Suministro"),"Materiales y equipos",IF(C723="Mano de obra contratista","Mano de obra contratista",IF(C723="Transporte","Transporte y otros","Alquileres"))))</f>
        <v/>
      </c>
      <c r="M723" s="6"/>
    </row>
    <row r="724" customFormat="false" ht="16.5" hidden="false" customHeight="true" outlineLevel="0" collapsed="false">
      <c r="A724" s="95" t="str">
        <f aca="false">IF(AND(B724="",C724=""),"",ROW()-6)</f>
        <v/>
      </c>
      <c r="B724" s="83"/>
      <c r="C724" s="15"/>
      <c r="D724" s="15"/>
      <c r="E724" s="85"/>
      <c r="F724" s="15"/>
      <c r="G724" s="15"/>
      <c r="H724" s="96"/>
      <c r="I724" s="16"/>
      <c r="J724" s="37" t="str">
        <f aca="false">IF(I724="","",IF(H724="",1,H724)*I724)</f>
        <v/>
      </c>
      <c r="K724" s="15"/>
      <c r="L724" s="97" t="str">
        <f aca="false">IF(C724="","",IF(OR(C724="Material",C724="Equipo",C724="Suministro"),"Materiales y equipos",IF(C724="Mano de obra contratista","Mano de obra contratista",IF(C724="Transporte","Transporte y otros","Alquileres"))))</f>
        <v/>
      </c>
      <c r="M724" s="6"/>
    </row>
    <row r="725" customFormat="false" ht="16.5" hidden="false" customHeight="true" outlineLevel="0" collapsed="false">
      <c r="A725" s="95" t="str">
        <f aca="false">IF(AND(B725="",C725=""),"",ROW()-6)</f>
        <v/>
      </c>
      <c r="B725" s="83"/>
      <c r="C725" s="15"/>
      <c r="D725" s="15"/>
      <c r="E725" s="85"/>
      <c r="F725" s="15"/>
      <c r="G725" s="15"/>
      <c r="H725" s="96"/>
      <c r="I725" s="16"/>
      <c r="J725" s="37" t="str">
        <f aca="false">IF(I725="","",IF(H725="",1,H725)*I725)</f>
        <v/>
      </c>
      <c r="K725" s="15"/>
      <c r="L725" s="97" t="str">
        <f aca="false">IF(C725="","",IF(OR(C725="Material",C725="Equipo",C725="Suministro"),"Materiales y equipos",IF(C725="Mano de obra contratista","Mano de obra contratista",IF(C725="Transporte","Transporte y otros","Alquileres"))))</f>
        <v/>
      </c>
      <c r="M725" s="6"/>
    </row>
    <row r="726" customFormat="false" ht="16.5" hidden="false" customHeight="true" outlineLevel="0" collapsed="false">
      <c r="A726" s="95" t="str">
        <f aca="false">IF(AND(B726="",C726=""),"",ROW()-6)</f>
        <v/>
      </c>
      <c r="B726" s="83"/>
      <c r="C726" s="15"/>
      <c r="D726" s="15"/>
      <c r="E726" s="85"/>
      <c r="F726" s="15"/>
      <c r="G726" s="15"/>
      <c r="H726" s="96"/>
      <c r="I726" s="16"/>
      <c r="J726" s="37" t="str">
        <f aca="false">IF(I726="","",IF(H726="",1,H726)*I726)</f>
        <v/>
      </c>
      <c r="K726" s="15"/>
      <c r="L726" s="97" t="str">
        <f aca="false">IF(C726="","",IF(OR(C726="Material",C726="Equipo",C726="Suministro"),"Materiales y equipos",IF(C726="Mano de obra contratista","Mano de obra contratista",IF(C726="Transporte","Transporte y otros","Alquileres"))))</f>
        <v/>
      </c>
      <c r="M726" s="6"/>
    </row>
    <row r="727" customFormat="false" ht="16.5" hidden="false" customHeight="true" outlineLevel="0" collapsed="false">
      <c r="A727" s="95" t="str">
        <f aca="false">IF(AND(B727="",C727=""),"",ROW()-6)</f>
        <v/>
      </c>
      <c r="B727" s="83"/>
      <c r="C727" s="15"/>
      <c r="D727" s="15"/>
      <c r="E727" s="85"/>
      <c r="F727" s="15"/>
      <c r="G727" s="15"/>
      <c r="H727" s="96"/>
      <c r="I727" s="16"/>
      <c r="J727" s="37" t="str">
        <f aca="false">IF(I727="","",IF(H727="",1,H727)*I727)</f>
        <v/>
      </c>
      <c r="K727" s="15"/>
      <c r="L727" s="97" t="str">
        <f aca="false">IF(C727="","",IF(OR(C727="Material",C727="Equipo",C727="Suministro"),"Materiales y equipos",IF(C727="Mano de obra contratista","Mano de obra contratista",IF(C727="Transporte","Transporte y otros","Alquileres"))))</f>
        <v/>
      </c>
      <c r="M727" s="6"/>
    </row>
    <row r="728" customFormat="false" ht="16.5" hidden="false" customHeight="true" outlineLevel="0" collapsed="false">
      <c r="A728" s="95" t="str">
        <f aca="false">IF(AND(B728="",C728=""),"",ROW()-6)</f>
        <v/>
      </c>
      <c r="B728" s="83"/>
      <c r="C728" s="15"/>
      <c r="D728" s="15"/>
      <c r="E728" s="85"/>
      <c r="F728" s="15"/>
      <c r="G728" s="15"/>
      <c r="H728" s="96"/>
      <c r="I728" s="16"/>
      <c r="J728" s="37" t="str">
        <f aca="false">IF(I728="","",IF(H728="",1,H728)*I728)</f>
        <v/>
      </c>
      <c r="K728" s="15"/>
      <c r="L728" s="97" t="str">
        <f aca="false">IF(C728="","",IF(OR(C728="Material",C728="Equipo",C728="Suministro"),"Materiales y equipos",IF(C728="Mano de obra contratista","Mano de obra contratista",IF(C728="Transporte","Transporte y otros","Alquileres"))))</f>
        <v/>
      </c>
      <c r="M728" s="6"/>
    </row>
    <row r="729" customFormat="false" ht="16.5" hidden="false" customHeight="true" outlineLevel="0" collapsed="false">
      <c r="A729" s="95" t="str">
        <f aca="false">IF(AND(B729="",C729=""),"",ROW()-6)</f>
        <v/>
      </c>
      <c r="B729" s="83"/>
      <c r="C729" s="15"/>
      <c r="D729" s="15"/>
      <c r="E729" s="85"/>
      <c r="F729" s="15"/>
      <c r="G729" s="15"/>
      <c r="H729" s="96"/>
      <c r="I729" s="16"/>
      <c r="J729" s="37" t="str">
        <f aca="false">IF(I729="","",IF(H729="",1,H729)*I729)</f>
        <v/>
      </c>
      <c r="K729" s="15"/>
      <c r="L729" s="97" t="str">
        <f aca="false">IF(C729="","",IF(OR(C729="Material",C729="Equipo",C729="Suministro"),"Materiales y equipos",IF(C729="Mano de obra contratista","Mano de obra contratista",IF(C729="Transporte","Transporte y otros","Alquileres"))))</f>
        <v/>
      </c>
      <c r="M729" s="6"/>
    </row>
    <row r="730" customFormat="false" ht="16.5" hidden="false" customHeight="true" outlineLevel="0" collapsed="false">
      <c r="A730" s="95" t="str">
        <f aca="false">IF(AND(B730="",C730=""),"",ROW()-6)</f>
        <v/>
      </c>
      <c r="B730" s="83"/>
      <c r="C730" s="15"/>
      <c r="D730" s="15"/>
      <c r="E730" s="85"/>
      <c r="F730" s="15"/>
      <c r="G730" s="15"/>
      <c r="H730" s="96"/>
      <c r="I730" s="16"/>
      <c r="J730" s="37" t="str">
        <f aca="false">IF(I730="","",IF(H730="",1,H730)*I730)</f>
        <v/>
      </c>
      <c r="K730" s="15"/>
      <c r="L730" s="97" t="str">
        <f aca="false">IF(C730="","",IF(OR(C730="Material",C730="Equipo",C730="Suministro"),"Materiales y equipos",IF(C730="Mano de obra contratista","Mano de obra contratista",IF(C730="Transporte","Transporte y otros","Alquileres"))))</f>
        <v/>
      </c>
      <c r="M730" s="6"/>
    </row>
    <row r="731" customFormat="false" ht="16.5" hidden="false" customHeight="true" outlineLevel="0" collapsed="false">
      <c r="A731" s="95" t="str">
        <f aca="false">IF(AND(B731="",C731=""),"",ROW()-6)</f>
        <v/>
      </c>
      <c r="B731" s="83"/>
      <c r="C731" s="15"/>
      <c r="D731" s="15"/>
      <c r="E731" s="85"/>
      <c r="F731" s="15"/>
      <c r="G731" s="15"/>
      <c r="H731" s="96"/>
      <c r="I731" s="16"/>
      <c r="J731" s="37" t="str">
        <f aca="false">IF(I731="","",IF(H731="",1,H731)*I731)</f>
        <v/>
      </c>
      <c r="K731" s="15"/>
      <c r="L731" s="97" t="str">
        <f aca="false">IF(C731="","",IF(OR(C731="Material",C731="Equipo",C731="Suministro"),"Materiales y equipos",IF(C731="Mano de obra contratista","Mano de obra contratista",IF(C731="Transporte","Transporte y otros","Alquileres"))))</f>
        <v/>
      </c>
      <c r="M731" s="6"/>
    </row>
    <row r="732" customFormat="false" ht="16.5" hidden="false" customHeight="true" outlineLevel="0" collapsed="false">
      <c r="A732" s="95" t="str">
        <f aca="false">IF(AND(B732="",C732=""),"",ROW()-6)</f>
        <v/>
      </c>
      <c r="B732" s="83"/>
      <c r="C732" s="15"/>
      <c r="D732" s="15"/>
      <c r="E732" s="85"/>
      <c r="F732" s="15"/>
      <c r="G732" s="15"/>
      <c r="H732" s="96"/>
      <c r="I732" s="16"/>
      <c r="J732" s="37" t="str">
        <f aca="false">IF(I732="","",IF(H732="",1,H732)*I732)</f>
        <v/>
      </c>
      <c r="K732" s="15"/>
      <c r="L732" s="97" t="str">
        <f aca="false">IF(C732="","",IF(OR(C732="Material",C732="Equipo",C732="Suministro"),"Materiales y equipos",IF(C732="Mano de obra contratista","Mano de obra contratista",IF(C732="Transporte","Transporte y otros","Alquileres"))))</f>
        <v/>
      </c>
      <c r="M732" s="6"/>
    </row>
    <row r="733" customFormat="false" ht="16.5" hidden="false" customHeight="true" outlineLevel="0" collapsed="false">
      <c r="A733" s="95" t="str">
        <f aca="false">IF(AND(B733="",C733=""),"",ROW()-6)</f>
        <v/>
      </c>
      <c r="B733" s="83"/>
      <c r="C733" s="15"/>
      <c r="D733" s="15"/>
      <c r="E733" s="85"/>
      <c r="F733" s="15"/>
      <c r="G733" s="15"/>
      <c r="H733" s="96"/>
      <c r="I733" s="16"/>
      <c r="J733" s="37" t="str">
        <f aca="false">IF(I733="","",IF(H733="",1,H733)*I733)</f>
        <v/>
      </c>
      <c r="K733" s="15"/>
      <c r="L733" s="97" t="str">
        <f aca="false">IF(C733="","",IF(OR(C733="Material",C733="Equipo",C733="Suministro"),"Materiales y equipos",IF(C733="Mano de obra contratista","Mano de obra contratista",IF(C733="Transporte","Transporte y otros","Alquileres"))))</f>
        <v/>
      </c>
      <c r="M733" s="6"/>
    </row>
    <row r="734" customFormat="false" ht="16.5" hidden="false" customHeight="true" outlineLevel="0" collapsed="false">
      <c r="A734" s="95" t="str">
        <f aca="false">IF(AND(B734="",C734=""),"",ROW()-6)</f>
        <v/>
      </c>
      <c r="B734" s="83"/>
      <c r="C734" s="15"/>
      <c r="D734" s="15"/>
      <c r="E734" s="85"/>
      <c r="F734" s="15"/>
      <c r="G734" s="15"/>
      <c r="H734" s="96"/>
      <c r="I734" s="16"/>
      <c r="J734" s="37" t="str">
        <f aca="false">IF(I734="","",IF(H734="",1,H734)*I734)</f>
        <v/>
      </c>
      <c r="K734" s="15"/>
      <c r="L734" s="97" t="str">
        <f aca="false">IF(C734="","",IF(OR(C734="Material",C734="Equipo",C734="Suministro"),"Materiales y equipos",IF(C734="Mano de obra contratista","Mano de obra contratista",IF(C734="Transporte","Transporte y otros","Alquileres"))))</f>
        <v/>
      </c>
      <c r="M734" s="6"/>
    </row>
    <row r="735" customFormat="false" ht="16.5" hidden="false" customHeight="true" outlineLevel="0" collapsed="false">
      <c r="A735" s="95" t="str">
        <f aca="false">IF(AND(B735="",C735=""),"",ROW()-6)</f>
        <v/>
      </c>
      <c r="B735" s="83"/>
      <c r="C735" s="15"/>
      <c r="D735" s="15"/>
      <c r="E735" s="85"/>
      <c r="F735" s="15"/>
      <c r="G735" s="15"/>
      <c r="H735" s="96"/>
      <c r="I735" s="16"/>
      <c r="J735" s="37" t="str">
        <f aca="false">IF(I735="","",IF(H735="",1,H735)*I735)</f>
        <v/>
      </c>
      <c r="K735" s="15"/>
      <c r="L735" s="97" t="str">
        <f aca="false">IF(C735="","",IF(OR(C735="Material",C735="Equipo",C735="Suministro"),"Materiales y equipos",IF(C735="Mano de obra contratista","Mano de obra contratista",IF(C735="Transporte","Transporte y otros","Alquileres"))))</f>
        <v/>
      </c>
      <c r="M735" s="6"/>
    </row>
    <row r="736" customFormat="false" ht="16.5" hidden="false" customHeight="true" outlineLevel="0" collapsed="false">
      <c r="A736" s="95" t="str">
        <f aca="false">IF(AND(B736="",C736=""),"",ROW()-6)</f>
        <v/>
      </c>
      <c r="B736" s="83"/>
      <c r="C736" s="15"/>
      <c r="D736" s="15"/>
      <c r="E736" s="85"/>
      <c r="F736" s="15"/>
      <c r="G736" s="15"/>
      <c r="H736" s="96"/>
      <c r="I736" s="16"/>
      <c r="J736" s="37" t="str">
        <f aca="false">IF(I736="","",IF(H736="",1,H736)*I736)</f>
        <v/>
      </c>
      <c r="K736" s="15"/>
      <c r="L736" s="97" t="str">
        <f aca="false">IF(C736="","",IF(OR(C736="Material",C736="Equipo",C736="Suministro"),"Materiales y equipos",IF(C736="Mano de obra contratista","Mano de obra contratista",IF(C736="Transporte","Transporte y otros","Alquileres"))))</f>
        <v/>
      </c>
      <c r="M736" s="6"/>
    </row>
    <row r="737" customFormat="false" ht="16.5" hidden="false" customHeight="true" outlineLevel="0" collapsed="false">
      <c r="A737" s="95" t="str">
        <f aca="false">IF(AND(B737="",C737=""),"",ROW()-6)</f>
        <v/>
      </c>
      <c r="B737" s="83"/>
      <c r="C737" s="15"/>
      <c r="D737" s="15"/>
      <c r="E737" s="85"/>
      <c r="F737" s="15"/>
      <c r="G737" s="15"/>
      <c r="H737" s="96"/>
      <c r="I737" s="16"/>
      <c r="J737" s="37" t="str">
        <f aca="false">IF(I737="","",IF(H737="",1,H737)*I737)</f>
        <v/>
      </c>
      <c r="K737" s="15"/>
      <c r="L737" s="97" t="str">
        <f aca="false">IF(C737="","",IF(OR(C737="Material",C737="Equipo",C737="Suministro"),"Materiales y equipos",IF(C737="Mano de obra contratista","Mano de obra contratista",IF(C737="Transporte","Transporte y otros","Alquileres"))))</f>
        <v/>
      </c>
      <c r="M737" s="6"/>
    </row>
    <row r="738" customFormat="false" ht="16.5" hidden="false" customHeight="true" outlineLevel="0" collapsed="false">
      <c r="A738" s="95" t="str">
        <f aca="false">IF(AND(B738="",C738=""),"",ROW()-6)</f>
        <v/>
      </c>
      <c r="B738" s="83"/>
      <c r="C738" s="15"/>
      <c r="D738" s="15"/>
      <c r="E738" s="85"/>
      <c r="F738" s="15"/>
      <c r="G738" s="15"/>
      <c r="H738" s="96"/>
      <c r="I738" s="16"/>
      <c r="J738" s="37" t="str">
        <f aca="false">IF(I738="","",IF(H738="",1,H738)*I738)</f>
        <v/>
      </c>
      <c r="K738" s="15"/>
      <c r="L738" s="97" t="str">
        <f aca="false">IF(C738="","",IF(OR(C738="Material",C738="Equipo",C738="Suministro"),"Materiales y equipos",IF(C738="Mano de obra contratista","Mano de obra contratista",IF(C738="Transporte","Transporte y otros","Alquileres"))))</f>
        <v/>
      </c>
      <c r="M738" s="6"/>
    </row>
    <row r="739" customFormat="false" ht="16.5" hidden="false" customHeight="true" outlineLevel="0" collapsed="false">
      <c r="A739" s="95" t="str">
        <f aca="false">IF(AND(B739="",C739=""),"",ROW()-6)</f>
        <v/>
      </c>
      <c r="B739" s="83"/>
      <c r="C739" s="15"/>
      <c r="D739" s="15"/>
      <c r="E739" s="85"/>
      <c r="F739" s="15"/>
      <c r="G739" s="15"/>
      <c r="H739" s="96"/>
      <c r="I739" s="16"/>
      <c r="J739" s="37" t="str">
        <f aca="false">IF(I739="","",IF(H739="",1,H739)*I739)</f>
        <v/>
      </c>
      <c r="K739" s="15"/>
      <c r="L739" s="97" t="str">
        <f aca="false">IF(C739="","",IF(OR(C739="Material",C739="Equipo",C739="Suministro"),"Materiales y equipos",IF(C739="Mano de obra contratista","Mano de obra contratista",IF(C739="Transporte","Transporte y otros","Alquileres"))))</f>
        <v/>
      </c>
      <c r="M739" s="6"/>
    </row>
    <row r="740" customFormat="false" ht="16.5" hidden="false" customHeight="true" outlineLevel="0" collapsed="false">
      <c r="A740" s="95" t="str">
        <f aca="false">IF(AND(B740="",C740=""),"",ROW()-6)</f>
        <v/>
      </c>
      <c r="B740" s="83"/>
      <c r="C740" s="15"/>
      <c r="D740" s="15"/>
      <c r="E740" s="85"/>
      <c r="F740" s="15"/>
      <c r="G740" s="15"/>
      <c r="H740" s="96"/>
      <c r="I740" s="16"/>
      <c r="J740" s="37" t="str">
        <f aca="false">IF(I740="","",IF(H740="",1,H740)*I740)</f>
        <v/>
      </c>
      <c r="K740" s="15"/>
      <c r="L740" s="97" t="str">
        <f aca="false">IF(C740="","",IF(OR(C740="Material",C740="Equipo",C740="Suministro"),"Materiales y equipos",IF(C740="Mano de obra contratista","Mano de obra contratista",IF(C740="Transporte","Transporte y otros","Alquileres"))))</f>
        <v/>
      </c>
      <c r="M740" s="6"/>
    </row>
    <row r="741" customFormat="false" ht="16.5" hidden="false" customHeight="true" outlineLevel="0" collapsed="false">
      <c r="A741" s="95" t="str">
        <f aca="false">IF(AND(B741="",C741=""),"",ROW()-6)</f>
        <v/>
      </c>
      <c r="B741" s="83"/>
      <c r="C741" s="15"/>
      <c r="D741" s="15"/>
      <c r="E741" s="85"/>
      <c r="F741" s="15"/>
      <c r="G741" s="15"/>
      <c r="H741" s="96"/>
      <c r="I741" s="16"/>
      <c r="J741" s="37" t="str">
        <f aca="false">IF(I741="","",IF(H741="",1,H741)*I741)</f>
        <v/>
      </c>
      <c r="K741" s="15"/>
      <c r="L741" s="97" t="str">
        <f aca="false">IF(C741="","",IF(OR(C741="Material",C741="Equipo",C741="Suministro"),"Materiales y equipos",IF(C741="Mano de obra contratista","Mano de obra contratista",IF(C741="Transporte","Transporte y otros","Alquileres"))))</f>
        <v/>
      </c>
      <c r="M741" s="6"/>
    </row>
    <row r="742" customFormat="false" ht="16.5" hidden="false" customHeight="true" outlineLevel="0" collapsed="false">
      <c r="A742" s="95" t="str">
        <f aca="false">IF(AND(B742="",C742=""),"",ROW()-6)</f>
        <v/>
      </c>
      <c r="B742" s="83"/>
      <c r="C742" s="15"/>
      <c r="D742" s="15"/>
      <c r="E742" s="85"/>
      <c r="F742" s="15"/>
      <c r="G742" s="15"/>
      <c r="H742" s="96"/>
      <c r="I742" s="16"/>
      <c r="J742" s="37" t="str">
        <f aca="false">IF(I742="","",IF(H742="",1,H742)*I742)</f>
        <v/>
      </c>
      <c r="K742" s="15"/>
      <c r="L742" s="97" t="str">
        <f aca="false">IF(C742="","",IF(OR(C742="Material",C742="Equipo",C742="Suministro"),"Materiales y equipos",IF(C742="Mano de obra contratista","Mano de obra contratista",IF(C742="Transporte","Transporte y otros","Alquileres"))))</f>
        <v/>
      </c>
      <c r="M742" s="6"/>
    </row>
    <row r="743" customFormat="false" ht="16.5" hidden="false" customHeight="true" outlineLevel="0" collapsed="false">
      <c r="A743" s="95" t="str">
        <f aca="false">IF(AND(B743="",C743=""),"",ROW()-6)</f>
        <v/>
      </c>
      <c r="B743" s="83"/>
      <c r="C743" s="15"/>
      <c r="D743" s="15"/>
      <c r="E743" s="85"/>
      <c r="F743" s="15"/>
      <c r="G743" s="15"/>
      <c r="H743" s="96"/>
      <c r="I743" s="16"/>
      <c r="J743" s="37" t="str">
        <f aca="false">IF(I743="","",IF(H743="",1,H743)*I743)</f>
        <v/>
      </c>
      <c r="K743" s="15"/>
      <c r="L743" s="97" t="str">
        <f aca="false">IF(C743="","",IF(OR(C743="Material",C743="Equipo",C743="Suministro"),"Materiales y equipos",IF(C743="Mano de obra contratista","Mano de obra contratista",IF(C743="Transporte","Transporte y otros","Alquileres"))))</f>
        <v/>
      </c>
      <c r="M743" s="6"/>
    </row>
    <row r="744" customFormat="false" ht="16.5" hidden="false" customHeight="true" outlineLevel="0" collapsed="false">
      <c r="A744" s="95" t="str">
        <f aca="false">IF(AND(B744="",C744=""),"",ROW()-6)</f>
        <v/>
      </c>
      <c r="B744" s="83"/>
      <c r="C744" s="15"/>
      <c r="D744" s="15"/>
      <c r="E744" s="85"/>
      <c r="F744" s="15"/>
      <c r="G744" s="15"/>
      <c r="H744" s="96"/>
      <c r="I744" s="16"/>
      <c r="J744" s="37" t="str">
        <f aca="false">IF(I744="","",IF(H744="",1,H744)*I744)</f>
        <v/>
      </c>
      <c r="K744" s="15"/>
      <c r="L744" s="97" t="str">
        <f aca="false">IF(C744="","",IF(OR(C744="Material",C744="Equipo",C744="Suministro"),"Materiales y equipos",IF(C744="Mano de obra contratista","Mano de obra contratista",IF(C744="Transporte","Transporte y otros","Alquileres"))))</f>
        <v/>
      </c>
      <c r="M744" s="6"/>
    </row>
    <row r="745" customFormat="false" ht="16.5" hidden="false" customHeight="true" outlineLevel="0" collapsed="false">
      <c r="A745" s="95" t="str">
        <f aca="false">IF(AND(B745="",C745=""),"",ROW()-6)</f>
        <v/>
      </c>
      <c r="B745" s="83"/>
      <c r="C745" s="15"/>
      <c r="D745" s="15"/>
      <c r="E745" s="85"/>
      <c r="F745" s="15"/>
      <c r="G745" s="15"/>
      <c r="H745" s="96"/>
      <c r="I745" s="16"/>
      <c r="J745" s="37" t="str">
        <f aca="false">IF(I745="","",IF(H745="",1,H745)*I745)</f>
        <v/>
      </c>
      <c r="K745" s="15"/>
      <c r="L745" s="97" t="str">
        <f aca="false">IF(C745="","",IF(OR(C745="Material",C745="Equipo",C745="Suministro"),"Materiales y equipos",IF(C745="Mano de obra contratista","Mano de obra contratista",IF(C745="Transporte","Transporte y otros","Alquileres"))))</f>
        <v/>
      </c>
      <c r="M745" s="6"/>
    </row>
    <row r="746" customFormat="false" ht="16.5" hidden="false" customHeight="true" outlineLevel="0" collapsed="false">
      <c r="A746" s="95" t="str">
        <f aca="false">IF(AND(B746="",C746=""),"",ROW()-6)</f>
        <v/>
      </c>
      <c r="B746" s="83"/>
      <c r="C746" s="15"/>
      <c r="D746" s="15"/>
      <c r="E746" s="85"/>
      <c r="F746" s="15"/>
      <c r="G746" s="15"/>
      <c r="H746" s="96"/>
      <c r="I746" s="16"/>
      <c r="J746" s="37" t="str">
        <f aca="false">IF(I746="","",IF(H746="",1,H746)*I746)</f>
        <v/>
      </c>
      <c r="K746" s="15"/>
      <c r="L746" s="97" t="str">
        <f aca="false">IF(C746="","",IF(OR(C746="Material",C746="Equipo",C746="Suministro"),"Materiales y equipos",IF(C746="Mano de obra contratista","Mano de obra contratista",IF(C746="Transporte","Transporte y otros","Alquileres"))))</f>
        <v/>
      </c>
      <c r="M746" s="6"/>
    </row>
    <row r="747" customFormat="false" ht="16.5" hidden="false" customHeight="true" outlineLevel="0" collapsed="false">
      <c r="A747" s="95" t="str">
        <f aca="false">IF(AND(B747="",C747=""),"",ROW()-6)</f>
        <v/>
      </c>
      <c r="B747" s="83"/>
      <c r="C747" s="15"/>
      <c r="D747" s="15"/>
      <c r="E747" s="85"/>
      <c r="F747" s="15"/>
      <c r="G747" s="15"/>
      <c r="H747" s="96"/>
      <c r="I747" s="16"/>
      <c r="J747" s="37" t="str">
        <f aca="false">IF(I747="","",IF(H747="",1,H747)*I747)</f>
        <v/>
      </c>
      <c r="K747" s="15"/>
      <c r="L747" s="97" t="str">
        <f aca="false">IF(C747="","",IF(OR(C747="Material",C747="Equipo",C747="Suministro"),"Materiales y equipos",IF(C747="Mano de obra contratista","Mano de obra contratista",IF(C747="Transporte","Transporte y otros","Alquileres"))))</f>
        <v/>
      </c>
      <c r="M747" s="6"/>
    </row>
    <row r="748" customFormat="false" ht="16.5" hidden="false" customHeight="true" outlineLevel="0" collapsed="false">
      <c r="A748" s="95" t="str">
        <f aca="false">IF(AND(B748="",C748=""),"",ROW()-6)</f>
        <v/>
      </c>
      <c r="B748" s="83"/>
      <c r="C748" s="15"/>
      <c r="D748" s="15"/>
      <c r="E748" s="85"/>
      <c r="F748" s="15"/>
      <c r="G748" s="15"/>
      <c r="H748" s="96"/>
      <c r="I748" s="16"/>
      <c r="J748" s="37" t="str">
        <f aca="false">IF(I748="","",IF(H748="",1,H748)*I748)</f>
        <v/>
      </c>
      <c r="K748" s="15"/>
      <c r="L748" s="97" t="str">
        <f aca="false">IF(C748="","",IF(OR(C748="Material",C748="Equipo",C748="Suministro"),"Materiales y equipos",IF(C748="Mano de obra contratista","Mano de obra contratista",IF(C748="Transporte","Transporte y otros","Alquileres"))))</f>
        <v/>
      </c>
      <c r="M748" s="6"/>
    </row>
    <row r="749" customFormat="false" ht="16.5" hidden="false" customHeight="true" outlineLevel="0" collapsed="false">
      <c r="A749" s="95" t="str">
        <f aca="false">IF(AND(B749="",C749=""),"",ROW()-6)</f>
        <v/>
      </c>
      <c r="B749" s="83"/>
      <c r="C749" s="15"/>
      <c r="D749" s="15"/>
      <c r="E749" s="85"/>
      <c r="F749" s="15"/>
      <c r="G749" s="15"/>
      <c r="H749" s="96"/>
      <c r="I749" s="16"/>
      <c r="J749" s="37" t="str">
        <f aca="false">IF(I749="","",IF(H749="",1,H749)*I749)</f>
        <v/>
      </c>
      <c r="K749" s="15"/>
      <c r="L749" s="97" t="str">
        <f aca="false">IF(C749="","",IF(OR(C749="Material",C749="Equipo",C749="Suministro"),"Materiales y equipos",IF(C749="Mano de obra contratista","Mano de obra contratista",IF(C749="Transporte","Transporte y otros","Alquileres"))))</f>
        <v/>
      </c>
      <c r="M749" s="6"/>
    </row>
    <row r="750" customFormat="false" ht="16.5" hidden="false" customHeight="true" outlineLevel="0" collapsed="false">
      <c r="A750" s="95" t="str">
        <f aca="false">IF(AND(B750="",C750=""),"",ROW()-6)</f>
        <v/>
      </c>
      <c r="B750" s="83"/>
      <c r="C750" s="15"/>
      <c r="D750" s="15"/>
      <c r="E750" s="85"/>
      <c r="F750" s="15"/>
      <c r="G750" s="15"/>
      <c r="H750" s="96"/>
      <c r="I750" s="16"/>
      <c r="J750" s="37" t="str">
        <f aca="false">IF(I750="","",IF(H750="",1,H750)*I750)</f>
        <v/>
      </c>
      <c r="K750" s="15"/>
      <c r="L750" s="97" t="str">
        <f aca="false">IF(C750="","",IF(OR(C750="Material",C750="Equipo",C750="Suministro"),"Materiales y equipos",IF(C750="Mano de obra contratista","Mano de obra contratista",IF(C750="Transporte","Transporte y otros","Alquileres"))))</f>
        <v/>
      </c>
      <c r="M750" s="6"/>
    </row>
    <row r="751" customFormat="false" ht="16.5" hidden="false" customHeight="true" outlineLevel="0" collapsed="false">
      <c r="A751" s="95" t="str">
        <f aca="false">IF(AND(B751="",C751=""),"",ROW()-6)</f>
        <v/>
      </c>
      <c r="B751" s="83"/>
      <c r="C751" s="15"/>
      <c r="D751" s="15"/>
      <c r="E751" s="85"/>
      <c r="F751" s="15"/>
      <c r="G751" s="15"/>
      <c r="H751" s="96"/>
      <c r="I751" s="16"/>
      <c r="J751" s="37" t="str">
        <f aca="false">IF(I751="","",IF(H751="",1,H751)*I751)</f>
        <v/>
      </c>
      <c r="K751" s="15"/>
      <c r="L751" s="97" t="str">
        <f aca="false">IF(C751="","",IF(OR(C751="Material",C751="Equipo",C751="Suministro"),"Materiales y equipos",IF(C751="Mano de obra contratista","Mano de obra contratista",IF(C751="Transporte","Transporte y otros","Alquileres"))))</f>
        <v/>
      </c>
      <c r="M751" s="6"/>
    </row>
    <row r="752" customFormat="false" ht="16.5" hidden="false" customHeight="true" outlineLevel="0" collapsed="false">
      <c r="A752" s="95" t="str">
        <f aca="false">IF(AND(B752="",C752=""),"",ROW()-6)</f>
        <v/>
      </c>
      <c r="B752" s="83"/>
      <c r="C752" s="15"/>
      <c r="D752" s="15"/>
      <c r="E752" s="85"/>
      <c r="F752" s="15"/>
      <c r="G752" s="15"/>
      <c r="H752" s="96"/>
      <c r="I752" s="16"/>
      <c r="J752" s="37" t="str">
        <f aca="false">IF(I752="","",IF(H752="",1,H752)*I752)</f>
        <v/>
      </c>
      <c r="K752" s="15"/>
      <c r="L752" s="97" t="str">
        <f aca="false">IF(C752="","",IF(OR(C752="Material",C752="Equipo",C752="Suministro"),"Materiales y equipos",IF(C752="Mano de obra contratista","Mano de obra contratista",IF(C752="Transporte","Transporte y otros","Alquileres"))))</f>
        <v/>
      </c>
      <c r="M752" s="6"/>
    </row>
    <row r="753" customFormat="false" ht="16.5" hidden="false" customHeight="true" outlineLevel="0" collapsed="false">
      <c r="A753" s="95" t="str">
        <f aca="false">IF(AND(B753="",C753=""),"",ROW()-6)</f>
        <v/>
      </c>
      <c r="B753" s="83"/>
      <c r="C753" s="15"/>
      <c r="D753" s="15"/>
      <c r="E753" s="85"/>
      <c r="F753" s="15"/>
      <c r="G753" s="15"/>
      <c r="H753" s="96"/>
      <c r="I753" s="16"/>
      <c r="J753" s="37" t="str">
        <f aca="false">IF(I753="","",IF(H753="",1,H753)*I753)</f>
        <v/>
      </c>
      <c r="K753" s="15"/>
      <c r="L753" s="97" t="str">
        <f aca="false">IF(C753="","",IF(OR(C753="Material",C753="Equipo",C753="Suministro"),"Materiales y equipos",IF(C753="Mano de obra contratista","Mano de obra contratista",IF(C753="Transporte","Transporte y otros","Alquileres"))))</f>
        <v/>
      </c>
      <c r="M753" s="6"/>
    </row>
    <row r="754" customFormat="false" ht="16.5" hidden="false" customHeight="true" outlineLevel="0" collapsed="false">
      <c r="A754" s="95" t="str">
        <f aca="false">IF(AND(B754="",C754=""),"",ROW()-6)</f>
        <v/>
      </c>
      <c r="B754" s="83"/>
      <c r="C754" s="15"/>
      <c r="D754" s="15"/>
      <c r="E754" s="85"/>
      <c r="F754" s="15"/>
      <c r="G754" s="15"/>
      <c r="H754" s="96"/>
      <c r="I754" s="16"/>
      <c r="J754" s="37" t="str">
        <f aca="false">IF(I754="","",IF(H754="",1,H754)*I754)</f>
        <v/>
      </c>
      <c r="K754" s="15"/>
      <c r="L754" s="97" t="str">
        <f aca="false">IF(C754="","",IF(OR(C754="Material",C754="Equipo",C754="Suministro"),"Materiales y equipos",IF(C754="Mano de obra contratista","Mano de obra contratista",IF(C754="Transporte","Transporte y otros","Alquileres"))))</f>
        <v/>
      </c>
      <c r="M754" s="6"/>
    </row>
    <row r="755" customFormat="false" ht="16.5" hidden="false" customHeight="true" outlineLevel="0" collapsed="false">
      <c r="A755" s="95" t="str">
        <f aca="false">IF(AND(B755="",C755=""),"",ROW()-6)</f>
        <v/>
      </c>
      <c r="B755" s="83"/>
      <c r="C755" s="15"/>
      <c r="D755" s="15"/>
      <c r="E755" s="85"/>
      <c r="F755" s="15"/>
      <c r="G755" s="15"/>
      <c r="H755" s="96"/>
      <c r="I755" s="16"/>
      <c r="J755" s="37" t="str">
        <f aca="false">IF(I755="","",IF(H755="",1,H755)*I755)</f>
        <v/>
      </c>
      <c r="K755" s="15"/>
      <c r="L755" s="97" t="str">
        <f aca="false">IF(C755="","",IF(OR(C755="Material",C755="Equipo",C755="Suministro"),"Materiales y equipos",IF(C755="Mano de obra contratista","Mano de obra contratista",IF(C755="Transporte","Transporte y otros","Alquileres"))))</f>
        <v/>
      </c>
      <c r="M755" s="6"/>
    </row>
    <row r="756" customFormat="false" ht="16.5" hidden="false" customHeight="true" outlineLevel="0" collapsed="false">
      <c r="A756" s="95" t="str">
        <f aca="false">IF(AND(B756="",C756=""),"",ROW()-6)</f>
        <v/>
      </c>
      <c r="B756" s="83"/>
      <c r="C756" s="15"/>
      <c r="D756" s="15"/>
      <c r="E756" s="85"/>
      <c r="F756" s="15"/>
      <c r="G756" s="15"/>
      <c r="H756" s="96"/>
      <c r="I756" s="16"/>
      <c r="J756" s="37" t="str">
        <f aca="false">IF(I756="","",IF(H756="",1,H756)*I756)</f>
        <v/>
      </c>
      <c r="K756" s="15"/>
      <c r="L756" s="97" t="str">
        <f aca="false">IF(C756="","",IF(OR(C756="Material",C756="Equipo",C756="Suministro"),"Materiales y equipos",IF(C756="Mano de obra contratista","Mano de obra contratista",IF(C756="Transporte","Transporte y otros","Alquileres"))))</f>
        <v/>
      </c>
      <c r="M756" s="6"/>
    </row>
    <row r="757" customFormat="false" ht="16.5" hidden="false" customHeight="true" outlineLevel="0" collapsed="false">
      <c r="A757" s="95" t="str">
        <f aca="false">IF(AND(B757="",C757=""),"",ROW()-6)</f>
        <v/>
      </c>
      <c r="B757" s="83"/>
      <c r="C757" s="15"/>
      <c r="D757" s="15"/>
      <c r="E757" s="85"/>
      <c r="F757" s="15"/>
      <c r="G757" s="15"/>
      <c r="H757" s="96"/>
      <c r="I757" s="16"/>
      <c r="J757" s="37" t="str">
        <f aca="false">IF(I757="","",IF(H757="",1,H757)*I757)</f>
        <v/>
      </c>
      <c r="K757" s="15"/>
      <c r="L757" s="97" t="str">
        <f aca="false">IF(C757="","",IF(OR(C757="Material",C757="Equipo",C757="Suministro"),"Materiales y equipos",IF(C757="Mano de obra contratista","Mano de obra contratista",IF(C757="Transporte","Transporte y otros","Alquileres"))))</f>
        <v/>
      </c>
      <c r="M757" s="6"/>
    </row>
    <row r="758" customFormat="false" ht="16.5" hidden="false" customHeight="true" outlineLevel="0" collapsed="false">
      <c r="A758" s="95" t="str">
        <f aca="false">IF(AND(B758="",C758=""),"",ROW()-6)</f>
        <v/>
      </c>
      <c r="B758" s="83"/>
      <c r="C758" s="15"/>
      <c r="D758" s="15"/>
      <c r="E758" s="85"/>
      <c r="F758" s="15"/>
      <c r="G758" s="15"/>
      <c r="H758" s="96"/>
      <c r="I758" s="16"/>
      <c r="J758" s="37" t="str">
        <f aca="false">IF(I758="","",IF(H758="",1,H758)*I758)</f>
        <v/>
      </c>
      <c r="K758" s="15"/>
      <c r="L758" s="97" t="str">
        <f aca="false">IF(C758="","",IF(OR(C758="Material",C758="Equipo",C758="Suministro"),"Materiales y equipos",IF(C758="Mano de obra contratista","Mano de obra contratista",IF(C758="Transporte","Transporte y otros","Alquileres"))))</f>
        <v/>
      </c>
      <c r="M758" s="6"/>
    </row>
    <row r="759" customFormat="false" ht="16.5" hidden="false" customHeight="true" outlineLevel="0" collapsed="false">
      <c r="A759" s="95" t="str">
        <f aca="false">IF(AND(B759="",C759=""),"",ROW()-6)</f>
        <v/>
      </c>
      <c r="B759" s="83"/>
      <c r="C759" s="15"/>
      <c r="D759" s="15"/>
      <c r="E759" s="85"/>
      <c r="F759" s="15"/>
      <c r="G759" s="15"/>
      <c r="H759" s="96"/>
      <c r="I759" s="16"/>
      <c r="J759" s="37" t="str">
        <f aca="false">IF(I759="","",IF(H759="",1,H759)*I759)</f>
        <v/>
      </c>
      <c r="K759" s="15"/>
      <c r="L759" s="97" t="str">
        <f aca="false">IF(C759="","",IF(OR(C759="Material",C759="Equipo",C759="Suministro"),"Materiales y equipos",IF(C759="Mano de obra contratista","Mano de obra contratista",IF(C759="Transporte","Transporte y otros","Alquileres"))))</f>
        <v/>
      </c>
      <c r="M759" s="6"/>
    </row>
    <row r="760" customFormat="false" ht="16.5" hidden="false" customHeight="true" outlineLevel="0" collapsed="false">
      <c r="A760" s="95" t="str">
        <f aca="false">IF(AND(B760="",C760=""),"",ROW()-6)</f>
        <v/>
      </c>
      <c r="B760" s="83"/>
      <c r="C760" s="15"/>
      <c r="D760" s="15"/>
      <c r="E760" s="85"/>
      <c r="F760" s="15"/>
      <c r="G760" s="15"/>
      <c r="H760" s="96"/>
      <c r="I760" s="16"/>
      <c r="J760" s="37" t="str">
        <f aca="false">IF(I760="","",IF(H760="",1,H760)*I760)</f>
        <v/>
      </c>
      <c r="K760" s="15"/>
      <c r="L760" s="97" t="str">
        <f aca="false">IF(C760="","",IF(OR(C760="Material",C760="Equipo",C760="Suministro"),"Materiales y equipos",IF(C760="Mano de obra contratista","Mano de obra contratista",IF(C760="Transporte","Transporte y otros","Alquileres"))))</f>
        <v/>
      </c>
      <c r="M760" s="6"/>
    </row>
    <row r="761" customFormat="false" ht="16.5" hidden="false" customHeight="true" outlineLevel="0" collapsed="false">
      <c r="A761" s="95" t="str">
        <f aca="false">IF(AND(B761="",C761=""),"",ROW()-6)</f>
        <v/>
      </c>
      <c r="B761" s="83"/>
      <c r="C761" s="15"/>
      <c r="D761" s="15"/>
      <c r="E761" s="85"/>
      <c r="F761" s="15"/>
      <c r="G761" s="15"/>
      <c r="H761" s="96"/>
      <c r="I761" s="16"/>
      <c r="J761" s="37" t="str">
        <f aca="false">IF(I761="","",IF(H761="",1,H761)*I761)</f>
        <v/>
      </c>
      <c r="K761" s="15"/>
      <c r="L761" s="97" t="str">
        <f aca="false">IF(C761="","",IF(OR(C761="Material",C761="Equipo",C761="Suministro"),"Materiales y equipos",IF(C761="Mano de obra contratista","Mano de obra contratista",IF(C761="Transporte","Transporte y otros","Alquileres"))))</f>
        <v/>
      </c>
      <c r="M761" s="6"/>
    </row>
    <row r="762" customFormat="false" ht="16.5" hidden="false" customHeight="true" outlineLevel="0" collapsed="false">
      <c r="A762" s="95" t="str">
        <f aca="false">IF(AND(B762="",C762=""),"",ROW()-6)</f>
        <v/>
      </c>
      <c r="B762" s="83"/>
      <c r="C762" s="15"/>
      <c r="D762" s="15"/>
      <c r="E762" s="85"/>
      <c r="F762" s="15"/>
      <c r="G762" s="15"/>
      <c r="H762" s="96"/>
      <c r="I762" s="16"/>
      <c r="J762" s="37" t="str">
        <f aca="false">IF(I762="","",IF(H762="",1,H762)*I762)</f>
        <v/>
      </c>
      <c r="K762" s="15"/>
      <c r="L762" s="97" t="str">
        <f aca="false">IF(C762="","",IF(OR(C762="Material",C762="Equipo",C762="Suministro"),"Materiales y equipos",IF(C762="Mano de obra contratista","Mano de obra contratista",IF(C762="Transporte","Transporte y otros","Alquileres"))))</f>
        <v/>
      </c>
      <c r="M762" s="6"/>
    </row>
    <row r="763" customFormat="false" ht="16.5" hidden="false" customHeight="true" outlineLevel="0" collapsed="false">
      <c r="A763" s="95" t="str">
        <f aca="false">IF(AND(B763="",C763=""),"",ROW()-6)</f>
        <v/>
      </c>
      <c r="B763" s="83"/>
      <c r="C763" s="15"/>
      <c r="D763" s="15"/>
      <c r="E763" s="85"/>
      <c r="F763" s="15"/>
      <c r="G763" s="15"/>
      <c r="H763" s="96"/>
      <c r="I763" s="16"/>
      <c r="J763" s="37" t="str">
        <f aca="false">IF(I763="","",IF(H763="",1,H763)*I763)</f>
        <v/>
      </c>
      <c r="K763" s="15"/>
      <c r="L763" s="97" t="str">
        <f aca="false">IF(C763="","",IF(OR(C763="Material",C763="Equipo",C763="Suministro"),"Materiales y equipos",IF(C763="Mano de obra contratista","Mano de obra contratista",IF(C763="Transporte","Transporte y otros","Alquileres"))))</f>
        <v/>
      </c>
      <c r="M763" s="6"/>
    </row>
    <row r="764" customFormat="false" ht="16.5" hidden="false" customHeight="true" outlineLevel="0" collapsed="false">
      <c r="A764" s="95" t="str">
        <f aca="false">IF(AND(B764="",C764=""),"",ROW()-6)</f>
        <v/>
      </c>
      <c r="B764" s="83"/>
      <c r="C764" s="15"/>
      <c r="D764" s="15"/>
      <c r="E764" s="85"/>
      <c r="F764" s="15"/>
      <c r="G764" s="15"/>
      <c r="H764" s="96"/>
      <c r="I764" s="16"/>
      <c r="J764" s="37" t="str">
        <f aca="false">IF(I764="","",IF(H764="",1,H764)*I764)</f>
        <v/>
      </c>
      <c r="K764" s="15"/>
      <c r="L764" s="97" t="str">
        <f aca="false">IF(C764="","",IF(OR(C764="Material",C764="Equipo",C764="Suministro"),"Materiales y equipos",IF(C764="Mano de obra contratista","Mano de obra contratista",IF(C764="Transporte","Transporte y otros","Alquileres"))))</f>
        <v/>
      </c>
      <c r="M764" s="6"/>
    </row>
    <row r="765" customFormat="false" ht="16.5" hidden="false" customHeight="true" outlineLevel="0" collapsed="false">
      <c r="A765" s="95" t="str">
        <f aca="false">IF(AND(B765="",C765=""),"",ROW()-6)</f>
        <v/>
      </c>
      <c r="B765" s="83"/>
      <c r="C765" s="15"/>
      <c r="D765" s="15"/>
      <c r="E765" s="85"/>
      <c r="F765" s="15"/>
      <c r="G765" s="15"/>
      <c r="H765" s="96"/>
      <c r="I765" s="16"/>
      <c r="J765" s="37" t="str">
        <f aca="false">IF(I765="","",IF(H765="",1,H765)*I765)</f>
        <v/>
      </c>
      <c r="K765" s="15"/>
      <c r="L765" s="97" t="str">
        <f aca="false">IF(C765="","",IF(OR(C765="Material",C765="Equipo",C765="Suministro"),"Materiales y equipos",IF(C765="Mano de obra contratista","Mano de obra contratista",IF(C765="Transporte","Transporte y otros","Alquileres"))))</f>
        <v/>
      </c>
      <c r="M765" s="6"/>
    </row>
    <row r="766" customFormat="false" ht="16.5" hidden="false" customHeight="true" outlineLevel="0" collapsed="false">
      <c r="A766" s="95" t="str">
        <f aca="false">IF(AND(B766="",C766=""),"",ROW()-6)</f>
        <v/>
      </c>
      <c r="B766" s="83"/>
      <c r="C766" s="15"/>
      <c r="D766" s="15"/>
      <c r="E766" s="85"/>
      <c r="F766" s="15"/>
      <c r="G766" s="15"/>
      <c r="H766" s="96"/>
      <c r="I766" s="16"/>
      <c r="J766" s="37" t="str">
        <f aca="false">IF(I766="","",IF(H766="",1,H766)*I766)</f>
        <v/>
      </c>
      <c r="K766" s="15"/>
      <c r="L766" s="97" t="str">
        <f aca="false">IF(C766="","",IF(OR(C766="Material",C766="Equipo",C766="Suministro"),"Materiales y equipos",IF(C766="Mano de obra contratista","Mano de obra contratista",IF(C766="Transporte","Transporte y otros","Alquileres"))))</f>
        <v/>
      </c>
      <c r="M766" s="6"/>
    </row>
    <row r="767" customFormat="false" ht="16.5" hidden="false" customHeight="true" outlineLevel="0" collapsed="false">
      <c r="A767" s="95" t="str">
        <f aca="false">IF(AND(B767="",C767=""),"",ROW()-6)</f>
        <v/>
      </c>
      <c r="B767" s="83"/>
      <c r="C767" s="15"/>
      <c r="D767" s="15"/>
      <c r="E767" s="85"/>
      <c r="F767" s="15"/>
      <c r="G767" s="15"/>
      <c r="H767" s="96"/>
      <c r="I767" s="16"/>
      <c r="J767" s="37" t="str">
        <f aca="false">IF(I767="","",IF(H767="",1,H767)*I767)</f>
        <v/>
      </c>
      <c r="K767" s="15"/>
      <c r="L767" s="97" t="str">
        <f aca="false">IF(C767="","",IF(OR(C767="Material",C767="Equipo",C767="Suministro"),"Materiales y equipos",IF(C767="Mano de obra contratista","Mano de obra contratista",IF(C767="Transporte","Transporte y otros","Alquileres"))))</f>
        <v/>
      </c>
      <c r="M767" s="6"/>
    </row>
    <row r="768" customFormat="false" ht="16.5" hidden="false" customHeight="true" outlineLevel="0" collapsed="false">
      <c r="A768" s="95" t="str">
        <f aca="false">IF(AND(B768="",C768=""),"",ROW()-6)</f>
        <v/>
      </c>
      <c r="B768" s="83"/>
      <c r="C768" s="15"/>
      <c r="D768" s="15"/>
      <c r="E768" s="85"/>
      <c r="F768" s="15"/>
      <c r="G768" s="15"/>
      <c r="H768" s="96"/>
      <c r="I768" s="16"/>
      <c r="J768" s="37" t="str">
        <f aca="false">IF(I768="","",IF(H768="",1,H768)*I768)</f>
        <v/>
      </c>
      <c r="K768" s="15"/>
      <c r="L768" s="97" t="str">
        <f aca="false">IF(C768="","",IF(OR(C768="Material",C768="Equipo",C768="Suministro"),"Materiales y equipos",IF(C768="Mano de obra contratista","Mano de obra contratista",IF(C768="Transporte","Transporte y otros","Alquileres"))))</f>
        <v/>
      </c>
      <c r="M768" s="6"/>
    </row>
    <row r="769" customFormat="false" ht="16.5" hidden="false" customHeight="true" outlineLevel="0" collapsed="false">
      <c r="A769" s="95" t="str">
        <f aca="false">IF(AND(B769="",C769=""),"",ROW()-6)</f>
        <v/>
      </c>
      <c r="B769" s="83"/>
      <c r="C769" s="15"/>
      <c r="D769" s="15"/>
      <c r="E769" s="85"/>
      <c r="F769" s="15"/>
      <c r="G769" s="15"/>
      <c r="H769" s="96"/>
      <c r="I769" s="16"/>
      <c r="J769" s="37" t="str">
        <f aca="false">IF(I769="","",IF(H769="",1,H769)*I769)</f>
        <v/>
      </c>
      <c r="K769" s="15"/>
      <c r="L769" s="97" t="str">
        <f aca="false">IF(C769="","",IF(OR(C769="Material",C769="Equipo",C769="Suministro"),"Materiales y equipos",IF(C769="Mano de obra contratista","Mano de obra contratista",IF(C769="Transporte","Transporte y otros","Alquileres"))))</f>
        <v/>
      </c>
      <c r="M769" s="6"/>
    </row>
    <row r="770" customFormat="false" ht="16.5" hidden="false" customHeight="true" outlineLevel="0" collapsed="false">
      <c r="A770" s="95" t="str">
        <f aca="false">IF(AND(B770="",C770=""),"",ROW()-6)</f>
        <v/>
      </c>
      <c r="B770" s="83"/>
      <c r="C770" s="15"/>
      <c r="D770" s="15"/>
      <c r="E770" s="85"/>
      <c r="F770" s="15"/>
      <c r="G770" s="15"/>
      <c r="H770" s="96"/>
      <c r="I770" s="16"/>
      <c r="J770" s="37" t="str">
        <f aca="false">IF(I770="","",IF(H770="",1,H770)*I770)</f>
        <v/>
      </c>
      <c r="K770" s="15"/>
      <c r="L770" s="97" t="str">
        <f aca="false">IF(C770="","",IF(OR(C770="Material",C770="Equipo",C770="Suministro"),"Materiales y equipos",IF(C770="Mano de obra contratista","Mano de obra contratista",IF(C770="Transporte","Transporte y otros","Alquileres"))))</f>
        <v/>
      </c>
      <c r="M770" s="6"/>
    </row>
    <row r="771" customFormat="false" ht="16.5" hidden="false" customHeight="true" outlineLevel="0" collapsed="false">
      <c r="A771" s="95" t="str">
        <f aca="false">IF(AND(B771="",C771=""),"",ROW()-6)</f>
        <v/>
      </c>
      <c r="B771" s="83"/>
      <c r="C771" s="15"/>
      <c r="D771" s="15"/>
      <c r="E771" s="85"/>
      <c r="F771" s="15"/>
      <c r="G771" s="15"/>
      <c r="H771" s="96"/>
      <c r="I771" s="16"/>
      <c r="J771" s="37" t="str">
        <f aca="false">IF(I771="","",IF(H771="",1,H771)*I771)</f>
        <v/>
      </c>
      <c r="K771" s="15"/>
      <c r="L771" s="97" t="str">
        <f aca="false">IF(C771="","",IF(OR(C771="Material",C771="Equipo",C771="Suministro"),"Materiales y equipos",IF(C771="Mano de obra contratista","Mano de obra contratista",IF(C771="Transporte","Transporte y otros","Alquileres"))))</f>
        <v/>
      </c>
      <c r="M771" s="6"/>
    </row>
    <row r="772" customFormat="false" ht="16.5" hidden="false" customHeight="true" outlineLevel="0" collapsed="false">
      <c r="A772" s="95" t="str">
        <f aca="false">IF(AND(B772="",C772=""),"",ROW()-6)</f>
        <v/>
      </c>
      <c r="B772" s="83"/>
      <c r="C772" s="15"/>
      <c r="D772" s="15"/>
      <c r="E772" s="85"/>
      <c r="F772" s="15"/>
      <c r="G772" s="15"/>
      <c r="H772" s="96"/>
      <c r="I772" s="16"/>
      <c r="J772" s="37" t="str">
        <f aca="false">IF(I772="","",IF(H772="",1,H772)*I772)</f>
        <v/>
      </c>
      <c r="K772" s="15"/>
      <c r="L772" s="97" t="str">
        <f aca="false">IF(C772="","",IF(OR(C772="Material",C772="Equipo",C772="Suministro"),"Materiales y equipos",IF(C772="Mano de obra contratista","Mano de obra contratista",IF(C772="Transporte","Transporte y otros","Alquileres"))))</f>
        <v/>
      </c>
      <c r="M772" s="6"/>
    </row>
    <row r="773" customFormat="false" ht="16.5" hidden="false" customHeight="true" outlineLevel="0" collapsed="false">
      <c r="A773" s="95" t="str">
        <f aca="false">IF(AND(B773="",C773=""),"",ROW()-6)</f>
        <v/>
      </c>
      <c r="B773" s="83"/>
      <c r="C773" s="15"/>
      <c r="D773" s="15"/>
      <c r="E773" s="85"/>
      <c r="F773" s="15"/>
      <c r="G773" s="15"/>
      <c r="H773" s="96"/>
      <c r="I773" s="16"/>
      <c r="J773" s="37" t="str">
        <f aca="false">IF(I773="","",IF(H773="",1,H773)*I773)</f>
        <v/>
      </c>
      <c r="K773" s="15"/>
      <c r="L773" s="97" t="str">
        <f aca="false">IF(C773="","",IF(OR(C773="Material",C773="Equipo",C773="Suministro"),"Materiales y equipos",IF(C773="Mano de obra contratista","Mano de obra contratista",IF(C773="Transporte","Transporte y otros","Alquileres"))))</f>
        <v/>
      </c>
      <c r="M773" s="6"/>
    </row>
    <row r="774" customFormat="false" ht="16.5" hidden="false" customHeight="true" outlineLevel="0" collapsed="false">
      <c r="A774" s="95" t="str">
        <f aca="false">IF(AND(B774="",C774=""),"",ROW()-6)</f>
        <v/>
      </c>
      <c r="B774" s="83"/>
      <c r="C774" s="15"/>
      <c r="D774" s="15"/>
      <c r="E774" s="85"/>
      <c r="F774" s="15"/>
      <c r="G774" s="15"/>
      <c r="H774" s="96"/>
      <c r="I774" s="16"/>
      <c r="J774" s="37" t="str">
        <f aca="false">IF(I774="","",IF(H774="",1,H774)*I774)</f>
        <v/>
      </c>
      <c r="K774" s="15"/>
      <c r="L774" s="97" t="str">
        <f aca="false">IF(C774="","",IF(OR(C774="Material",C774="Equipo",C774="Suministro"),"Materiales y equipos",IF(C774="Mano de obra contratista","Mano de obra contratista",IF(C774="Transporte","Transporte y otros","Alquileres"))))</f>
        <v/>
      </c>
      <c r="M774" s="6"/>
    </row>
    <row r="775" customFormat="false" ht="16.5" hidden="false" customHeight="true" outlineLevel="0" collapsed="false">
      <c r="A775" s="95" t="str">
        <f aca="false">IF(AND(B775="",C775=""),"",ROW()-6)</f>
        <v/>
      </c>
      <c r="B775" s="83"/>
      <c r="C775" s="15"/>
      <c r="D775" s="15"/>
      <c r="E775" s="85"/>
      <c r="F775" s="15"/>
      <c r="G775" s="15"/>
      <c r="H775" s="96"/>
      <c r="I775" s="16"/>
      <c r="J775" s="37" t="str">
        <f aca="false">IF(I775="","",IF(H775="",1,H775)*I775)</f>
        <v/>
      </c>
      <c r="K775" s="15"/>
      <c r="L775" s="97" t="str">
        <f aca="false">IF(C775="","",IF(OR(C775="Material",C775="Equipo",C775="Suministro"),"Materiales y equipos",IF(C775="Mano de obra contratista","Mano de obra contratista",IF(C775="Transporte","Transporte y otros","Alquileres"))))</f>
        <v/>
      </c>
      <c r="M775" s="6"/>
    </row>
    <row r="776" customFormat="false" ht="16.5" hidden="false" customHeight="true" outlineLevel="0" collapsed="false">
      <c r="A776" s="95" t="str">
        <f aca="false">IF(AND(B776="",C776=""),"",ROW()-6)</f>
        <v/>
      </c>
      <c r="B776" s="83"/>
      <c r="C776" s="15"/>
      <c r="D776" s="15"/>
      <c r="E776" s="85"/>
      <c r="F776" s="15"/>
      <c r="G776" s="15"/>
      <c r="H776" s="96"/>
      <c r="I776" s="16"/>
      <c r="J776" s="37" t="str">
        <f aca="false">IF(I776="","",IF(H776="",1,H776)*I776)</f>
        <v/>
      </c>
      <c r="K776" s="15"/>
      <c r="L776" s="97" t="str">
        <f aca="false">IF(C776="","",IF(OR(C776="Material",C776="Equipo",C776="Suministro"),"Materiales y equipos",IF(C776="Mano de obra contratista","Mano de obra contratista",IF(C776="Transporte","Transporte y otros","Alquileres"))))</f>
        <v/>
      </c>
      <c r="M776" s="6"/>
    </row>
    <row r="777" customFormat="false" ht="16.5" hidden="false" customHeight="true" outlineLevel="0" collapsed="false">
      <c r="A777" s="95" t="str">
        <f aca="false">IF(AND(B777="",C777=""),"",ROW()-6)</f>
        <v/>
      </c>
      <c r="B777" s="83"/>
      <c r="C777" s="15"/>
      <c r="D777" s="15"/>
      <c r="E777" s="85"/>
      <c r="F777" s="15"/>
      <c r="G777" s="15"/>
      <c r="H777" s="96"/>
      <c r="I777" s="16"/>
      <c r="J777" s="37" t="str">
        <f aca="false">IF(I777="","",IF(H777="",1,H777)*I777)</f>
        <v/>
      </c>
      <c r="K777" s="15"/>
      <c r="L777" s="97" t="str">
        <f aca="false">IF(C777="","",IF(OR(C777="Material",C777="Equipo",C777="Suministro"),"Materiales y equipos",IF(C777="Mano de obra contratista","Mano de obra contratista",IF(C777="Transporte","Transporte y otros","Alquileres"))))</f>
        <v/>
      </c>
      <c r="M777" s="6"/>
    </row>
    <row r="778" customFormat="false" ht="16.5" hidden="false" customHeight="true" outlineLevel="0" collapsed="false">
      <c r="A778" s="95" t="str">
        <f aca="false">IF(AND(B778="",C778=""),"",ROW()-6)</f>
        <v/>
      </c>
      <c r="B778" s="83"/>
      <c r="C778" s="15"/>
      <c r="D778" s="15"/>
      <c r="E778" s="85"/>
      <c r="F778" s="15"/>
      <c r="G778" s="15"/>
      <c r="H778" s="96"/>
      <c r="I778" s="16"/>
      <c r="J778" s="37" t="str">
        <f aca="false">IF(I778="","",IF(H778="",1,H778)*I778)</f>
        <v/>
      </c>
      <c r="K778" s="15"/>
      <c r="L778" s="97" t="str">
        <f aca="false">IF(C778="","",IF(OR(C778="Material",C778="Equipo",C778="Suministro"),"Materiales y equipos",IF(C778="Mano de obra contratista","Mano de obra contratista",IF(C778="Transporte","Transporte y otros","Alquileres"))))</f>
        <v/>
      </c>
      <c r="M778" s="6"/>
    </row>
    <row r="779" customFormat="false" ht="16.5" hidden="false" customHeight="true" outlineLevel="0" collapsed="false">
      <c r="A779" s="95" t="str">
        <f aca="false">IF(AND(B779="",C779=""),"",ROW()-6)</f>
        <v/>
      </c>
      <c r="B779" s="83"/>
      <c r="C779" s="15"/>
      <c r="D779" s="15"/>
      <c r="E779" s="85"/>
      <c r="F779" s="15"/>
      <c r="G779" s="15"/>
      <c r="H779" s="96"/>
      <c r="I779" s="16"/>
      <c r="J779" s="37" t="str">
        <f aca="false">IF(I779="","",IF(H779="",1,H779)*I779)</f>
        <v/>
      </c>
      <c r="K779" s="15"/>
      <c r="L779" s="97" t="str">
        <f aca="false">IF(C779="","",IF(OR(C779="Material",C779="Equipo",C779="Suministro"),"Materiales y equipos",IF(C779="Mano de obra contratista","Mano de obra contratista",IF(C779="Transporte","Transporte y otros","Alquileres"))))</f>
        <v/>
      </c>
      <c r="M779" s="6"/>
    </row>
    <row r="780" customFormat="false" ht="16.5" hidden="false" customHeight="true" outlineLevel="0" collapsed="false">
      <c r="A780" s="95" t="str">
        <f aca="false">IF(AND(B780="",C780=""),"",ROW()-6)</f>
        <v/>
      </c>
      <c r="B780" s="83"/>
      <c r="C780" s="15"/>
      <c r="D780" s="15"/>
      <c r="E780" s="85"/>
      <c r="F780" s="15"/>
      <c r="G780" s="15"/>
      <c r="H780" s="96"/>
      <c r="I780" s="16"/>
      <c r="J780" s="37" t="str">
        <f aca="false">IF(I780="","",IF(H780="",1,H780)*I780)</f>
        <v/>
      </c>
      <c r="K780" s="15"/>
      <c r="L780" s="97" t="str">
        <f aca="false">IF(C780="","",IF(OR(C780="Material",C780="Equipo",C780="Suministro"),"Materiales y equipos",IF(C780="Mano de obra contratista","Mano de obra contratista",IF(C780="Transporte","Transporte y otros","Alquileres"))))</f>
        <v/>
      </c>
      <c r="M780" s="6"/>
    </row>
    <row r="781" customFormat="false" ht="16.5" hidden="false" customHeight="true" outlineLevel="0" collapsed="false">
      <c r="A781" s="95" t="str">
        <f aca="false">IF(AND(B781="",C781=""),"",ROW()-6)</f>
        <v/>
      </c>
      <c r="B781" s="83"/>
      <c r="C781" s="15"/>
      <c r="D781" s="15"/>
      <c r="E781" s="85"/>
      <c r="F781" s="15"/>
      <c r="G781" s="15"/>
      <c r="H781" s="96"/>
      <c r="I781" s="16"/>
      <c r="J781" s="37" t="str">
        <f aca="false">IF(I781="","",IF(H781="",1,H781)*I781)</f>
        <v/>
      </c>
      <c r="K781" s="15"/>
      <c r="L781" s="97" t="str">
        <f aca="false">IF(C781="","",IF(OR(C781="Material",C781="Equipo",C781="Suministro"),"Materiales y equipos",IF(C781="Mano de obra contratista","Mano de obra contratista",IF(C781="Transporte","Transporte y otros","Alquileres"))))</f>
        <v/>
      </c>
      <c r="M781" s="6"/>
    </row>
    <row r="782" customFormat="false" ht="16.5" hidden="false" customHeight="true" outlineLevel="0" collapsed="false">
      <c r="A782" s="95" t="str">
        <f aca="false">IF(AND(B782="",C782=""),"",ROW()-6)</f>
        <v/>
      </c>
      <c r="B782" s="83"/>
      <c r="C782" s="15"/>
      <c r="D782" s="15"/>
      <c r="E782" s="85"/>
      <c r="F782" s="15"/>
      <c r="G782" s="15"/>
      <c r="H782" s="96"/>
      <c r="I782" s="16"/>
      <c r="J782" s="37" t="str">
        <f aca="false">IF(I782="","",IF(H782="",1,H782)*I782)</f>
        <v/>
      </c>
      <c r="K782" s="15"/>
      <c r="L782" s="97" t="str">
        <f aca="false">IF(C782="","",IF(OR(C782="Material",C782="Equipo",C782="Suministro"),"Materiales y equipos",IF(C782="Mano de obra contratista","Mano de obra contratista",IF(C782="Transporte","Transporte y otros","Alquileres"))))</f>
        <v/>
      </c>
      <c r="M782" s="6"/>
    </row>
    <row r="783" customFormat="false" ht="16.5" hidden="false" customHeight="true" outlineLevel="0" collapsed="false">
      <c r="A783" s="95" t="str">
        <f aca="false">IF(AND(B783="",C783=""),"",ROW()-6)</f>
        <v/>
      </c>
      <c r="B783" s="83"/>
      <c r="C783" s="15"/>
      <c r="D783" s="15"/>
      <c r="E783" s="85"/>
      <c r="F783" s="15"/>
      <c r="G783" s="15"/>
      <c r="H783" s="96"/>
      <c r="I783" s="16"/>
      <c r="J783" s="37" t="str">
        <f aca="false">IF(I783="","",IF(H783="",1,H783)*I783)</f>
        <v/>
      </c>
      <c r="K783" s="15"/>
      <c r="L783" s="97" t="str">
        <f aca="false">IF(C783="","",IF(OR(C783="Material",C783="Equipo",C783="Suministro"),"Materiales y equipos",IF(C783="Mano de obra contratista","Mano de obra contratista",IF(C783="Transporte","Transporte y otros","Alquileres"))))</f>
        <v/>
      </c>
      <c r="M783" s="6"/>
    </row>
    <row r="784" customFormat="false" ht="16.5" hidden="false" customHeight="true" outlineLevel="0" collapsed="false">
      <c r="A784" s="95" t="str">
        <f aca="false">IF(AND(B784="",C784=""),"",ROW()-6)</f>
        <v/>
      </c>
      <c r="B784" s="83"/>
      <c r="C784" s="15"/>
      <c r="D784" s="15"/>
      <c r="E784" s="85"/>
      <c r="F784" s="15"/>
      <c r="G784" s="15"/>
      <c r="H784" s="96"/>
      <c r="I784" s="16"/>
      <c r="J784" s="37" t="str">
        <f aca="false">IF(I784="","",IF(H784="",1,H784)*I784)</f>
        <v/>
      </c>
      <c r="K784" s="15"/>
      <c r="L784" s="97" t="str">
        <f aca="false">IF(C784="","",IF(OR(C784="Material",C784="Equipo",C784="Suministro"),"Materiales y equipos",IF(C784="Mano de obra contratista","Mano de obra contratista",IF(C784="Transporte","Transporte y otros","Alquileres"))))</f>
        <v/>
      </c>
      <c r="M784" s="6"/>
    </row>
    <row r="785" customFormat="false" ht="16.5" hidden="false" customHeight="true" outlineLevel="0" collapsed="false">
      <c r="A785" s="95" t="str">
        <f aca="false">IF(AND(B785="",C785=""),"",ROW()-6)</f>
        <v/>
      </c>
      <c r="B785" s="83"/>
      <c r="C785" s="15"/>
      <c r="D785" s="15"/>
      <c r="E785" s="85"/>
      <c r="F785" s="15"/>
      <c r="G785" s="15"/>
      <c r="H785" s="96"/>
      <c r="I785" s="16"/>
      <c r="J785" s="37" t="str">
        <f aca="false">IF(I785="","",IF(H785="",1,H785)*I785)</f>
        <v/>
      </c>
      <c r="K785" s="15"/>
      <c r="L785" s="97" t="str">
        <f aca="false">IF(C785="","",IF(OR(C785="Material",C785="Equipo",C785="Suministro"),"Materiales y equipos",IF(C785="Mano de obra contratista","Mano de obra contratista",IF(C785="Transporte","Transporte y otros","Alquileres"))))</f>
        <v/>
      </c>
      <c r="M785" s="6"/>
    </row>
    <row r="786" customFormat="false" ht="16.5" hidden="false" customHeight="true" outlineLevel="0" collapsed="false">
      <c r="A786" s="95" t="str">
        <f aca="false">IF(AND(B786="",C786=""),"",ROW()-6)</f>
        <v/>
      </c>
      <c r="B786" s="83"/>
      <c r="C786" s="15"/>
      <c r="D786" s="15"/>
      <c r="E786" s="85"/>
      <c r="F786" s="15"/>
      <c r="G786" s="15"/>
      <c r="H786" s="96"/>
      <c r="I786" s="16"/>
      <c r="J786" s="37" t="str">
        <f aca="false">IF(I786="","",IF(H786="",1,H786)*I786)</f>
        <v/>
      </c>
      <c r="K786" s="15"/>
      <c r="L786" s="97" t="str">
        <f aca="false">IF(C786="","",IF(OR(C786="Material",C786="Equipo",C786="Suministro"),"Materiales y equipos",IF(C786="Mano de obra contratista","Mano de obra contratista",IF(C786="Transporte","Transporte y otros","Alquileres"))))</f>
        <v/>
      </c>
      <c r="M786" s="6"/>
    </row>
    <row r="787" customFormat="false" ht="16.5" hidden="false" customHeight="true" outlineLevel="0" collapsed="false">
      <c r="A787" s="95" t="str">
        <f aca="false">IF(AND(B787="",C787=""),"",ROW()-6)</f>
        <v/>
      </c>
      <c r="B787" s="83"/>
      <c r="C787" s="15"/>
      <c r="D787" s="15"/>
      <c r="E787" s="85"/>
      <c r="F787" s="15"/>
      <c r="G787" s="15"/>
      <c r="H787" s="96"/>
      <c r="I787" s="16"/>
      <c r="J787" s="37" t="str">
        <f aca="false">IF(I787="","",IF(H787="",1,H787)*I787)</f>
        <v/>
      </c>
      <c r="K787" s="15"/>
      <c r="L787" s="97" t="str">
        <f aca="false">IF(C787="","",IF(OR(C787="Material",C787="Equipo",C787="Suministro"),"Materiales y equipos",IF(C787="Mano de obra contratista","Mano de obra contratista",IF(C787="Transporte","Transporte y otros","Alquileres"))))</f>
        <v/>
      </c>
      <c r="M787" s="6"/>
    </row>
    <row r="788" customFormat="false" ht="16.5" hidden="false" customHeight="true" outlineLevel="0" collapsed="false">
      <c r="A788" s="95" t="str">
        <f aca="false">IF(AND(B788="",C788=""),"",ROW()-6)</f>
        <v/>
      </c>
      <c r="B788" s="83"/>
      <c r="C788" s="15"/>
      <c r="D788" s="15"/>
      <c r="E788" s="85"/>
      <c r="F788" s="15"/>
      <c r="G788" s="15"/>
      <c r="H788" s="96"/>
      <c r="I788" s="16"/>
      <c r="J788" s="37" t="str">
        <f aca="false">IF(I788="","",IF(H788="",1,H788)*I788)</f>
        <v/>
      </c>
      <c r="K788" s="15"/>
      <c r="L788" s="97" t="str">
        <f aca="false">IF(C788="","",IF(OR(C788="Material",C788="Equipo",C788="Suministro"),"Materiales y equipos",IF(C788="Mano de obra contratista","Mano de obra contratista",IF(C788="Transporte","Transporte y otros","Alquileres"))))</f>
        <v/>
      </c>
      <c r="M788" s="6"/>
    </row>
    <row r="789" customFormat="false" ht="16.5" hidden="false" customHeight="true" outlineLevel="0" collapsed="false">
      <c r="A789" s="95" t="str">
        <f aca="false">IF(AND(B789="",C789=""),"",ROW()-6)</f>
        <v/>
      </c>
      <c r="B789" s="83"/>
      <c r="C789" s="15"/>
      <c r="D789" s="15"/>
      <c r="E789" s="85"/>
      <c r="F789" s="15"/>
      <c r="G789" s="15"/>
      <c r="H789" s="96"/>
      <c r="I789" s="16"/>
      <c r="J789" s="37" t="str">
        <f aca="false">IF(I789="","",IF(H789="",1,H789)*I789)</f>
        <v/>
      </c>
      <c r="K789" s="15"/>
      <c r="L789" s="97" t="str">
        <f aca="false">IF(C789="","",IF(OR(C789="Material",C789="Equipo",C789="Suministro"),"Materiales y equipos",IF(C789="Mano de obra contratista","Mano de obra contratista",IF(C789="Transporte","Transporte y otros","Alquileres"))))</f>
        <v/>
      </c>
      <c r="M789" s="6"/>
    </row>
    <row r="790" customFormat="false" ht="16.5" hidden="false" customHeight="true" outlineLevel="0" collapsed="false">
      <c r="A790" s="95" t="str">
        <f aca="false">IF(AND(B790="",C790=""),"",ROW()-6)</f>
        <v/>
      </c>
      <c r="B790" s="83"/>
      <c r="C790" s="15"/>
      <c r="D790" s="15"/>
      <c r="E790" s="85"/>
      <c r="F790" s="15"/>
      <c r="G790" s="15"/>
      <c r="H790" s="96"/>
      <c r="I790" s="16"/>
      <c r="J790" s="37" t="str">
        <f aca="false">IF(I790="","",IF(H790="",1,H790)*I790)</f>
        <v/>
      </c>
      <c r="K790" s="15"/>
      <c r="L790" s="97" t="str">
        <f aca="false">IF(C790="","",IF(OR(C790="Material",C790="Equipo",C790="Suministro"),"Materiales y equipos",IF(C790="Mano de obra contratista","Mano de obra contratista",IF(C790="Transporte","Transporte y otros","Alquileres"))))</f>
        <v/>
      </c>
      <c r="M790" s="6"/>
    </row>
    <row r="791" customFormat="false" ht="16.5" hidden="false" customHeight="true" outlineLevel="0" collapsed="false">
      <c r="A791" s="95" t="str">
        <f aca="false">IF(AND(B791="",C791=""),"",ROW()-6)</f>
        <v/>
      </c>
      <c r="B791" s="83"/>
      <c r="C791" s="15"/>
      <c r="D791" s="15"/>
      <c r="E791" s="85"/>
      <c r="F791" s="15"/>
      <c r="G791" s="15"/>
      <c r="H791" s="96"/>
      <c r="I791" s="16"/>
      <c r="J791" s="37" t="str">
        <f aca="false">IF(I791="","",IF(H791="",1,H791)*I791)</f>
        <v/>
      </c>
      <c r="K791" s="15"/>
      <c r="L791" s="97" t="str">
        <f aca="false">IF(C791="","",IF(OR(C791="Material",C791="Equipo",C791="Suministro"),"Materiales y equipos",IF(C791="Mano de obra contratista","Mano de obra contratista",IF(C791="Transporte","Transporte y otros","Alquileres"))))</f>
        <v/>
      </c>
      <c r="M791" s="6"/>
    </row>
    <row r="792" customFormat="false" ht="16.5" hidden="false" customHeight="true" outlineLevel="0" collapsed="false">
      <c r="A792" s="95" t="str">
        <f aca="false">IF(AND(B792="",C792=""),"",ROW()-6)</f>
        <v/>
      </c>
      <c r="B792" s="83"/>
      <c r="C792" s="15"/>
      <c r="D792" s="15"/>
      <c r="E792" s="85"/>
      <c r="F792" s="15"/>
      <c r="G792" s="15"/>
      <c r="H792" s="96"/>
      <c r="I792" s="16"/>
      <c r="J792" s="37" t="str">
        <f aca="false">IF(I792="","",IF(H792="",1,H792)*I792)</f>
        <v/>
      </c>
      <c r="K792" s="15"/>
      <c r="L792" s="97" t="str">
        <f aca="false">IF(C792="","",IF(OR(C792="Material",C792="Equipo",C792="Suministro"),"Materiales y equipos",IF(C792="Mano de obra contratista","Mano de obra contratista",IF(C792="Transporte","Transporte y otros","Alquileres"))))</f>
        <v/>
      </c>
      <c r="M792" s="6"/>
    </row>
    <row r="793" customFormat="false" ht="16.5" hidden="false" customHeight="true" outlineLevel="0" collapsed="false">
      <c r="A793" s="95" t="str">
        <f aca="false">IF(AND(B793="",C793=""),"",ROW()-6)</f>
        <v/>
      </c>
      <c r="B793" s="83"/>
      <c r="C793" s="15"/>
      <c r="D793" s="15"/>
      <c r="E793" s="85"/>
      <c r="F793" s="15"/>
      <c r="G793" s="15"/>
      <c r="H793" s="96"/>
      <c r="I793" s="16"/>
      <c r="J793" s="37" t="str">
        <f aca="false">IF(I793="","",IF(H793="",1,H793)*I793)</f>
        <v/>
      </c>
      <c r="K793" s="15"/>
      <c r="L793" s="97" t="str">
        <f aca="false">IF(C793="","",IF(OR(C793="Material",C793="Equipo",C793="Suministro"),"Materiales y equipos",IF(C793="Mano de obra contratista","Mano de obra contratista",IF(C793="Transporte","Transporte y otros","Alquileres"))))</f>
        <v/>
      </c>
      <c r="M793" s="6"/>
    </row>
    <row r="794" customFormat="false" ht="16.5" hidden="false" customHeight="true" outlineLevel="0" collapsed="false">
      <c r="A794" s="95" t="str">
        <f aca="false">IF(AND(B794="",C794=""),"",ROW()-6)</f>
        <v/>
      </c>
      <c r="B794" s="83"/>
      <c r="C794" s="15"/>
      <c r="D794" s="15"/>
      <c r="E794" s="85"/>
      <c r="F794" s="15"/>
      <c r="G794" s="15"/>
      <c r="H794" s="96"/>
      <c r="I794" s="16"/>
      <c r="J794" s="37" t="str">
        <f aca="false">IF(I794="","",IF(H794="",1,H794)*I794)</f>
        <v/>
      </c>
      <c r="K794" s="15"/>
      <c r="L794" s="97" t="str">
        <f aca="false">IF(C794="","",IF(OR(C794="Material",C794="Equipo",C794="Suministro"),"Materiales y equipos",IF(C794="Mano de obra contratista","Mano de obra contratista",IF(C794="Transporte","Transporte y otros","Alquileres"))))</f>
        <v/>
      </c>
      <c r="M794" s="6"/>
    </row>
    <row r="795" customFormat="false" ht="16.5" hidden="false" customHeight="true" outlineLevel="0" collapsed="false">
      <c r="A795" s="95" t="str">
        <f aca="false">IF(AND(B795="",C795=""),"",ROW()-6)</f>
        <v/>
      </c>
      <c r="B795" s="83"/>
      <c r="C795" s="15"/>
      <c r="D795" s="15"/>
      <c r="E795" s="85"/>
      <c r="F795" s="15"/>
      <c r="G795" s="15"/>
      <c r="H795" s="96"/>
      <c r="I795" s="16"/>
      <c r="J795" s="37" t="str">
        <f aca="false">IF(I795="","",IF(H795="",1,H795)*I795)</f>
        <v/>
      </c>
      <c r="K795" s="15"/>
      <c r="L795" s="97" t="str">
        <f aca="false">IF(C795="","",IF(OR(C795="Material",C795="Equipo",C795="Suministro"),"Materiales y equipos",IF(C795="Mano de obra contratista","Mano de obra contratista",IF(C795="Transporte","Transporte y otros","Alquileres"))))</f>
        <v/>
      </c>
      <c r="M795" s="6"/>
    </row>
    <row r="796" customFormat="false" ht="16.5" hidden="false" customHeight="true" outlineLevel="0" collapsed="false">
      <c r="A796" s="95" t="str">
        <f aca="false">IF(AND(B796="",C796=""),"",ROW()-6)</f>
        <v/>
      </c>
      <c r="B796" s="83"/>
      <c r="C796" s="15"/>
      <c r="D796" s="15"/>
      <c r="E796" s="85"/>
      <c r="F796" s="15"/>
      <c r="G796" s="15"/>
      <c r="H796" s="96"/>
      <c r="I796" s="16"/>
      <c r="J796" s="37" t="str">
        <f aca="false">IF(I796="","",IF(H796="",1,H796)*I796)</f>
        <v/>
      </c>
      <c r="K796" s="15"/>
      <c r="L796" s="97" t="str">
        <f aca="false">IF(C796="","",IF(OR(C796="Material",C796="Equipo",C796="Suministro"),"Materiales y equipos",IF(C796="Mano de obra contratista","Mano de obra contratista",IF(C796="Transporte","Transporte y otros","Alquileres"))))</f>
        <v/>
      </c>
      <c r="M796" s="6"/>
    </row>
    <row r="797" customFormat="false" ht="16.5" hidden="false" customHeight="true" outlineLevel="0" collapsed="false">
      <c r="A797" s="95" t="str">
        <f aca="false">IF(AND(B797="",C797=""),"",ROW()-6)</f>
        <v/>
      </c>
      <c r="B797" s="83"/>
      <c r="C797" s="15"/>
      <c r="D797" s="15"/>
      <c r="E797" s="85"/>
      <c r="F797" s="15"/>
      <c r="G797" s="15"/>
      <c r="H797" s="96"/>
      <c r="I797" s="16"/>
      <c r="J797" s="37" t="str">
        <f aca="false">IF(I797="","",IF(H797="",1,H797)*I797)</f>
        <v/>
      </c>
      <c r="K797" s="15"/>
      <c r="L797" s="97" t="str">
        <f aca="false">IF(C797="","",IF(OR(C797="Material",C797="Equipo",C797="Suministro"),"Materiales y equipos",IF(C797="Mano de obra contratista","Mano de obra contratista",IF(C797="Transporte","Transporte y otros","Alquileres"))))</f>
        <v/>
      </c>
      <c r="M797" s="6"/>
    </row>
    <row r="798" customFormat="false" ht="16.5" hidden="false" customHeight="true" outlineLevel="0" collapsed="false">
      <c r="A798" s="95" t="str">
        <f aca="false">IF(AND(B798="",C798=""),"",ROW()-6)</f>
        <v/>
      </c>
      <c r="B798" s="83"/>
      <c r="C798" s="15"/>
      <c r="D798" s="15"/>
      <c r="E798" s="85"/>
      <c r="F798" s="15"/>
      <c r="G798" s="15"/>
      <c r="H798" s="96"/>
      <c r="I798" s="16"/>
      <c r="J798" s="37" t="str">
        <f aca="false">IF(I798="","",IF(H798="",1,H798)*I798)</f>
        <v/>
      </c>
      <c r="K798" s="15"/>
      <c r="L798" s="97" t="str">
        <f aca="false">IF(C798="","",IF(OR(C798="Material",C798="Equipo",C798="Suministro"),"Materiales y equipos",IF(C798="Mano de obra contratista","Mano de obra contratista",IF(C798="Transporte","Transporte y otros","Alquileres"))))</f>
        <v/>
      </c>
      <c r="M798" s="6"/>
    </row>
    <row r="799" customFormat="false" ht="16.5" hidden="false" customHeight="true" outlineLevel="0" collapsed="false">
      <c r="A799" s="95" t="str">
        <f aca="false">IF(AND(B799="",C799=""),"",ROW()-6)</f>
        <v/>
      </c>
      <c r="B799" s="83"/>
      <c r="C799" s="15"/>
      <c r="D799" s="15"/>
      <c r="E799" s="85"/>
      <c r="F799" s="15"/>
      <c r="G799" s="15"/>
      <c r="H799" s="96"/>
      <c r="I799" s="16"/>
      <c r="J799" s="37" t="str">
        <f aca="false">IF(I799="","",IF(H799="",1,H799)*I799)</f>
        <v/>
      </c>
      <c r="K799" s="15"/>
      <c r="L799" s="97" t="str">
        <f aca="false">IF(C799="","",IF(OR(C799="Material",C799="Equipo",C799="Suministro"),"Materiales y equipos",IF(C799="Mano de obra contratista","Mano de obra contratista",IF(C799="Transporte","Transporte y otros","Alquileres"))))</f>
        <v/>
      </c>
      <c r="M799" s="6"/>
    </row>
    <row r="800" customFormat="false" ht="16.5" hidden="false" customHeight="true" outlineLevel="0" collapsed="false">
      <c r="A800" s="95" t="str">
        <f aca="false">IF(AND(B800="",C800=""),"",ROW()-6)</f>
        <v/>
      </c>
      <c r="B800" s="83"/>
      <c r="C800" s="15"/>
      <c r="D800" s="15"/>
      <c r="E800" s="85"/>
      <c r="F800" s="15"/>
      <c r="G800" s="15"/>
      <c r="H800" s="96"/>
      <c r="I800" s="16"/>
      <c r="J800" s="37" t="str">
        <f aca="false">IF(I800="","",IF(H800="",1,H800)*I800)</f>
        <v/>
      </c>
      <c r="K800" s="15"/>
      <c r="L800" s="97" t="str">
        <f aca="false">IF(C800="","",IF(OR(C800="Material",C800="Equipo",C800="Suministro"),"Materiales y equipos",IF(C800="Mano de obra contratista","Mano de obra contratista",IF(C800="Transporte","Transporte y otros","Alquileres"))))</f>
        <v/>
      </c>
      <c r="M800" s="6"/>
    </row>
    <row r="801" customFormat="false" ht="16.5" hidden="false" customHeight="true" outlineLevel="0" collapsed="false">
      <c r="A801" s="95" t="str">
        <f aca="false">IF(AND(B801="",C801=""),"",ROW()-6)</f>
        <v/>
      </c>
      <c r="B801" s="83"/>
      <c r="C801" s="15"/>
      <c r="D801" s="15"/>
      <c r="E801" s="85"/>
      <c r="F801" s="15"/>
      <c r="G801" s="15"/>
      <c r="H801" s="96"/>
      <c r="I801" s="16"/>
      <c r="J801" s="37" t="str">
        <f aca="false">IF(I801="","",IF(H801="",1,H801)*I801)</f>
        <v/>
      </c>
      <c r="K801" s="15"/>
      <c r="L801" s="97" t="str">
        <f aca="false">IF(C801="","",IF(OR(C801="Material",C801="Equipo",C801="Suministro"),"Materiales y equipos",IF(C801="Mano de obra contratista","Mano de obra contratista",IF(C801="Transporte","Transporte y otros","Alquileres"))))</f>
        <v/>
      </c>
      <c r="M801" s="6"/>
    </row>
    <row r="802" customFormat="false" ht="16.5" hidden="false" customHeight="true" outlineLevel="0" collapsed="false">
      <c r="A802" s="95" t="str">
        <f aca="false">IF(AND(B802="",C802=""),"",ROW()-6)</f>
        <v/>
      </c>
      <c r="B802" s="83"/>
      <c r="C802" s="15"/>
      <c r="D802" s="15"/>
      <c r="E802" s="85"/>
      <c r="F802" s="15"/>
      <c r="G802" s="15"/>
      <c r="H802" s="96"/>
      <c r="I802" s="16"/>
      <c r="J802" s="37" t="str">
        <f aca="false">IF(I802="","",IF(H802="",1,H802)*I802)</f>
        <v/>
      </c>
      <c r="K802" s="15"/>
      <c r="L802" s="97" t="str">
        <f aca="false">IF(C802="","",IF(OR(C802="Material",C802="Equipo",C802="Suministro"),"Materiales y equipos",IF(C802="Mano de obra contratista","Mano de obra contratista",IF(C802="Transporte","Transporte y otros","Alquileres"))))</f>
        <v/>
      </c>
      <c r="M802" s="6"/>
    </row>
    <row r="803" customFormat="false" ht="16.5" hidden="false" customHeight="true" outlineLevel="0" collapsed="false">
      <c r="A803" s="95" t="str">
        <f aca="false">IF(AND(B803="",C803=""),"",ROW()-6)</f>
        <v/>
      </c>
      <c r="B803" s="83"/>
      <c r="C803" s="15"/>
      <c r="D803" s="15"/>
      <c r="E803" s="85"/>
      <c r="F803" s="15"/>
      <c r="G803" s="15"/>
      <c r="H803" s="96"/>
      <c r="I803" s="16"/>
      <c r="J803" s="37" t="str">
        <f aca="false">IF(I803="","",IF(H803="",1,H803)*I803)</f>
        <v/>
      </c>
      <c r="K803" s="15"/>
      <c r="L803" s="97" t="str">
        <f aca="false">IF(C803="","",IF(OR(C803="Material",C803="Equipo",C803="Suministro"),"Materiales y equipos",IF(C803="Mano de obra contratista","Mano de obra contratista",IF(C803="Transporte","Transporte y otros","Alquileres"))))</f>
        <v/>
      </c>
      <c r="M803" s="6"/>
    </row>
    <row r="804" customFormat="false" ht="16.5" hidden="false" customHeight="true" outlineLevel="0" collapsed="false">
      <c r="A804" s="95" t="str">
        <f aca="false">IF(AND(B804="",C804=""),"",ROW()-6)</f>
        <v/>
      </c>
      <c r="B804" s="83"/>
      <c r="C804" s="15"/>
      <c r="D804" s="15"/>
      <c r="E804" s="85"/>
      <c r="F804" s="15"/>
      <c r="G804" s="15"/>
      <c r="H804" s="96"/>
      <c r="I804" s="16"/>
      <c r="J804" s="37" t="str">
        <f aca="false">IF(I804="","",IF(H804="",1,H804)*I804)</f>
        <v/>
      </c>
      <c r="K804" s="15"/>
      <c r="L804" s="97" t="str">
        <f aca="false">IF(C804="","",IF(OR(C804="Material",C804="Equipo",C804="Suministro"),"Materiales y equipos",IF(C804="Mano de obra contratista","Mano de obra contratista",IF(C804="Transporte","Transporte y otros","Alquileres"))))</f>
        <v/>
      </c>
      <c r="M804" s="6"/>
    </row>
    <row r="805" customFormat="false" ht="16.5" hidden="false" customHeight="true" outlineLevel="0" collapsed="false">
      <c r="A805" s="95" t="str">
        <f aca="false">IF(AND(B805="",C805=""),"",ROW()-6)</f>
        <v/>
      </c>
      <c r="B805" s="83"/>
      <c r="C805" s="15"/>
      <c r="D805" s="15"/>
      <c r="E805" s="85"/>
      <c r="F805" s="15"/>
      <c r="G805" s="15"/>
      <c r="H805" s="96"/>
      <c r="I805" s="16"/>
      <c r="J805" s="37" t="str">
        <f aca="false">IF(I805="","",IF(H805="",1,H805)*I805)</f>
        <v/>
      </c>
      <c r="K805" s="15"/>
      <c r="L805" s="97" t="str">
        <f aca="false">IF(C805="","",IF(OR(C805="Material",C805="Equipo",C805="Suministro"),"Materiales y equipos",IF(C805="Mano de obra contratista","Mano de obra contratista",IF(C805="Transporte","Transporte y otros","Alquileres"))))</f>
        <v/>
      </c>
      <c r="M805" s="6"/>
    </row>
    <row r="806" customFormat="false" ht="16.5" hidden="false" customHeight="true" outlineLevel="0" collapsed="false">
      <c r="A806" s="95" t="str">
        <f aca="false">IF(AND(B806="",C806=""),"",ROW()-6)</f>
        <v/>
      </c>
      <c r="B806" s="83"/>
      <c r="C806" s="15"/>
      <c r="D806" s="15"/>
      <c r="E806" s="85"/>
      <c r="F806" s="15"/>
      <c r="G806" s="15"/>
      <c r="H806" s="96"/>
      <c r="I806" s="16"/>
      <c r="J806" s="37" t="str">
        <f aca="false">IF(I806="","",IF(H806="",1,H806)*I806)</f>
        <v/>
      </c>
      <c r="K806" s="15"/>
      <c r="L806" s="97" t="str">
        <f aca="false">IF(C806="","",IF(OR(C806="Material",C806="Equipo",C806="Suministro"),"Materiales y equipos",IF(C806="Mano de obra contratista","Mano de obra contratista",IF(C806="Transporte","Transporte y otros","Alquileres"))))</f>
        <v/>
      </c>
      <c r="M806" s="6"/>
    </row>
    <row r="807" customFormat="false" ht="16.5" hidden="false" customHeight="true" outlineLevel="0" collapsed="false">
      <c r="A807" s="95" t="str">
        <f aca="false">IF(AND(B807="",C807=""),"",ROW()-6)</f>
        <v/>
      </c>
      <c r="B807" s="83"/>
      <c r="C807" s="15"/>
      <c r="D807" s="15"/>
      <c r="E807" s="85"/>
      <c r="F807" s="15"/>
      <c r="G807" s="15"/>
      <c r="H807" s="96"/>
      <c r="I807" s="16"/>
      <c r="J807" s="37" t="str">
        <f aca="false">IF(I807="","",IF(H807="",1,H807)*I807)</f>
        <v/>
      </c>
      <c r="K807" s="15"/>
      <c r="L807" s="97" t="str">
        <f aca="false">IF(C807="","",IF(OR(C807="Material",C807="Equipo",C807="Suministro"),"Materiales y equipos",IF(C807="Mano de obra contratista","Mano de obra contratista",IF(C807="Transporte","Transporte y otros","Alquileres"))))</f>
        <v/>
      </c>
      <c r="M807" s="6"/>
    </row>
    <row r="808" customFormat="false" ht="16.5" hidden="false" customHeight="true" outlineLevel="0" collapsed="false">
      <c r="A808" s="95" t="str">
        <f aca="false">IF(AND(B808="",C808=""),"",ROW()-6)</f>
        <v/>
      </c>
      <c r="B808" s="83"/>
      <c r="C808" s="15"/>
      <c r="D808" s="15"/>
      <c r="E808" s="85"/>
      <c r="F808" s="15"/>
      <c r="G808" s="15"/>
      <c r="H808" s="96"/>
      <c r="I808" s="16"/>
      <c r="J808" s="37" t="str">
        <f aca="false">IF(I808="","",IF(H808="",1,H808)*I808)</f>
        <v/>
      </c>
      <c r="K808" s="15"/>
      <c r="L808" s="97" t="str">
        <f aca="false">IF(C808="","",IF(OR(C808="Material",C808="Equipo",C808="Suministro"),"Materiales y equipos",IF(C808="Mano de obra contratista","Mano de obra contratista",IF(C808="Transporte","Transporte y otros","Alquileres"))))</f>
        <v/>
      </c>
      <c r="M808" s="6"/>
    </row>
    <row r="809" customFormat="false" ht="16.5" hidden="false" customHeight="true" outlineLevel="0" collapsed="false">
      <c r="A809" s="95" t="str">
        <f aca="false">IF(AND(B809="",C809=""),"",ROW()-6)</f>
        <v/>
      </c>
      <c r="B809" s="83"/>
      <c r="C809" s="15"/>
      <c r="D809" s="15"/>
      <c r="E809" s="85"/>
      <c r="F809" s="15"/>
      <c r="G809" s="15"/>
      <c r="H809" s="96"/>
      <c r="I809" s="16"/>
      <c r="J809" s="37" t="str">
        <f aca="false">IF(I809="","",IF(H809="",1,H809)*I809)</f>
        <v/>
      </c>
      <c r="K809" s="15"/>
      <c r="L809" s="97" t="str">
        <f aca="false">IF(C809="","",IF(OR(C809="Material",C809="Equipo",C809="Suministro"),"Materiales y equipos",IF(C809="Mano de obra contratista","Mano de obra contratista",IF(C809="Transporte","Transporte y otros","Alquileres"))))</f>
        <v/>
      </c>
      <c r="M809" s="6"/>
    </row>
    <row r="810" customFormat="false" ht="16.5" hidden="false" customHeight="true" outlineLevel="0" collapsed="false">
      <c r="A810" s="95" t="str">
        <f aca="false">IF(AND(B810="",C810=""),"",ROW()-6)</f>
        <v/>
      </c>
      <c r="B810" s="83"/>
      <c r="C810" s="15"/>
      <c r="D810" s="15"/>
      <c r="E810" s="85"/>
      <c r="F810" s="15"/>
      <c r="G810" s="15"/>
      <c r="H810" s="96"/>
      <c r="I810" s="16"/>
      <c r="J810" s="37" t="str">
        <f aca="false">IF(I810="","",IF(H810="",1,H810)*I810)</f>
        <v/>
      </c>
      <c r="K810" s="15"/>
      <c r="L810" s="97" t="str">
        <f aca="false">IF(C810="","",IF(OR(C810="Material",C810="Equipo",C810="Suministro"),"Materiales y equipos",IF(C810="Mano de obra contratista","Mano de obra contratista",IF(C810="Transporte","Transporte y otros","Alquileres"))))</f>
        <v/>
      </c>
      <c r="M810" s="6"/>
    </row>
    <row r="811" customFormat="false" ht="16.5" hidden="false" customHeight="true" outlineLevel="0" collapsed="false">
      <c r="A811" s="95" t="str">
        <f aca="false">IF(AND(B811="",C811=""),"",ROW()-6)</f>
        <v/>
      </c>
      <c r="B811" s="83"/>
      <c r="C811" s="15"/>
      <c r="D811" s="15"/>
      <c r="E811" s="85"/>
      <c r="F811" s="15"/>
      <c r="G811" s="15"/>
      <c r="H811" s="96"/>
      <c r="I811" s="16"/>
      <c r="J811" s="37" t="str">
        <f aca="false">IF(I811="","",IF(H811="",1,H811)*I811)</f>
        <v/>
      </c>
      <c r="K811" s="15"/>
      <c r="L811" s="97" t="str">
        <f aca="false">IF(C811="","",IF(OR(C811="Material",C811="Equipo",C811="Suministro"),"Materiales y equipos",IF(C811="Mano de obra contratista","Mano de obra contratista",IF(C811="Transporte","Transporte y otros","Alquileres"))))</f>
        <v/>
      </c>
      <c r="M811" s="6"/>
    </row>
    <row r="812" customFormat="false" ht="16.5" hidden="false" customHeight="true" outlineLevel="0" collapsed="false">
      <c r="A812" s="95" t="str">
        <f aca="false">IF(AND(B812="",C812=""),"",ROW()-6)</f>
        <v/>
      </c>
      <c r="B812" s="83"/>
      <c r="C812" s="15"/>
      <c r="D812" s="15"/>
      <c r="E812" s="85"/>
      <c r="F812" s="15"/>
      <c r="G812" s="15"/>
      <c r="H812" s="96"/>
      <c r="I812" s="16"/>
      <c r="J812" s="37" t="str">
        <f aca="false">IF(I812="","",IF(H812="",1,H812)*I812)</f>
        <v/>
      </c>
      <c r="K812" s="15"/>
      <c r="L812" s="97" t="str">
        <f aca="false">IF(C812="","",IF(OR(C812="Material",C812="Equipo",C812="Suministro"),"Materiales y equipos",IF(C812="Mano de obra contratista","Mano de obra contratista",IF(C812="Transporte","Transporte y otros","Alquileres"))))</f>
        <v/>
      </c>
      <c r="M812" s="6"/>
    </row>
    <row r="813" customFormat="false" ht="16.5" hidden="false" customHeight="true" outlineLevel="0" collapsed="false">
      <c r="A813" s="95" t="str">
        <f aca="false">IF(AND(B813="",C813=""),"",ROW()-6)</f>
        <v/>
      </c>
      <c r="B813" s="83"/>
      <c r="C813" s="15"/>
      <c r="D813" s="15"/>
      <c r="E813" s="85"/>
      <c r="F813" s="15"/>
      <c r="G813" s="15"/>
      <c r="H813" s="96"/>
      <c r="I813" s="16"/>
      <c r="J813" s="37" t="str">
        <f aca="false">IF(I813="","",IF(H813="",1,H813)*I813)</f>
        <v/>
      </c>
      <c r="K813" s="15"/>
      <c r="L813" s="97" t="str">
        <f aca="false">IF(C813="","",IF(OR(C813="Material",C813="Equipo",C813="Suministro"),"Materiales y equipos",IF(C813="Mano de obra contratista","Mano de obra contratista",IF(C813="Transporte","Transporte y otros","Alquileres"))))</f>
        <v/>
      </c>
      <c r="M813" s="6"/>
    </row>
    <row r="814" customFormat="false" ht="16.5" hidden="false" customHeight="true" outlineLevel="0" collapsed="false">
      <c r="A814" s="95" t="str">
        <f aca="false">IF(AND(B814="",C814=""),"",ROW()-6)</f>
        <v/>
      </c>
      <c r="B814" s="83"/>
      <c r="C814" s="15"/>
      <c r="D814" s="15"/>
      <c r="E814" s="85"/>
      <c r="F814" s="15"/>
      <c r="G814" s="15"/>
      <c r="H814" s="96"/>
      <c r="I814" s="16"/>
      <c r="J814" s="37" t="str">
        <f aca="false">IF(I814="","",IF(H814="",1,H814)*I814)</f>
        <v/>
      </c>
      <c r="K814" s="15"/>
      <c r="L814" s="97" t="str">
        <f aca="false">IF(C814="","",IF(OR(C814="Material",C814="Equipo",C814="Suministro"),"Materiales y equipos",IF(C814="Mano de obra contratista","Mano de obra contratista",IF(C814="Transporte","Transporte y otros","Alquileres"))))</f>
        <v/>
      </c>
      <c r="M814" s="6"/>
    </row>
    <row r="815" customFormat="false" ht="16.5" hidden="false" customHeight="true" outlineLevel="0" collapsed="false">
      <c r="A815" s="95" t="str">
        <f aca="false">IF(AND(B815="",C815=""),"",ROW()-6)</f>
        <v/>
      </c>
      <c r="B815" s="83"/>
      <c r="C815" s="15"/>
      <c r="D815" s="15"/>
      <c r="E815" s="85"/>
      <c r="F815" s="15"/>
      <c r="G815" s="15"/>
      <c r="H815" s="96"/>
      <c r="I815" s="16"/>
      <c r="J815" s="37" t="str">
        <f aca="false">IF(I815="","",IF(H815="",1,H815)*I815)</f>
        <v/>
      </c>
      <c r="K815" s="15"/>
      <c r="L815" s="97" t="str">
        <f aca="false">IF(C815="","",IF(OR(C815="Material",C815="Equipo",C815="Suministro"),"Materiales y equipos",IF(C815="Mano de obra contratista","Mano de obra contratista",IF(C815="Transporte","Transporte y otros","Alquileres"))))</f>
        <v/>
      </c>
      <c r="M815" s="6"/>
    </row>
    <row r="816" customFormat="false" ht="16.5" hidden="false" customHeight="true" outlineLevel="0" collapsed="false">
      <c r="A816" s="95" t="str">
        <f aca="false">IF(AND(B816="",C816=""),"",ROW()-6)</f>
        <v/>
      </c>
      <c r="B816" s="83"/>
      <c r="C816" s="15"/>
      <c r="D816" s="15"/>
      <c r="E816" s="85"/>
      <c r="F816" s="15"/>
      <c r="G816" s="15"/>
      <c r="H816" s="96"/>
      <c r="I816" s="16"/>
      <c r="J816" s="37" t="str">
        <f aca="false">IF(I816="","",IF(H816="",1,H816)*I816)</f>
        <v/>
      </c>
      <c r="K816" s="15"/>
      <c r="L816" s="97" t="str">
        <f aca="false">IF(C816="","",IF(OR(C816="Material",C816="Equipo",C816="Suministro"),"Materiales y equipos",IF(C816="Mano de obra contratista","Mano de obra contratista",IF(C816="Transporte","Transporte y otros","Alquileres"))))</f>
        <v/>
      </c>
      <c r="M816" s="6"/>
    </row>
    <row r="817" customFormat="false" ht="16.5" hidden="false" customHeight="true" outlineLevel="0" collapsed="false">
      <c r="A817" s="95" t="str">
        <f aca="false">IF(AND(B817="",C817=""),"",ROW()-6)</f>
        <v/>
      </c>
      <c r="B817" s="83"/>
      <c r="C817" s="15"/>
      <c r="D817" s="15"/>
      <c r="E817" s="85"/>
      <c r="F817" s="15"/>
      <c r="G817" s="15"/>
      <c r="H817" s="96"/>
      <c r="I817" s="16"/>
      <c r="J817" s="37" t="str">
        <f aca="false">IF(I817="","",IF(H817="",1,H817)*I817)</f>
        <v/>
      </c>
      <c r="K817" s="15"/>
      <c r="L817" s="97" t="str">
        <f aca="false">IF(C817="","",IF(OR(C817="Material",C817="Equipo",C817="Suministro"),"Materiales y equipos",IF(C817="Mano de obra contratista","Mano de obra contratista",IF(C817="Transporte","Transporte y otros","Alquileres"))))</f>
        <v/>
      </c>
      <c r="M817" s="6"/>
    </row>
    <row r="818" customFormat="false" ht="16.5" hidden="false" customHeight="true" outlineLevel="0" collapsed="false">
      <c r="A818" s="95" t="str">
        <f aca="false">IF(AND(B818="",C818=""),"",ROW()-6)</f>
        <v/>
      </c>
      <c r="B818" s="83"/>
      <c r="C818" s="15"/>
      <c r="D818" s="15"/>
      <c r="E818" s="85"/>
      <c r="F818" s="15"/>
      <c r="G818" s="15"/>
      <c r="H818" s="96"/>
      <c r="I818" s="16"/>
      <c r="J818" s="37" t="str">
        <f aca="false">IF(I818="","",IF(H818="",1,H818)*I818)</f>
        <v/>
      </c>
      <c r="K818" s="15"/>
      <c r="L818" s="97" t="str">
        <f aca="false">IF(C818="","",IF(OR(C818="Material",C818="Equipo",C818="Suministro"),"Materiales y equipos",IF(C818="Mano de obra contratista","Mano de obra contratista",IF(C818="Transporte","Transporte y otros","Alquileres"))))</f>
        <v/>
      </c>
      <c r="M818" s="6"/>
    </row>
    <row r="819" customFormat="false" ht="16.5" hidden="false" customHeight="true" outlineLevel="0" collapsed="false">
      <c r="A819" s="95" t="str">
        <f aca="false">IF(AND(B819="",C819=""),"",ROW()-6)</f>
        <v/>
      </c>
      <c r="B819" s="83"/>
      <c r="C819" s="15"/>
      <c r="D819" s="15"/>
      <c r="E819" s="85"/>
      <c r="F819" s="15"/>
      <c r="G819" s="15"/>
      <c r="H819" s="96"/>
      <c r="I819" s="16"/>
      <c r="J819" s="37" t="str">
        <f aca="false">IF(I819="","",IF(H819="",1,H819)*I819)</f>
        <v/>
      </c>
      <c r="K819" s="15"/>
      <c r="L819" s="97" t="str">
        <f aca="false">IF(C819="","",IF(OR(C819="Material",C819="Equipo",C819="Suministro"),"Materiales y equipos",IF(C819="Mano de obra contratista","Mano de obra contratista",IF(C819="Transporte","Transporte y otros","Alquileres"))))</f>
        <v/>
      </c>
      <c r="M819" s="6"/>
    </row>
    <row r="820" customFormat="false" ht="16.5" hidden="false" customHeight="true" outlineLevel="0" collapsed="false">
      <c r="A820" s="95" t="str">
        <f aca="false">IF(AND(B820="",C820=""),"",ROW()-6)</f>
        <v/>
      </c>
      <c r="B820" s="83"/>
      <c r="C820" s="15"/>
      <c r="D820" s="15"/>
      <c r="E820" s="85"/>
      <c r="F820" s="15"/>
      <c r="G820" s="15"/>
      <c r="H820" s="96"/>
      <c r="I820" s="16"/>
      <c r="J820" s="37" t="str">
        <f aca="false">IF(I820="","",IF(H820="",1,H820)*I820)</f>
        <v/>
      </c>
      <c r="K820" s="15"/>
      <c r="L820" s="97" t="str">
        <f aca="false">IF(C820="","",IF(OR(C820="Material",C820="Equipo",C820="Suministro"),"Materiales y equipos",IF(C820="Mano de obra contratista","Mano de obra contratista",IF(C820="Transporte","Transporte y otros","Alquileres"))))</f>
        <v/>
      </c>
      <c r="M820" s="6"/>
    </row>
    <row r="821" customFormat="false" ht="16.5" hidden="false" customHeight="true" outlineLevel="0" collapsed="false">
      <c r="A821" s="95" t="str">
        <f aca="false">IF(AND(B821="",C821=""),"",ROW()-6)</f>
        <v/>
      </c>
      <c r="B821" s="83"/>
      <c r="C821" s="15"/>
      <c r="D821" s="15"/>
      <c r="E821" s="85"/>
      <c r="F821" s="15"/>
      <c r="G821" s="15"/>
      <c r="H821" s="96"/>
      <c r="I821" s="16"/>
      <c r="J821" s="37" t="str">
        <f aca="false">IF(I821="","",IF(H821="",1,H821)*I821)</f>
        <v/>
      </c>
      <c r="K821" s="15"/>
      <c r="L821" s="97" t="str">
        <f aca="false">IF(C821="","",IF(OR(C821="Material",C821="Equipo",C821="Suministro"),"Materiales y equipos",IF(C821="Mano de obra contratista","Mano de obra contratista",IF(C821="Transporte","Transporte y otros","Alquileres"))))</f>
        <v/>
      </c>
      <c r="M821" s="6"/>
    </row>
    <row r="822" customFormat="false" ht="16.5" hidden="false" customHeight="true" outlineLevel="0" collapsed="false">
      <c r="A822" s="95" t="str">
        <f aca="false">IF(AND(B822="",C822=""),"",ROW()-6)</f>
        <v/>
      </c>
      <c r="B822" s="83"/>
      <c r="C822" s="15"/>
      <c r="D822" s="15"/>
      <c r="E822" s="85"/>
      <c r="F822" s="15"/>
      <c r="G822" s="15"/>
      <c r="H822" s="96"/>
      <c r="I822" s="16"/>
      <c r="J822" s="37" t="str">
        <f aca="false">IF(I822="","",IF(H822="",1,H822)*I822)</f>
        <v/>
      </c>
      <c r="K822" s="15"/>
      <c r="L822" s="97" t="str">
        <f aca="false">IF(C822="","",IF(OR(C822="Material",C822="Equipo",C822="Suministro"),"Materiales y equipos",IF(C822="Mano de obra contratista","Mano de obra contratista",IF(C822="Transporte","Transporte y otros","Alquileres"))))</f>
        <v/>
      </c>
      <c r="M822" s="6"/>
    </row>
    <row r="823" customFormat="false" ht="16.5" hidden="false" customHeight="true" outlineLevel="0" collapsed="false">
      <c r="A823" s="95" t="str">
        <f aca="false">IF(AND(B823="",C823=""),"",ROW()-6)</f>
        <v/>
      </c>
      <c r="B823" s="83"/>
      <c r="C823" s="15"/>
      <c r="D823" s="15"/>
      <c r="E823" s="85"/>
      <c r="F823" s="15"/>
      <c r="G823" s="15"/>
      <c r="H823" s="96"/>
      <c r="I823" s="16"/>
      <c r="J823" s="37" t="str">
        <f aca="false">IF(I823="","",IF(H823="",1,H823)*I823)</f>
        <v/>
      </c>
      <c r="K823" s="15"/>
      <c r="L823" s="97" t="str">
        <f aca="false">IF(C823="","",IF(OR(C823="Material",C823="Equipo",C823="Suministro"),"Materiales y equipos",IF(C823="Mano de obra contratista","Mano de obra contratista",IF(C823="Transporte","Transporte y otros","Alquileres"))))</f>
        <v/>
      </c>
      <c r="M823" s="6"/>
    </row>
    <row r="824" customFormat="false" ht="16.5" hidden="false" customHeight="true" outlineLevel="0" collapsed="false">
      <c r="A824" s="95" t="str">
        <f aca="false">IF(AND(B824="",C824=""),"",ROW()-6)</f>
        <v/>
      </c>
      <c r="B824" s="83"/>
      <c r="C824" s="15"/>
      <c r="D824" s="15"/>
      <c r="E824" s="85"/>
      <c r="F824" s="15"/>
      <c r="G824" s="15"/>
      <c r="H824" s="96"/>
      <c r="I824" s="16"/>
      <c r="J824" s="37" t="str">
        <f aca="false">IF(I824="","",IF(H824="",1,H824)*I824)</f>
        <v/>
      </c>
      <c r="K824" s="15"/>
      <c r="L824" s="97" t="str">
        <f aca="false">IF(C824="","",IF(OR(C824="Material",C824="Equipo",C824="Suministro"),"Materiales y equipos",IF(C824="Mano de obra contratista","Mano de obra contratista",IF(C824="Transporte","Transporte y otros","Alquileres"))))</f>
        <v/>
      </c>
      <c r="M824" s="6"/>
    </row>
    <row r="825" customFormat="false" ht="16.5" hidden="false" customHeight="true" outlineLevel="0" collapsed="false">
      <c r="A825" s="95" t="str">
        <f aca="false">IF(AND(B825="",C825=""),"",ROW()-6)</f>
        <v/>
      </c>
      <c r="B825" s="83"/>
      <c r="C825" s="15"/>
      <c r="D825" s="15"/>
      <c r="E825" s="85"/>
      <c r="F825" s="15"/>
      <c r="G825" s="15"/>
      <c r="H825" s="96"/>
      <c r="I825" s="16"/>
      <c r="J825" s="37" t="str">
        <f aca="false">IF(I825="","",IF(H825="",1,H825)*I825)</f>
        <v/>
      </c>
      <c r="K825" s="15"/>
      <c r="L825" s="97" t="str">
        <f aca="false">IF(C825="","",IF(OR(C825="Material",C825="Equipo",C825="Suministro"),"Materiales y equipos",IF(C825="Mano de obra contratista","Mano de obra contratista",IF(C825="Transporte","Transporte y otros","Alquileres"))))</f>
        <v/>
      </c>
      <c r="M825" s="6"/>
    </row>
    <row r="826" customFormat="false" ht="16.5" hidden="false" customHeight="true" outlineLevel="0" collapsed="false">
      <c r="A826" s="95" t="str">
        <f aca="false">IF(AND(B826="",C826=""),"",ROW()-6)</f>
        <v/>
      </c>
      <c r="B826" s="83"/>
      <c r="C826" s="15"/>
      <c r="D826" s="15"/>
      <c r="E826" s="85"/>
      <c r="F826" s="15"/>
      <c r="G826" s="15"/>
      <c r="H826" s="96"/>
      <c r="I826" s="16"/>
      <c r="J826" s="37" t="str">
        <f aca="false">IF(I826="","",IF(H826="",1,H826)*I826)</f>
        <v/>
      </c>
      <c r="K826" s="15"/>
      <c r="L826" s="97" t="str">
        <f aca="false">IF(C826="","",IF(OR(C826="Material",C826="Equipo",C826="Suministro"),"Materiales y equipos",IF(C826="Mano de obra contratista","Mano de obra contratista",IF(C826="Transporte","Transporte y otros","Alquileres"))))</f>
        <v/>
      </c>
      <c r="M826" s="6"/>
    </row>
    <row r="827" customFormat="false" ht="16.5" hidden="false" customHeight="true" outlineLevel="0" collapsed="false">
      <c r="A827" s="95" t="str">
        <f aca="false">IF(AND(B827="",C827=""),"",ROW()-6)</f>
        <v/>
      </c>
      <c r="B827" s="83"/>
      <c r="C827" s="15"/>
      <c r="D827" s="15"/>
      <c r="E827" s="85"/>
      <c r="F827" s="15"/>
      <c r="G827" s="15"/>
      <c r="H827" s="96"/>
      <c r="I827" s="16"/>
      <c r="J827" s="37" t="str">
        <f aca="false">IF(I827="","",IF(H827="",1,H827)*I827)</f>
        <v/>
      </c>
      <c r="K827" s="15"/>
      <c r="L827" s="97" t="str">
        <f aca="false">IF(C827="","",IF(OR(C827="Material",C827="Equipo",C827="Suministro"),"Materiales y equipos",IF(C827="Mano de obra contratista","Mano de obra contratista",IF(C827="Transporte","Transporte y otros","Alquileres"))))</f>
        <v/>
      </c>
      <c r="M827" s="6"/>
    </row>
    <row r="828" customFormat="false" ht="16.5" hidden="false" customHeight="true" outlineLevel="0" collapsed="false">
      <c r="A828" s="95" t="str">
        <f aca="false">IF(AND(B828="",C828=""),"",ROW()-6)</f>
        <v/>
      </c>
      <c r="B828" s="83"/>
      <c r="C828" s="15"/>
      <c r="D828" s="15"/>
      <c r="E828" s="85"/>
      <c r="F828" s="15"/>
      <c r="G828" s="15"/>
      <c r="H828" s="96"/>
      <c r="I828" s="16"/>
      <c r="J828" s="37" t="str">
        <f aca="false">IF(I828="","",IF(H828="",1,H828)*I828)</f>
        <v/>
      </c>
      <c r="K828" s="15"/>
      <c r="L828" s="97" t="str">
        <f aca="false">IF(C828="","",IF(OR(C828="Material",C828="Equipo",C828="Suministro"),"Materiales y equipos",IF(C828="Mano de obra contratista","Mano de obra contratista",IF(C828="Transporte","Transporte y otros","Alquileres"))))</f>
        <v/>
      </c>
      <c r="M828" s="6"/>
    </row>
    <row r="829" customFormat="false" ht="16.5" hidden="false" customHeight="true" outlineLevel="0" collapsed="false">
      <c r="A829" s="95" t="str">
        <f aca="false">IF(AND(B829="",C829=""),"",ROW()-6)</f>
        <v/>
      </c>
      <c r="B829" s="83"/>
      <c r="C829" s="15"/>
      <c r="D829" s="15"/>
      <c r="E829" s="85"/>
      <c r="F829" s="15"/>
      <c r="G829" s="15"/>
      <c r="H829" s="96"/>
      <c r="I829" s="16"/>
      <c r="J829" s="37" t="str">
        <f aca="false">IF(I829="","",IF(H829="",1,H829)*I829)</f>
        <v/>
      </c>
      <c r="K829" s="15"/>
      <c r="L829" s="97" t="str">
        <f aca="false">IF(C829="","",IF(OR(C829="Material",C829="Equipo",C829="Suministro"),"Materiales y equipos",IF(C829="Mano de obra contratista","Mano de obra contratista",IF(C829="Transporte","Transporte y otros","Alquileres"))))</f>
        <v/>
      </c>
      <c r="M829" s="6"/>
    </row>
    <row r="830" customFormat="false" ht="16.5" hidden="false" customHeight="true" outlineLevel="0" collapsed="false">
      <c r="A830" s="95" t="str">
        <f aca="false">IF(AND(B830="",C830=""),"",ROW()-6)</f>
        <v/>
      </c>
      <c r="B830" s="83"/>
      <c r="C830" s="15"/>
      <c r="D830" s="15"/>
      <c r="E830" s="85"/>
      <c r="F830" s="15"/>
      <c r="G830" s="15"/>
      <c r="H830" s="96"/>
      <c r="I830" s="16"/>
      <c r="J830" s="37" t="str">
        <f aca="false">IF(I830="","",IF(H830="",1,H830)*I830)</f>
        <v/>
      </c>
      <c r="K830" s="15"/>
      <c r="L830" s="97" t="str">
        <f aca="false">IF(C830="","",IF(OR(C830="Material",C830="Equipo",C830="Suministro"),"Materiales y equipos",IF(C830="Mano de obra contratista","Mano de obra contratista",IF(C830="Transporte","Transporte y otros","Alquileres"))))</f>
        <v/>
      </c>
      <c r="M830" s="6"/>
    </row>
    <row r="831" customFormat="false" ht="16.5" hidden="false" customHeight="true" outlineLevel="0" collapsed="false">
      <c r="A831" s="95" t="str">
        <f aca="false">IF(AND(B831="",C831=""),"",ROW()-6)</f>
        <v/>
      </c>
      <c r="B831" s="83"/>
      <c r="C831" s="15"/>
      <c r="D831" s="15"/>
      <c r="E831" s="85"/>
      <c r="F831" s="15"/>
      <c r="G831" s="15"/>
      <c r="H831" s="96"/>
      <c r="I831" s="16"/>
      <c r="J831" s="37" t="str">
        <f aca="false">IF(I831="","",IF(H831="",1,H831)*I831)</f>
        <v/>
      </c>
      <c r="K831" s="15"/>
      <c r="L831" s="97" t="str">
        <f aca="false">IF(C831="","",IF(OR(C831="Material",C831="Equipo",C831="Suministro"),"Materiales y equipos",IF(C831="Mano de obra contratista","Mano de obra contratista",IF(C831="Transporte","Transporte y otros","Alquileres"))))</f>
        <v/>
      </c>
      <c r="M831" s="6"/>
    </row>
    <row r="832" customFormat="false" ht="16.5" hidden="false" customHeight="true" outlineLevel="0" collapsed="false">
      <c r="A832" s="95" t="str">
        <f aca="false">IF(AND(B832="",C832=""),"",ROW()-6)</f>
        <v/>
      </c>
      <c r="B832" s="83"/>
      <c r="C832" s="15"/>
      <c r="D832" s="15"/>
      <c r="E832" s="85"/>
      <c r="F832" s="15"/>
      <c r="G832" s="15"/>
      <c r="H832" s="96"/>
      <c r="I832" s="16"/>
      <c r="J832" s="37" t="str">
        <f aca="false">IF(I832="","",IF(H832="",1,H832)*I832)</f>
        <v/>
      </c>
      <c r="K832" s="15"/>
      <c r="L832" s="97" t="str">
        <f aca="false">IF(C832="","",IF(OR(C832="Material",C832="Equipo",C832="Suministro"),"Materiales y equipos",IF(C832="Mano de obra contratista","Mano de obra contratista",IF(C832="Transporte","Transporte y otros","Alquileres"))))</f>
        <v/>
      </c>
      <c r="M832" s="6"/>
    </row>
    <row r="833" customFormat="false" ht="16.5" hidden="false" customHeight="true" outlineLevel="0" collapsed="false">
      <c r="A833" s="95" t="str">
        <f aca="false">IF(AND(B833="",C833=""),"",ROW()-6)</f>
        <v/>
      </c>
      <c r="B833" s="83"/>
      <c r="C833" s="15"/>
      <c r="D833" s="15"/>
      <c r="E833" s="85"/>
      <c r="F833" s="15"/>
      <c r="G833" s="15"/>
      <c r="H833" s="96"/>
      <c r="I833" s="16"/>
      <c r="J833" s="37" t="str">
        <f aca="false">IF(I833="","",IF(H833="",1,H833)*I833)</f>
        <v/>
      </c>
      <c r="K833" s="15"/>
      <c r="L833" s="97" t="str">
        <f aca="false">IF(C833="","",IF(OR(C833="Material",C833="Equipo",C833="Suministro"),"Materiales y equipos",IF(C833="Mano de obra contratista","Mano de obra contratista",IF(C833="Transporte","Transporte y otros","Alquileres"))))</f>
        <v/>
      </c>
      <c r="M833" s="6"/>
    </row>
    <row r="834" customFormat="false" ht="16.5" hidden="false" customHeight="true" outlineLevel="0" collapsed="false">
      <c r="A834" s="95" t="str">
        <f aca="false">IF(AND(B834="",C834=""),"",ROW()-6)</f>
        <v/>
      </c>
      <c r="B834" s="83"/>
      <c r="C834" s="15"/>
      <c r="D834" s="15"/>
      <c r="E834" s="85"/>
      <c r="F834" s="15"/>
      <c r="G834" s="15"/>
      <c r="H834" s="96"/>
      <c r="I834" s="16"/>
      <c r="J834" s="37" t="str">
        <f aca="false">IF(I834="","",IF(H834="",1,H834)*I834)</f>
        <v/>
      </c>
      <c r="K834" s="15"/>
      <c r="L834" s="97" t="str">
        <f aca="false">IF(C834="","",IF(OR(C834="Material",C834="Equipo",C834="Suministro"),"Materiales y equipos",IF(C834="Mano de obra contratista","Mano de obra contratista",IF(C834="Transporte","Transporte y otros","Alquileres"))))</f>
        <v/>
      </c>
      <c r="M834" s="6"/>
    </row>
    <row r="835" customFormat="false" ht="16.5" hidden="false" customHeight="true" outlineLevel="0" collapsed="false">
      <c r="A835" s="95" t="str">
        <f aca="false">IF(AND(B835="",C835=""),"",ROW()-6)</f>
        <v/>
      </c>
      <c r="B835" s="83"/>
      <c r="C835" s="15"/>
      <c r="D835" s="15"/>
      <c r="E835" s="85"/>
      <c r="F835" s="15"/>
      <c r="G835" s="15"/>
      <c r="H835" s="96"/>
      <c r="I835" s="16"/>
      <c r="J835" s="37" t="str">
        <f aca="false">IF(I835="","",IF(H835="",1,H835)*I835)</f>
        <v/>
      </c>
      <c r="K835" s="15"/>
      <c r="L835" s="97" t="str">
        <f aca="false">IF(C835="","",IF(OR(C835="Material",C835="Equipo",C835="Suministro"),"Materiales y equipos",IF(C835="Mano de obra contratista","Mano de obra contratista",IF(C835="Transporte","Transporte y otros","Alquileres"))))</f>
        <v/>
      </c>
      <c r="M835" s="6"/>
    </row>
    <row r="836" customFormat="false" ht="16.5" hidden="false" customHeight="true" outlineLevel="0" collapsed="false">
      <c r="A836" s="95" t="str">
        <f aca="false">IF(AND(B836="",C836=""),"",ROW()-6)</f>
        <v/>
      </c>
      <c r="B836" s="83"/>
      <c r="C836" s="15"/>
      <c r="D836" s="15"/>
      <c r="E836" s="85"/>
      <c r="F836" s="15"/>
      <c r="G836" s="15"/>
      <c r="H836" s="96"/>
      <c r="I836" s="16"/>
      <c r="J836" s="37" t="str">
        <f aca="false">IF(I836="","",IF(H836="",1,H836)*I836)</f>
        <v/>
      </c>
      <c r="K836" s="15"/>
      <c r="L836" s="97" t="str">
        <f aca="false">IF(C836="","",IF(OR(C836="Material",C836="Equipo",C836="Suministro"),"Materiales y equipos",IF(C836="Mano de obra contratista","Mano de obra contratista",IF(C836="Transporte","Transporte y otros","Alquileres"))))</f>
        <v/>
      </c>
      <c r="M836" s="6"/>
    </row>
    <row r="837" customFormat="false" ht="16.5" hidden="false" customHeight="true" outlineLevel="0" collapsed="false">
      <c r="A837" s="95" t="str">
        <f aca="false">IF(AND(B837="",C837=""),"",ROW()-6)</f>
        <v/>
      </c>
      <c r="B837" s="83"/>
      <c r="C837" s="15"/>
      <c r="D837" s="15"/>
      <c r="E837" s="85"/>
      <c r="F837" s="15"/>
      <c r="G837" s="15"/>
      <c r="H837" s="96"/>
      <c r="I837" s="16"/>
      <c r="J837" s="37" t="str">
        <f aca="false">IF(I837="","",IF(H837="",1,H837)*I837)</f>
        <v/>
      </c>
      <c r="K837" s="15"/>
      <c r="L837" s="97" t="str">
        <f aca="false">IF(C837="","",IF(OR(C837="Material",C837="Equipo",C837="Suministro"),"Materiales y equipos",IF(C837="Mano de obra contratista","Mano de obra contratista",IF(C837="Transporte","Transporte y otros","Alquileres"))))</f>
        <v/>
      </c>
      <c r="M837" s="6"/>
    </row>
    <row r="838" customFormat="false" ht="16.5" hidden="false" customHeight="true" outlineLevel="0" collapsed="false">
      <c r="A838" s="95" t="str">
        <f aca="false">IF(AND(B838="",C838=""),"",ROW()-6)</f>
        <v/>
      </c>
      <c r="B838" s="83"/>
      <c r="C838" s="15"/>
      <c r="D838" s="15"/>
      <c r="E838" s="85"/>
      <c r="F838" s="15"/>
      <c r="G838" s="15"/>
      <c r="H838" s="96"/>
      <c r="I838" s="16"/>
      <c r="J838" s="37" t="str">
        <f aca="false">IF(I838="","",IF(H838="",1,H838)*I838)</f>
        <v/>
      </c>
      <c r="K838" s="15"/>
      <c r="L838" s="97" t="str">
        <f aca="false">IF(C838="","",IF(OR(C838="Material",C838="Equipo",C838="Suministro"),"Materiales y equipos",IF(C838="Mano de obra contratista","Mano de obra contratista",IF(C838="Transporte","Transporte y otros","Alquileres"))))</f>
        <v/>
      </c>
      <c r="M838" s="6"/>
    </row>
    <row r="839" customFormat="false" ht="16.5" hidden="false" customHeight="true" outlineLevel="0" collapsed="false">
      <c r="A839" s="95" t="str">
        <f aca="false">IF(AND(B839="",C839=""),"",ROW()-6)</f>
        <v/>
      </c>
      <c r="B839" s="83"/>
      <c r="C839" s="15"/>
      <c r="D839" s="15"/>
      <c r="E839" s="85"/>
      <c r="F839" s="15"/>
      <c r="G839" s="15"/>
      <c r="H839" s="96"/>
      <c r="I839" s="16"/>
      <c r="J839" s="37" t="str">
        <f aca="false">IF(I839="","",IF(H839="",1,H839)*I839)</f>
        <v/>
      </c>
      <c r="K839" s="15"/>
      <c r="L839" s="97" t="str">
        <f aca="false">IF(C839="","",IF(OR(C839="Material",C839="Equipo",C839="Suministro"),"Materiales y equipos",IF(C839="Mano de obra contratista","Mano de obra contratista",IF(C839="Transporte","Transporte y otros","Alquileres"))))</f>
        <v/>
      </c>
      <c r="M839" s="6"/>
    </row>
    <row r="840" customFormat="false" ht="16.5" hidden="false" customHeight="true" outlineLevel="0" collapsed="false">
      <c r="A840" s="95" t="str">
        <f aca="false">IF(AND(B840="",C840=""),"",ROW()-6)</f>
        <v/>
      </c>
      <c r="B840" s="83"/>
      <c r="C840" s="15"/>
      <c r="D840" s="15"/>
      <c r="E840" s="85"/>
      <c r="F840" s="15"/>
      <c r="G840" s="15"/>
      <c r="H840" s="96"/>
      <c r="I840" s="16"/>
      <c r="J840" s="37" t="str">
        <f aca="false">IF(I840="","",IF(H840="",1,H840)*I840)</f>
        <v/>
      </c>
      <c r="K840" s="15"/>
      <c r="L840" s="97" t="str">
        <f aca="false">IF(C840="","",IF(OR(C840="Material",C840="Equipo",C840="Suministro"),"Materiales y equipos",IF(C840="Mano de obra contratista","Mano de obra contratista",IF(C840="Transporte","Transporte y otros","Alquileres"))))</f>
        <v/>
      </c>
      <c r="M840" s="6"/>
    </row>
    <row r="841" customFormat="false" ht="16.5" hidden="false" customHeight="true" outlineLevel="0" collapsed="false">
      <c r="A841" s="95" t="str">
        <f aca="false">IF(AND(B841="",C841=""),"",ROW()-6)</f>
        <v/>
      </c>
      <c r="B841" s="83"/>
      <c r="C841" s="15"/>
      <c r="D841" s="15"/>
      <c r="E841" s="85"/>
      <c r="F841" s="15"/>
      <c r="G841" s="15"/>
      <c r="H841" s="96"/>
      <c r="I841" s="16"/>
      <c r="J841" s="37" t="str">
        <f aca="false">IF(I841="","",IF(H841="",1,H841)*I841)</f>
        <v/>
      </c>
      <c r="K841" s="15"/>
      <c r="L841" s="97" t="str">
        <f aca="false">IF(C841="","",IF(OR(C841="Material",C841="Equipo",C841="Suministro"),"Materiales y equipos",IF(C841="Mano de obra contratista","Mano de obra contratista",IF(C841="Transporte","Transporte y otros","Alquileres"))))</f>
        <v/>
      </c>
      <c r="M841" s="6"/>
    </row>
    <row r="842" customFormat="false" ht="16.5" hidden="false" customHeight="true" outlineLevel="0" collapsed="false">
      <c r="A842" s="95" t="str">
        <f aca="false">IF(AND(B842="",C842=""),"",ROW()-6)</f>
        <v/>
      </c>
      <c r="B842" s="83"/>
      <c r="C842" s="15"/>
      <c r="D842" s="15"/>
      <c r="E842" s="85"/>
      <c r="F842" s="15"/>
      <c r="G842" s="15"/>
      <c r="H842" s="96"/>
      <c r="I842" s="16"/>
      <c r="J842" s="37" t="str">
        <f aca="false">IF(I842="","",IF(H842="",1,H842)*I842)</f>
        <v/>
      </c>
      <c r="K842" s="15"/>
      <c r="L842" s="97" t="str">
        <f aca="false">IF(C842="","",IF(OR(C842="Material",C842="Equipo",C842="Suministro"),"Materiales y equipos",IF(C842="Mano de obra contratista","Mano de obra contratista",IF(C842="Transporte","Transporte y otros","Alquileres"))))</f>
        <v/>
      </c>
      <c r="M842" s="6"/>
    </row>
    <row r="843" customFormat="false" ht="16.5" hidden="false" customHeight="true" outlineLevel="0" collapsed="false">
      <c r="A843" s="95" t="str">
        <f aca="false">IF(AND(B843="",C843=""),"",ROW()-6)</f>
        <v/>
      </c>
      <c r="B843" s="83"/>
      <c r="C843" s="15"/>
      <c r="D843" s="15"/>
      <c r="E843" s="85"/>
      <c r="F843" s="15"/>
      <c r="G843" s="15"/>
      <c r="H843" s="96"/>
      <c r="I843" s="16"/>
      <c r="J843" s="37" t="str">
        <f aca="false">IF(I843="","",IF(H843="",1,H843)*I843)</f>
        <v/>
      </c>
      <c r="K843" s="15"/>
      <c r="L843" s="97" t="str">
        <f aca="false">IF(C843="","",IF(OR(C843="Material",C843="Equipo",C843="Suministro"),"Materiales y equipos",IF(C843="Mano de obra contratista","Mano de obra contratista",IF(C843="Transporte","Transporte y otros","Alquileres"))))</f>
        <v/>
      </c>
      <c r="M843" s="6"/>
    </row>
    <row r="844" customFormat="false" ht="16.5" hidden="false" customHeight="true" outlineLevel="0" collapsed="false">
      <c r="A844" s="95" t="str">
        <f aca="false">IF(AND(B844="",C844=""),"",ROW()-6)</f>
        <v/>
      </c>
      <c r="B844" s="83"/>
      <c r="C844" s="15"/>
      <c r="D844" s="15"/>
      <c r="E844" s="85"/>
      <c r="F844" s="15"/>
      <c r="G844" s="15"/>
      <c r="H844" s="96"/>
      <c r="I844" s="16"/>
      <c r="J844" s="37" t="str">
        <f aca="false">IF(I844="","",IF(H844="",1,H844)*I844)</f>
        <v/>
      </c>
      <c r="K844" s="15"/>
      <c r="L844" s="97" t="str">
        <f aca="false">IF(C844="","",IF(OR(C844="Material",C844="Equipo",C844="Suministro"),"Materiales y equipos",IF(C844="Mano de obra contratista","Mano de obra contratista",IF(C844="Transporte","Transporte y otros","Alquileres"))))</f>
        <v/>
      </c>
      <c r="M844" s="6"/>
    </row>
    <row r="845" customFormat="false" ht="16.5" hidden="false" customHeight="true" outlineLevel="0" collapsed="false">
      <c r="A845" s="95" t="str">
        <f aca="false">IF(AND(B845="",C845=""),"",ROW()-6)</f>
        <v/>
      </c>
      <c r="B845" s="83"/>
      <c r="C845" s="15"/>
      <c r="D845" s="15"/>
      <c r="E845" s="85"/>
      <c r="F845" s="15"/>
      <c r="G845" s="15"/>
      <c r="H845" s="96"/>
      <c r="I845" s="16"/>
      <c r="J845" s="37" t="str">
        <f aca="false">IF(I845="","",IF(H845="",1,H845)*I845)</f>
        <v/>
      </c>
      <c r="K845" s="15"/>
      <c r="L845" s="97" t="str">
        <f aca="false">IF(C845="","",IF(OR(C845="Material",C845="Equipo",C845="Suministro"),"Materiales y equipos",IF(C845="Mano de obra contratista","Mano de obra contratista",IF(C845="Transporte","Transporte y otros","Alquileres"))))</f>
        <v/>
      </c>
      <c r="M845" s="6"/>
    </row>
    <row r="846" customFormat="false" ht="16.5" hidden="false" customHeight="true" outlineLevel="0" collapsed="false">
      <c r="A846" s="95" t="str">
        <f aca="false">IF(AND(B846="",C846=""),"",ROW()-6)</f>
        <v/>
      </c>
      <c r="B846" s="83"/>
      <c r="C846" s="15"/>
      <c r="D846" s="15"/>
      <c r="E846" s="85"/>
      <c r="F846" s="15"/>
      <c r="G846" s="15"/>
      <c r="H846" s="96"/>
      <c r="I846" s="16"/>
      <c r="J846" s="37" t="str">
        <f aca="false">IF(I846="","",IF(H846="",1,H846)*I846)</f>
        <v/>
      </c>
      <c r="K846" s="15"/>
      <c r="L846" s="97" t="str">
        <f aca="false">IF(C846="","",IF(OR(C846="Material",C846="Equipo",C846="Suministro"),"Materiales y equipos",IF(C846="Mano de obra contratista","Mano de obra contratista",IF(C846="Transporte","Transporte y otros","Alquileres"))))</f>
        <v/>
      </c>
      <c r="M846" s="6"/>
    </row>
    <row r="847" customFormat="false" ht="16.5" hidden="false" customHeight="true" outlineLevel="0" collapsed="false">
      <c r="A847" s="95" t="str">
        <f aca="false">IF(AND(B847="",C847=""),"",ROW()-6)</f>
        <v/>
      </c>
      <c r="B847" s="83"/>
      <c r="C847" s="15"/>
      <c r="D847" s="15"/>
      <c r="E847" s="85"/>
      <c r="F847" s="15"/>
      <c r="G847" s="15"/>
      <c r="H847" s="96"/>
      <c r="I847" s="16"/>
      <c r="J847" s="37" t="str">
        <f aca="false">IF(I847="","",IF(H847="",1,H847)*I847)</f>
        <v/>
      </c>
      <c r="K847" s="15"/>
      <c r="L847" s="97" t="str">
        <f aca="false">IF(C847="","",IF(OR(C847="Material",C847="Equipo",C847="Suministro"),"Materiales y equipos",IF(C847="Mano de obra contratista","Mano de obra contratista",IF(C847="Transporte","Transporte y otros","Alquileres"))))</f>
        <v/>
      </c>
      <c r="M847" s="6"/>
    </row>
    <row r="848" customFormat="false" ht="16.5" hidden="false" customHeight="true" outlineLevel="0" collapsed="false">
      <c r="A848" s="95" t="str">
        <f aca="false">IF(AND(B848="",C848=""),"",ROW()-6)</f>
        <v/>
      </c>
      <c r="B848" s="83"/>
      <c r="C848" s="15"/>
      <c r="D848" s="15"/>
      <c r="E848" s="85"/>
      <c r="F848" s="15"/>
      <c r="G848" s="15"/>
      <c r="H848" s="96"/>
      <c r="I848" s="16"/>
      <c r="J848" s="37" t="str">
        <f aca="false">IF(I848="","",IF(H848="",1,H848)*I848)</f>
        <v/>
      </c>
      <c r="K848" s="15"/>
      <c r="L848" s="97" t="str">
        <f aca="false">IF(C848="","",IF(OR(C848="Material",C848="Equipo",C848="Suministro"),"Materiales y equipos",IF(C848="Mano de obra contratista","Mano de obra contratista",IF(C848="Transporte","Transporte y otros","Alquileres"))))</f>
        <v/>
      </c>
      <c r="M848" s="6"/>
    </row>
    <row r="849" customFormat="false" ht="16.5" hidden="false" customHeight="true" outlineLevel="0" collapsed="false">
      <c r="A849" s="95" t="str">
        <f aca="false">IF(AND(B849="",C849=""),"",ROW()-6)</f>
        <v/>
      </c>
      <c r="B849" s="83"/>
      <c r="C849" s="15"/>
      <c r="D849" s="15"/>
      <c r="E849" s="85"/>
      <c r="F849" s="15"/>
      <c r="G849" s="15"/>
      <c r="H849" s="96"/>
      <c r="I849" s="16"/>
      <c r="J849" s="37" t="str">
        <f aca="false">IF(I849="","",IF(H849="",1,H849)*I849)</f>
        <v/>
      </c>
      <c r="K849" s="15"/>
      <c r="L849" s="97" t="str">
        <f aca="false">IF(C849="","",IF(OR(C849="Material",C849="Equipo",C849="Suministro"),"Materiales y equipos",IF(C849="Mano de obra contratista","Mano de obra contratista",IF(C849="Transporte","Transporte y otros","Alquileres"))))</f>
        <v/>
      </c>
      <c r="M849" s="6"/>
    </row>
    <row r="850" customFormat="false" ht="16.5" hidden="false" customHeight="true" outlineLevel="0" collapsed="false">
      <c r="A850" s="95" t="str">
        <f aca="false">IF(AND(B850="",C850=""),"",ROW()-6)</f>
        <v/>
      </c>
      <c r="B850" s="83"/>
      <c r="C850" s="15"/>
      <c r="D850" s="15"/>
      <c r="E850" s="85"/>
      <c r="F850" s="15"/>
      <c r="G850" s="15"/>
      <c r="H850" s="96"/>
      <c r="I850" s="16"/>
      <c r="J850" s="37" t="str">
        <f aca="false">IF(I850="","",IF(H850="",1,H850)*I850)</f>
        <v/>
      </c>
      <c r="K850" s="15"/>
      <c r="L850" s="97" t="str">
        <f aca="false">IF(C850="","",IF(OR(C850="Material",C850="Equipo",C850="Suministro"),"Materiales y equipos",IF(C850="Mano de obra contratista","Mano de obra contratista",IF(C850="Transporte","Transporte y otros","Alquileres"))))</f>
        <v/>
      </c>
      <c r="M850" s="6"/>
    </row>
    <row r="851" customFormat="false" ht="16.5" hidden="false" customHeight="true" outlineLevel="0" collapsed="false">
      <c r="A851" s="95" t="str">
        <f aca="false">IF(AND(B851="",C851=""),"",ROW()-6)</f>
        <v/>
      </c>
      <c r="B851" s="83"/>
      <c r="C851" s="15"/>
      <c r="D851" s="15"/>
      <c r="E851" s="85"/>
      <c r="F851" s="15"/>
      <c r="G851" s="15"/>
      <c r="H851" s="96"/>
      <c r="I851" s="16"/>
      <c r="J851" s="37" t="str">
        <f aca="false">IF(I851="","",IF(H851="",1,H851)*I851)</f>
        <v/>
      </c>
      <c r="K851" s="15"/>
      <c r="L851" s="97" t="str">
        <f aca="false">IF(C851="","",IF(OR(C851="Material",C851="Equipo",C851="Suministro"),"Materiales y equipos",IF(C851="Mano de obra contratista","Mano de obra contratista",IF(C851="Transporte","Transporte y otros","Alquileres"))))</f>
        <v/>
      </c>
      <c r="M851" s="6"/>
    </row>
    <row r="852" customFormat="false" ht="16.5" hidden="false" customHeight="true" outlineLevel="0" collapsed="false">
      <c r="A852" s="95" t="str">
        <f aca="false">IF(AND(B852="",C852=""),"",ROW()-6)</f>
        <v/>
      </c>
      <c r="B852" s="83"/>
      <c r="C852" s="15"/>
      <c r="D852" s="15"/>
      <c r="E852" s="85"/>
      <c r="F852" s="15"/>
      <c r="G852" s="15"/>
      <c r="H852" s="96"/>
      <c r="I852" s="16"/>
      <c r="J852" s="37" t="str">
        <f aca="false">IF(I852="","",IF(H852="",1,H852)*I852)</f>
        <v/>
      </c>
      <c r="K852" s="15"/>
      <c r="L852" s="97" t="str">
        <f aca="false">IF(C852="","",IF(OR(C852="Material",C852="Equipo",C852="Suministro"),"Materiales y equipos",IF(C852="Mano de obra contratista","Mano de obra contratista",IF(C852="Transporte","Transporte y otros","Alquileres"))))</f>
        <v/>
      </c>
      <c r="M852" s="6"/>
    </row>
    <row r="853" customFormat="false" ht="16.5" hidden="false" customHeight="true" outlineLevel="0" collapsed="false">
      <c r="A853" s="95" t="str">
        <f aca="false">IF(AND(B853="",C853=""),"",ROW()-6)</f>
        <v/>
      </c>
      <c r="B853" s="83"/>
      <c r="C853" s="15"/>
      <c r="D853" s="15"/>
      <c r="E853" s="85"/>
      <c r="F853" s="15"/>
      <c r="G853" s="15"/>
      <c r="H853" s="96"/>
      <c r="I853" s="16"/>
      <c r="J853" s="37" t="str">
        <f aca="false">IF(I853="","",IF(H853="",1,H853)*I853)</f>
        <v/>
      </c>
      <c r="K853" s="15"/>
      <c r="L853" s="97" t="str">
        <f aca="false">IF(C853="","",IF(OR(C853="Material",C853="Equipo",C853="Suministro"),"Materiales y equipos",IF(C853="Mano de obra contratista","Mano de obra contratista",IF(C853="Transporte","Transporte y otros","Alquileres"))))</f>
        <v/>
      </c>
      <c r="M853" s="6"/>
    </row>
    <row r="854" customFormat="false" ht="16.5" hidden="false" customHeight="true" outlineLevel="0" collapsed="false">
      <c r="A854" s="95" t="str">
        <f aca="false">IF(AND(B854="",C854=""),"",ROW()-6)</f>
        <v/>
      </c>
      <c r="B854" s="83"/>
      <c r="C854" s="15"/>
      <c r="D854" s="15"/>
      <c r="E854" s="85"/>
      <c r="F854" s="15"/>
      <c r="G854" s="15"/>
      <c r="H854" s="96"/>
      <c r="I854" s="16"/>
      <c r="J854" s="37" t="str">
        <f aca="false">IF(I854="","",IF(H854="",1,H854)*I854)</f>
        <v/>
      </c>
      <c r="K854" s="15"/>
      <c r="L854" s="97" t="str">
        <f aca="false">IF(C854="","",IF(OR(C854="Material",C854="Equipo",C854="Suministro"),"Materiales y equipos",IF(C854="Mano de obra contratista","Mano de obra contratista",IF(C854="Transporte","Transporte y otros","Alquileres"))))</f>
        <v/>
      </c>
      <c r="M854" s="6"/>
    </row>
    <row r="855" customFormat="false" ht="16.5" hidden="false" customHeight="true" outlineLevel="0" collapsed="false">
      <c r="A855" s="95" t="str">
        <f aca="false">IF(AND(B855="",C855=""),"",ROW()-6)</f>
        <v/>
      </c>
      <c r="B855" s="83"/>
      <c r="C855" s="15"/>
      <c r="D855" s="15"/>
      <c r="E855" s="85"/>
      <c r="F855" s="15"/>
      <c r="G855" s="15"/>
      <c r="H855" s="96"/>
      <c r="I855" s="16"/>
      <c r="J855" s="37" t="str">
        <f aca="false">IF(I855="","",IF(H855="",1,H855)*I855)</f>
        <v/>
      </c>
      <c r="K855" s="15"/>
      <c r="L855" s="97" t="str">
        <f aca="false">IF(C855="","",IF(OR(C855="Material",C855="Equipo",C855="Suministro"),"Materiales y equipos",IF(C855="Mano de obra contratista","Mano de obra contratista",IF(C855="Transporte","Transporte y otros","Alquileres"))))</f>
        <v/>
      </c>
      <c r="M855" s="6"/>
    </row>
    <row r="856" customFormat="false" ht="16.5" hidden="false" customHeight="true" outlineLevel="0" collapsed="false">
      <c r="A856" s="95" t="str">
        <f aca="false">IF(AND(B856="",C856=""),"",ROW()-6)</f>
        <v/>
      </c>
      <c r="B856" s="83"/>
      <c r="C856" s="15"/>
      <c r="D856" s="15"/>
      <c r="E856" s="85"/>
      <c r="F856" s="15"/>
      <c r="G856" s="15"/>
      <c r="H856" s="96"/>
      <c r="I856" s="16"/>
      <c r="J856" s="37" t="str">
        <f aca="false">IF(I856="","",IF(H856="",1,H856)*I856)</f>
        <v/>
      </c>
      <c r="K856" s="15"/>
      <c r="L856" s="97" t="str">
        <f aca="false">IF(C856="","",IF(OR(C856="Material",C856="Equipo",C856="Suministro"),"Materiales y equipos",IF(C856="Mano de obra contratista","Mano de obra contratista",IF(C856="Transporte","Transporte y otros","Alquileres"))))</f>
        <v/>
      </c>
      <c r="M856" s="6"/>
    </row>
    <row r="857" customFormat="false" ht="16.5" hidden="false" customHeight="true" outlineLevel="0" collapsed="false">
      <c r="A857" s="95" t="str">
        <f aca="false">IF(AND(B857="",C857=""),"",ROW()-6)</f>
        <v/>
      </c>
      <c r="B857" s="83"/>
      <c r="C857" s="15"/>
      <c r="D857" s="15"/>
      <c r="E857" s="85"/>
      <c r="F857" s="15"/>
      <c r="G857" s="15"/>
      <c r="H857" s="96"/>
      <c r="I857" s="16"/>
      <c r="J857" s="37" t="str">
        <f aca="false">IF(I857="","",IF(H857="",1,H857)*I857)</f>
        <v/>
      </c>
      <c r="K857" s="15"/>
      <c r="L857" s="97" t="str">
        <f aca="false">IF(C857="","",IF(OR(C857="Material",C857="Equipo",C857="Suministro"),"Materiales y equipos",IF(C857="Mano de obra contratista","Mano de obra contratista",IF(C857="Transporte","Transporte y otros","Alquileres"))))</f>
        <v/>
      </c>
      <c r="M857" s="6"/>
    </row>
    <row r="858" customFormat="false" ht="16.5" hidden="false" customHeight="true" outlineLevel="0" collapsed="false">
      <c r="A858" s="95" t="str">
        <f aca="false">IF(AND(B858="",C858=""),"",ROW()-6)</f>
        <v/>
      </c>
      <c r="B858" s="83"/>
      <c r="C858" s="15"/>
      <c r="D858" s="15"/>
      <c r="E858" s="85"/>
      <c r="F858" s="15"/>
      <c r="G858" s="15"/>
      <c r="H858" s="96"/>
      <c r="I858" s="16"/>
      <c r="J858" s="37" t="str">
        <f aca="false">IF(I858="","",IF(H858="",1,H858)*I858)</f>
        <v/>
      </c>
      <c r="K858" s="15"/>
      <c r="L858" s="97" t="str">
        <f aca="false">IF(C858="","",IF(OR(C858="Material",C858="Equipo",C858="Suministro"),"Materiales y equipos",IF(C858="Mano de obra contratista","Mano de obra contratista",IF(C858="Transporte","Transporte y otros","Alquileres"))))</f>
        <v/>
      </c>
      <c r="M858" s="6"/>
    </row>
    <row r="859" customFormat="false" ht="16.5" hidden="false" customHeight="true" outlineLevel="0" collapsed="false">
      <c r="A859" s="95" t="str">
        <f aca="false">IF(AND(B859="",C859=""),"",ROW()-6)</f>
        <v/>
      </c>
      <c r="B859" s="83"/>
      <c r="C859" s="15"/>
      <c r="D859" s="15"/>
      <c r="E859" s="85"/>
      <c r="F859" s="15"/>
      <c r="G859" s="15"/>
      <c r="H859" s="96"/>
      <c r="I859" s="16"/>
      <c r="J859" s="37" t="str">
        <f aca="false">IF(I859="","",IF(H859="",1,H859)*I859)</f>
        <v/>
      </c>
      <c r="K859" s="15"/>
      <c r="L859" s="97" t="str">
        <f aca="false">IF(C859="","",IF(OR(C859="Material",C859="Equipo",C859="Suministro"),"Materiales y equipos",IF(C859="Mano de obra contratista","Mano de obra contratista",IF(C859="Transporte","Transporte y otros","Alquileres"))))</f>
        <v/>
      </c>
      <c r="M859" s="6"/>
    </row>
    <row r="860" customFormat="false" ht="16.5" hidden="false" customHeight="true" outlineLevel="0" collapsed="false">
      <c r="A860" s="95" t="str">
        <f aca="false">IF(AND(B860="",C860=""),"",ROW()-6)</f>
        <v/>
      </c>
      <c r="B860" s="83"/>
      <c r="C860" s="15"/>
      <c r="D860" s="15"/>
      <c r="E860" s="85"/>
      <c r="F860" s="15"/>
      <c r="G860" s="15"/>
      <c r="H860" s="96"/>
      <c r="I860" s="16"/>
      <c r="J860" s="37" t="str">
        <f aca="false">IF(I860="","",IF(H860="",1,H860)*I860)</f>
        <v/>
      </c>
      <c r="K860" s="15"/>
      <c r="L860" s="97" t="str">
        <f aca="false">IF(C860="","",IF(OR(C860="Material",C860="Equipo",C860="Suministro"),"Materiales y equipos",IF(C860="Mano de obra contratista","Mano de obra contratista",IF(C860="Transporte","Transporte y otros","Alquileres"))))</f>
        <v/>
      </c>
      <c r="M860" s="6"/>
    </row>
    <row r="861" customFormat="false" ht="16.5" hidden="false" customHeight="true" outlineLevel="0" collapsed="false">
      <c r="A861" s="95" t="str">
        <f aca="false">IF(AND(B861="",C861=""),"",ROW()-6)</f>
        <v/>
      </c>
      <c r="B861" s="83"/>
      <c r="C861" s="15"/>
      <c r="D861" s="15"/>
      <c r="E861" s="85"/>
      <c r="F861" s="15"/>
      <c r="G861" s="15"/>
      <c r="H861" s="96"/>
      <c r="I861" s="16"/>
      <c r="J861" s="37" t="str">
        <f aca="false">IF(I861="","",IF(H861="",1,H861)*I861)</f>
        <v/>
      </c>
      <c r="K861" s="15"/>
      <c r="L861" s="97" t="str">
        <f aca="false">IF(C861="","",IF(OR(C861="Material",C861="Equipo",C861="Suministro"),"Materiales y equipos",IF(C861="Mano de obra contratista","Mano de obra contratista",IF(C861="Transporte","Transporte y otros","Alquileres"))))</f>
        <v/>
      </c>
      <c r="M861" s="6"/>
    </row>
    <row r="862" customFormat="false" ht="16.5" hidden="false" customHeight="true" outlineLevel="0" collapsed="false">
      <c r="A862" s="95" t="str">
        <f aca="false">IF(AND(B862="",C862=""),"",ROW()-6)</f>
        <v/>
      </c>
      <c r="B862" s="83"/>
      <c r="C862" s="15"/>
      <c r="D862" s="15"/>
      <c r="E862" s="85"/>
      <c r="F862" s="15"/>
      <c r="G862" s="15"/>
      <c r="H862" s="96"/>
      <c r="I862" s="16"/>
      <c r="J862" s="37" t="str">
        <f aca="false">IF(I862="","",IF(H862="",1,H862)*I862)</f>
        <v/>
      </c>
      <c r="K862" s="15"/>
      <c r="L862" s="97" t="str">
        <f aca="false">IF(C862="","",IF(OR(C862="Material",C862="Equipo",C862="Suministro"),"Materiales y equipos",IF(C862="Mano de obra contratista","Mano de obra contratista",IF(C862="Transporte","Transporte y otros","Alquileres"))))</f>
        <v/>
      </c>
      <c r="M862" s="6"/>
    </row>
    <row r="863" customFormat="false" ht="16.5" hidden="false" customHeight="true" outlineLevel="0" collapsed="false">
      <c r="A863" s="95" t="str">
        <f aca="false">IF(AND(B863="",C863=""),"",ROW()-6)</f>
        <v/>
      </c>
      <c r="B863" s="83"/>
      <c r="C863" s="15"/>
      <c r="D863" s="15"/>
      <c r="E863" s="85"/>
      <c r="F863" s="15"/>
      <c r="G863" s="15"/>
      <c r="H863" s="96"/>
      <c r="I863" s="16"/>
      <c r="J863" s="37" t="str">
        <f aca="false">IF(I863="","",IF(H863="",1,H863)*I863)</f>
        <v/>
      </c>
      <c r="K863" s="15"/>
      <c r="L863" s="97" t="str">
        <f aca="false">IF(C863="","",IF(OR(C863="Material",C863="Equipo",C863="Suministro"),"Materiales y equipos",IF(C863="Mano de obra contratista","Mano de obra contratista",IF(C863="Transporte","Transporte y otros","Alquileres"))))</f>
        <v/>
      </c>
      <c r="M863" s="6"/>
    </row>
    <row r="864" customFormat="false" ht="16.5" hidden="false" customHeight="true" outlineLevel="0" collapsed="false">
      <c r="A864" s="95" t="str">
        <f aca="false">IF(AND(B864="",C864=""),"",ROW()-6)</f>
        <v/>
      </c>
      <c r="B864" s="83"/>
      <c r="C864" s="15"/>
      <c r="D864" s="15"/>
      <c r="E864" s="85"/>
      <c r="F864" s="15"/>
      <c r="G864" s="15"/>
      <c r="H864" s="96"/>
      <c r="I864" s="16"/>
      <c r="J864" s="37" t="str">
        <f aca="false">IF(I864="","",IF(H864="",1,H864)*I864)</f>
        <v/>
      </c>
      <c r="K864" s="15"/>
      <c r="L864" s="97" t="str">
        <f aca="false">IF(C864="","",IF(OR(C864="Material",C864="Equipo",C864="Suministro"),"Materiales y equipos",IF(C864="Mano de obra contratista","Mano de obra contratista",IF(C864="Transporte","Transporte y otros","Alquileres"))))</f>
        <v/>
      </c>
      <c r="M864" s="6"/>
    </row>
    <row r="865" customFormat="false" ht="16.5" hidden="false" customHeight="true" outlineLevel="0" collapsed="false">
      <c r="A865" s="95" t="str">
        <f aca="false">IF(AND(B865="",C865=""),"",ROW()-6)</f>
        <v/>
      </c>
      <c r="B865" s="83"/>
      <c r="C865" s="15"/>
      <c r="D865" s="15"/>
      <c r="E865" s="85"/>
      <c r="F865" s="15"/>
      <c r="G865" s="15"/>
      <c r="H865" s="96"/>
      <c r="I865" s="16"/>
      <c r="J865" s="37" t="str">
        <f aca="false">IF(I865="","",IF(H865="",1,H865)*I865)</f>
        <v/>
      </c>
      <c r="K865" s="15"/>
      <c r="L865" s="97" t="str">
        <f aca="false">IF(C865="","",IF(OR(C865="Material",C865="Equipo",C865="Suministro"),"Materiales y equipos",IF(C865="Mano de obra contratista","Mano de obra contratista",IF(C865="Transporte","Transporte y otros","Alquileres"))))</f>
        <v/>
      </c>
      <c r="M865" s="6"/>
    </row>
    <row r="866" customFormat="false" ht="16.5" hidden="false" customHeight="true" outlineLevel="0" collapsed="false">
      <c r="A866" s="95" t="str">
        <f aca="false">IF(AND(B866="",C866=""),"",ROW()-6)</f>
        <v/>
      </c>
      <c r="B866" s="83"/>
      <c r="C866" s="15"/>
      <c r="D866" s="15"/>
      <c r="E866" s="85"/>
      <c r="F866" s="15"/>
      <c r="G866" s="15"/>
      <c r="H866" s="96"/>
      <c r="I866" s="16"/>
      <c r="J866" s="37" t="str">
        <f aca="false">IF(I866="","",IF(H866="",1,H866)*I866)</f>
        <v/>
      </c>
      <c r="K866" s="15"/>
      <c r="L866" s="97" t="str">
        <f aca="false">IF(C866="","",IF(OR(C866="Material",C866="Equipo",C866="Suministro"),"Materiales y equipos",IF(C866="Mano de obra contratista","Mano de obra contratista",IF(C866="Transporte","Transporte y otros","Alquileres"))))</f>
        <v/>
      </c>
      <c r="M866" s="6"/>
    </row>
    <row r="867" customFormat="false" ht="16.5" hidden="false" customHeight="true" outlineLevel="0" collapsed="false">
      <c r="A867" s="95" t="str">
        <f aca="false">IF(AND(B867="",C867=""),"",ROW()-6)</f>
        <v/>
      </c>
      <c r="B867" s="83"/>
      <c r="C867" s="15"/>
      <c r="D867" s="15"/>
      <c r="E867" s="85"/>
      <c r="F867" s="15"/>
      <c r="G867" s="15"/>
      <c r="H867" s="96"/>
      <c r="I867" s="16"/>
      <c r="J867" s="37" t="str">
        <f aca="false">IF(I867="","",IF(H867="",1,H867)*I867)</f>
        <v/>
      </c>
      <c r="K867" s="15"/>
      <c r="L867" s="97" t="str">
        <f aca="false">IF(C867="","",IF(OR(C867="Material",C867="Equipo",C867="Suministro"),"Materiales y equipos",IF(C867="Mano de obra contratista","Mano de obra contratista",IF(C867="Transporte","Transporte y otros","Alquileres"))))</f>
        <v/>
      </c>
      <c r="M867" s="6"/>
    </row>
    <row r="868" customFormat="false" ht="16.5" hidden="false" customHeight="true" outlineLevel="0" collapsed="false">
      <c r="A868" s="95" t="str">
        <f aca="false">IF(AND(B868="",C868=""),"",ROW()-6)</f>
        <v/>
      </c>
      <c r="B868" s="83"/>
      <c r="C868" s="15"/>
      <c r="D868" s="15"/>
      <c r="E868" s="85"/>
      <c r="F868" s="15"/>
      <c r="G868" s="15"/>
      <c r="H868" s="96"/>
      <c r="I868" s="16"/>
      <c r="J868" s="37" t="str">
        <f aca="false">IF(I868="","",IF(H868="",1,H868)*I868)</f>
        <v/>
      </c>
      <c r="K868" s="15"/>
      <c r="L868" s="97" t="str">
        <f aca="false">IF(C868="","",IF(OR(C868="Material",C868="Equipo",C868="Suministro"),"Materiales y equipos",IF(C868="Mano de obra contratista","Mano de obra contratista",IF(C868="Transporte","Transporte y otros","Alquileres"))))</f>
        <v/>
      </c>
      <c r="M868" s="6"/>
    </row>
    <row r="869" customFormat="false" ht="16.5" hidden="false" customHeight="true" outlineLevel="0" collapsed="false">
      <c r="A869" s="95" t="str">
        <f aca="false">IF(AND(B869="",C869=""),"",ROW()-6)</f>
        <v/>
      </c>
      <c r="B869" s="83"/>
      <c r="C869" s="15"/>
      <c r="D869" s="15"/>
      <c r="E869" s="85"/>
      <c r="F869" s="15"/>
      <c r="G869" s="15"/>
      <c r="H869" s="96"/>
      <c r="I869" s="16"/>
      <c r="J869" s="37" t="str">
        <f aca="false">IF(I869="","",IF(H869="",1,H869)*I869)</f>
        <v/>
      </c>
      <c r="K869" s="15"/>
      <c r="L869" s="97" t="str">
        <f aca="false">IF(C869="","",IF(OR(C869="Material",C869="Equipo",C869="Suministro"),"Materiales y equipos",IF(C869="Mano de obra contratista","Mano de obra contratista",IF(C869="Transporte","Transporte y otros","Alquileres"))))</f>
        <v/>
      </c>
      <c r="M869" s="6"/>
    </row>
    <row r="870" customFormat="false" ht="16.5" hidden="false" customHeight="true" outlineLevel="0" collapsed="false">
      <c r="A870" s="95" t="str">
        <f aca="false">IF(AND(B870="",C870=""),"",ROW()-6)</f>
        <v/>
      </c>
      <c r="B870" s="83"/>
      <c r="C870" s="15"/>
      <c r="D870" s="15"/>
      <c r="E870" s="85"/>
      <c r="F870" s="15"/>
      <c r="G870" s="15"/>
      <c r="H870" s="96"/>
      <c r="I870" s="16"/>
      <c r="J870" s="37" t="str">
        <f aca="false">IF(I870="","",IF(H870="",1,H870)*I870)</f>
        <v/>
      </c>
      <c r="K870" s="15"/>
      <c r="L870" s="97" t="str">
        <f aca="false">IF(C870="","",IF(OR(C870="Material",C870="Equipo",C870="Suministro"),"Materiales y equipos",IF(C870="Mano de obra contratista","Mano de obra contratista",IF(C870="Transporte","Transporte y otros","Alquileres"))))</f>
        <v/>
      </c>
      <c r="M870" s="6"/>
    </row>
    <row r="871" customFormat="false" ht="16.5" hidden="false" customHeight="true" outlineLevel="0" collapsed="false">
      <c r="A871" s="95" t="str">
        <f aca="false">IF(AND(B871="",C871=""),"",ROW()-6)</f>
        <v/>
      </c>
      <c r="B871" s="83"/>
      <c r="C871" s="15"/>
      <c r="D871" s="15"/>
      <c r="E871" s="85"/>
      <c r="F871" s="15"/>
      <c r="G871" s="15"/>
      <c r="H871" s="96"/>
      <c r="I871" s="16"/>
      <c r="J871" s="37" t="str">
        <f aca="false">IF(I871="","",IF(H871="",1,H871)*I871)</f>
        <v/>
      </c>
      <c r="K871" s="15"/>
      <c r="L871" s="97" t="str">
        <f aca="false">IF(C871="","",IF(OR(C871="Material",C871="Equipo",C871="Suministro"),"Materiales y equipos",IF(C871="Mano de obra contratista","Mano de obra contratista",IF(C871="Transporte","Transporte y otros","Alquileres"))))</f>
        <v/>
      </c>
      <c r="M871" s="6"/>
    </row>
    <row r="872" customFormat="false" ht="16.5" hidden="false" customHeight="true" outlineLevel="0" collapsed="false">
      <c r="A872" s="95" t="str">
        <f aca="false">IF(AND(B872="",C872=""),"",ROW()-6)</f>
        <v/>
      </c>
      <c r="B872" s="83"/>
      <c r="C872" s="15"/>
      <c r="D872" s="15"/>
      <c r="E872" s="85"/>
      <c r="F872" s="15"/>
      <c r="G872" s="15"/>
      <c r="H872" s="96"/>
      <c r="I872" s="16"/>
      <c r="J872" s="37" t="str">
        <f aca="false">IF(I872="","",IF(H872="",1,H872)*I872)</f>
        <v/>
      </c>
      <c r="K872" s="15"/>
      <c r="L872" s="97" t="str">
        <f aca="false">IF(C872="","",IF(OR(C872="Material",C872="Equipo",C872="Suministro"),"Materiales y equipos",IF(C872="Mano de obra contratista","Mano de obra contratista",IF(C872="Transporte","Transporte y otros","Alquileres"))))</f>
        <v/>
      </c>
      <c r="M872" s="6"/>
    </row>
    <row r="873" customFormat="false" ht="16.5" hidden="false" customHeight="true" outlineLevel="0" collapsed="false">
      <c r="A873" s="95" t="str">
        <f aca="false">IF(AND(B873="",C873=""),"",ROW()-6)</f>
        <v/>
      </c>
      <c r="B873" s="83"/>
      <c r="C873" s="15"/>
      <c r="D873" s="15"/>
      <c r="E873" s="85"/>
      <c r="F873" s="15"/>
      <c r="G873" s="15"/>
      <c r="H873" s="96"/>
      <c r="I873" s="16"/>
      <c r="J873" s="37" t="str">
        <f aca="false">IF(I873="","",IF(H873="",1,H873)*I873)</f>
        <v/>
      </c>
      <c r="K873" s="15"/>
      <c r="L873" s="97" t="str">
        <f aca="false">IF(C873="","",IF(OR(C873="Material",C873="Equipo",C873="Suministro"),"Materiales y equipos",IF(C873="Mano de obra contratista","Mano de obra contratista",IF(C873="Transporte","Transporte y otros","Alquileres"))))</f>
        <v/>
      </c>
      <c r="M873" s="6"/>
    </row>
    <row r="874" customFormat="false" ht="16.5" hidden="false" customHeight="true" outlineLevel="0" collapsed="false">
      <c r="A874" s="95" t="str">
        <f aca="false">IF(AND(B874="",C874=""),"",ROW()-6)</f>
        <v/>
      </c>
      <c r="B874" s="83"/>
      <c r="C874" s="15"/>
      <c r="D874" s="15"/>
      <c r="E874" s="85"/>
      <c r="F874" s="15"/>
      <c r="G874" s="15"/>
      <c r="H874" s="96"/>
      <c r="I874" s="16"/>
      <c r="J874" s="37" t="str">
        <f aca="false">IF(I874="","",IF(H874="",1,H874)*I874)</f>
        <v/>
      </c>
      <c r="K874" s="15"/>
      <c r="L874" s="97" t="str">
        <f aca="false">IF(C874="","",IF(OR(C874="Material",C874="Equipo",C874="Suministro"),"Materiales y equipos",IF(C874="Mano de obra contratista","Mano de obra contratista",IF(C874="Transporte","Transporte y otros","Alquileres"))))</f>
        <v/>
      </c>
      <c r="M874" s="6"/>
    </row>
    <row r="875" customFormat="false" ht="16.5" hidden="false" customHeight="true" outlineLevel="0" collapsed="false">
      <c r="A875" s="95" t="str">
        <f aca="false">IF(AND(B875="",C875=""),"",ROW()-6)</f>
        <v/>
      </c>
      <c r="B875" s="83"/>
      <c r="C875" s="15"/>
      <c r="D875" s="15"/>
      <c r="E875" s="85"/>
      <c r="F875" s="15"/>
      <c r="G875" s="15"/>
      <c r="H875" s="96"/>
      <c r="I875" s="16"/>
      <c r="J875" s="37" t="str">
        <f aca="false">IF(I875="","",IF(H875="",1,H875)*I875)</f>
        <v/>
      </c>
      <c r="K875" s="15"/>
      <c r="L875" s="97" t="str">
        <f aca="false">IF(C875="","",IF(OR(C875="Material",C875="Equipo",C875="Suministro"),"Materiales y equipos",IF(C875="Mano de obra contratista","Mano de obra contratista",IF(C875="Transporte","Transporte y otros","Alquileres"))))</f>
        <v/>
      </c>
      <c r="M875" s="6"/>
    </row>
    <row r="876" customFormat="false" ht="16.5" hidden="false" customHeight="true" outlineLevel="0" collapsed="false">
      <c r="A876" s="95" t="str">
        <f aca="false">IF(AND(B876="",C876=""),"",ROW()-6)</f>
        <v/>
      </c>
      <c r="B876" s="83"/>
      <c r="C876" s="15"/>
      <c r="D876" s="15"/>
      <c r="E876" s="85"/>
      <c r="F876" s="15"/>
      <c r="G876" s="15"/>
      <c r="H876" s="96"/>
      <c r="I876" s="16"/>
      <c r="J876" s="37" t="str">
        <f aca="false">IF(I876="","",IF(H876="",1,H876)*I876)</f>
        <v/>
      </c>
      <c r="K876" s="15"/>
      <c r="L876" s="97" t="str">
        <f aca="false">IF(C876="","",IF(OR(C876="Material",C876="Equipo",C876="Suministro"),"Materiales y equipos",IF(C876="Mano de obra contratista","Mano de obra contratista",IF(C876="Transporte","Transporte y otros","Alquileres"))))</f>
        <v/>
      </c>
      <c r="M876" s="6"/>
    </row>
    <row r="877" customFormat="false" ht="16.5" hidden="false" customHeight="true" outlineLevel="0" collapsed="false">
      <c r="A877" s="95" t="str">
        <f aca="false">IF(AND(B877="",C877=""),"",ROW()-6)</f>
        <v/>
      </c>
      <c r="B877" s="83"/>
      <c r="C877" s="15"/>
      <c r="D877" s="15"/>
      <c r="E877" s="85"/>
      <c r="F877" s="15"/>
      <c r="G877" s="15"/>
      <c r="H877" s="96"/>
      <c r="I877" s="16"/>
      <c r="J877" s="37" t="str">
        <f aca="false">IF(I877="","",IF(H877="",1,H877)*I877)</f>
        <v/>
      </c>
      <c r="K877" s="15"/>
      <c r="L877" s="97" t="str">
        <f aca="false">IF(C877="","",IF(OR(C877="Material",C877="Equipo",C877="Suministro"),"Materiales y equipos",IF(C877="Mano de obra contratista","Mano de obra contratista",IF(C877="Transporte","Transporte y otros","Alquileres"))))</f>
        <v/>
      </c>
      <c r="M877" s="6"/>
    </row>
    <row r="878" customFormat="false" ht="16.5" hidden="false" customHeight="true" outlineLevel="0" collapsed="false">
      <c r="A878" s="95" t="str">
        <f aca="false">IF(AND(B878="",C878=""),"",ROW()-6)</f>
        <v/>
      </c>
      <c r="B878" s="83"/>
      <c r="C878" s="15"/>
      <c r="D878" s="15"/>
      <c r="E878" s="85"/>
      <c r="F878" s="15"/>
      <c r="G878" s="15"/>
      <c r="H878" s="96"/>
      <c r="I878" s="16"/>
      <c r="J878" s="37" t="str">
        <f aca="false">IF(I878="","",IF(H878="",1,H878)*I878)</f>
        <v/>
      </c>
      <c r="K878" s="15"/>
      <c r="L878" s="97" t="str">
        <f aca="false">IF(C878="","",IF(OR(C878="Material",C878="Equipo",C878="Suministro"),"Materiales y equipos",IF(C878="Mano de obra contratista","Mano de obra contratista",IF(C878="Transporte","Transporte y otros","Alquileres"))))</f>
        <v/>
      </c>
      <c r="M878" s="6"/>
    </row>
    <row r="879" customFormat="false" ht="16.5" hidden="false" customHeight="true" outlineLevel="0" collapsed="false">
      <c r="A879" s="95" t="str">
        <f aca="false">IF(AND(B879="",C879=""),"",ROW()-6)</f>
        <v/>
      </c>
      <c r="B879" s="83"/>
      <c r="C879" s="15"/>
      <c r="D879" s="15"/>
      <c r="E879" s="85"/>
      <c r="F879" s="15"/>
      <c r="G879" s="15"/>
      <c r="H879" s="96"/>
      <c r="I879" s="16"/>
      <c r="J879" s="37" t="str">
        <f aca="false">IF(I879="","",IF(H879="",1,H879)*I879)</f>
        <v/>
      </c>
      <c r="K879" s="15"/>
      <c r="L879" s="97" t="str">
        <f aca="false">IF(C879="","",IF(OR(C879="Material",C879="Equipo",C879="Suministro"),"Materiales y equipos",IF(C879="Mano de obra contratista","Mano de obra contratista",IF(C879="Transporte","Transporte y otros","Alquileres"))))</f>
        <v/>
      </c>
      <c r="M879" s="6"/>
    </row>
    <row r="880" customFormat="false" ht="16.5" hidden="false" customHeight="true" outlineLevel="0" collapsed="false">
      <c r="A880" s="95" t="str">
        <f aca="false">IF(AND(B880="",C880=""),"",ROW()-6)</f>
        <v/>
      </c>
      <c r="B880" s="83"/>
      <c r="C880" s="15"/>
      <c r="D880" s="15"/>
      <c r="E880" s="85"/>
      <c r="F880" s="15"/>
      <c r="G880" s="15"/>
      <c r="H880" s="96"/>
      <c r="I880" s="16"/>
      <c r="J880" s="37" t="str">
        <f aca="false">IF(I880="","",IF(H880="",1,H880)*I880)</f>
        <v/>
      </c>
      <c r="K880" s="15"/>
      <c r="L880" s="97" t="str">
        <f aca="false">IF(C880="","",IF(OR(C880="Material",C880="Equipo",C880="Suministro"),"Materiales y equipos",IF(C880="Mano de obra contratista","Mano de obra contratista",IF(C880="Transporte","Transporte y otros","Alquileres"))))</f>
        <v/>
      </c>
      <c r="M880" s="6"/>
    </row>
    <row r="881" customFormat="false" ht="16.5" hidden="false" customHeight="true" outlineLevel="0" collapsed="false">
      <c r="A881" s="95" t="str">
        <f aca="false">IF(AND(B881="",C881=""),"",ROW()-6)</f>
        <v/>
      </c>
      <c r="B881" s="83"/>
      <c r="C881" s="15"/>
      <c r="D881" s="15"/>
      <c r="E881" s="85"/>
      <c r="F881" s="15"/>
      <c r="G881" s="15"/>
      <c r="H881" s="96"/>
      <c r="I881" s="16"/>
      <c r="J881" s="37" t="str">
        <f aca="false">IF(I881="","",IF(H881="",1,H881)*I881)</f>
        <v/>
      </c>
      <c r="K881" s="15"/>
      <c r="L881" s="97" t="str">
        <f aca="false">IF(C881="","",IF(OR(C881="Material",C881="Equipo",C881="Suministro"),"Materiales y equipos",IF(C881="Mano de obra contratista","Mano de obra contratista",IF(C881="Transporte","Transporte y otros","Alquileres"))))</f>
        <v/>
      </c>
      <c r="M881" s="6"/>
    </row>
    <row r="882" customFormat="false" ht="16.5" hidden="false" customHeight="true" outlineLevel="0" collapsed="false">
      <c r="A882" s="95" t="str">
        <f aca="false">IF(AND(B882="",C882=""),"",ROW()-6)</f>
        <v/>
      </c>
      <c r="B882" s="83"/>
      <c r="C882" s="15"/>
      <c r="D882" s="15"/>
      <c r="E882" s="85"/>
      <c r="F882" s="15"/>
      <c r="G882" s="15"/>
      <c r="H882" s="96"/>
      <c r="I882" s="16"/>
      <c r="J882" s="37" t="str">
        <f aca="false">IF(I882="","",IF(H882="",1,H882)*I882)</f>
        <v/>
      </c>
      <c r="K882" s="15"/>
      <c r="L882" s="97" t="str">
        <f aca="false">IF(C882="","",IF(OR(C882="Material",C882="Equipo",C882="Suministro"),"Materiales y equipos",IF(C882="Mano de obra contratista","Mano de obra contratista",IF(C882="Transporte","Transporte y otros","Alquileres"))))</f>
        <v/>
      </c>
      <c r="M882" s="6"/>
    </row>
    <row r="883" customFormat="false" ht="16.5" hidden="false" customHeight="true" outlineLevel="0" collapsed="false">
      <c r="A883" s="95" t="str">
        <f aca="false">IF(AND(B883="",C883=""),"",ROW()-6)</f>
        <v/>
      </c>
      <c r="B883" s="83"/>
      <c r="C883" s="15"/>
      <c r="D883" s="15"/>
      <c r="E883" s="85"/>
      <c r="F883" s="15"/>
      <c r="G883" s="15"/>
      <c r="H883" s="96"/>
      <c r="I883" s="16"/>
      <c r="J883" s="37" t="str">
        <f aca="false">IF(I883="","",IF(H883="",1,H883)*I883)</f>
        <v/>
      </c>
      <c r="K883" s="15"/>
      <c r="L883" s="97" t="str">
        <f aca="false">IF(C883="","",IF(OR(C883="Material",C883="Equipo",C883="Suministro"),"Materiales y equipos",IF(C883="Mano de obra contratista","Mano de obra contratista",IF(C883="Transporte","Transporte y otros","Alquileres"))))</f>
        <v/>
      </c>
      <c r="M883" s="6"/>
    </row>
    <row r="884" customFormat="false" ht="16.5" hidden="false" customHeight="true" outlineLevel="0" collapsed="false">
      <c r="A884" s="95" t="str">
        <f aca="false">IF(AND(B884="",C884=""),"",ROW()-6)</f>
        <v/>
      </c>
      <c r="B884" s="83"/>
      <c r="C884" s="15"/>
      <c r="D884" s="15"/>
      <c r="E884" s="85"/>
      <c r="F884" s="15"/>
      <c r="G884" s="15"/>
      <c r="H884" s="96"/>
      <c r="I884" s="16"/>
      <c r="J884" s="37" t="str">
        <f aca="false">IF(I884="","",IF(H884="",1,H884)*I884)</f>
        <v/>
      </c>
      <c r="K884" s="15"/>
      <c r="L884" s="97" t="str">
        <f aca="false">IF(C884="","",IF(OR(C884="Material",C884="Equipo",C884="Suministro"),"Materiales y equipos",IF(C884="Mano de obra contratista","Mano de obra contratista",IF(C884="Transporte","Transporte y otros","Alquileres"))))</f>
        <v/>
      </c>
      <c r="M884" s="6"/>
    </row>
    <row r="885" customFormat="false" ht="16.5" hidden="false" customHeight="true" outlineLevel="0" collapsed="false">
      <c r="A885" s="95" t="str">
        <f aca="false">IF(AND(B885="",C885=""),"",ROW()-6)</f>
        <v/>
      </c>
      <c r="B885" s="83"/>
      <c r="C885" s="15"/>
      <c r="D885" s="15"/>
      <c r="E885" s="85"/>
      <c r="F885" s="15"/>
      <c r="G885" s="15"/>
      <c r="H885" s="96"/>
      <c r="I885" s="16"/>
      <c r="J885" s="37" t="str">
        <f aca="false">IF(I885="","",IF(H885="",1,H885)*I885)</f>
        <v/>
      </c>
      <c r="K885" s="15"/>
      <c r="L885" s="97" t="str">
        <f aca="false">IF(C885="","",IF(OR(C885="Material",C885="Equipo",C885="Suministro"),"Materiales y equipos",IF(C885="Mano de obra contratista","Mano de obra contratista",IF(C885="Transporte","Transporte y otros","Alquileres"))))</f>
        <v/>
      </c>
      <c r="M885" s="6"/>
    </row>
    <row r="886" customFormat="false" ht="16.5" hidden="false" customHeight="true" outlineLevel="0" collapsed="false">
      <c r="A886" s="95" t="str">
        <f aca="false">IF(AND(B886="",C886=""),"",ROW()-6)</f>
        <v/>
      </c>
      <c r="B886" s="83"/>
      <c r="C886" s="15"/>
      <c r="D886" s="15"/>
      <c r="E886" s="85"/>
      <c r="F886" s="15"/>
      <c r="G886" s="15"/>
      <c r="H886" s="96"/>
      <c r="I886" s="16"/>
      <c r="J886" s="37" t="str">
        <f aca="false">IF(I886="","",IF(H886="",1,H886)*I886)</f>
        <v/>
      </c>
      <c r="K886" s="15"/>
      <c r="L886" s="97" t="str">
        <f aca="false">IF(C886="","",IF(OR(C886="Material",C886="Equipo",C886="Suministro"),"Materiales y equipos",IF(C886="Mano de obra contratista","Mano de obra contratista",IF(C886="Transporte","Transporte y otros","Alquileres"))))</f>
        <v/>
      </c>
      <c r="M886" s="6"/>
    </row>
    <row r="887" customFormat="false" ht="16.5" hidden="false" customHeight="true" outlineLevel="0" collapsed="false">
      <c r="A887" s="95" t="str">
        <f aca="false">IF(AND(B887="",C887=""),"",ROW()-6)</f>
        <v/>
      </c>
      <c r="B887" s="83"/>
      <c r="C887" s="15"/>
      <c r="D887" s="15"/>
      <c r="E887" s="85"/>
      <c r="F887" s="15"/>
      <c r="G887" s="15"/>
      <c r="H887" s="96"/>
      <c r="I887" s="16"/>
      <c r="J887" s="37" t="str">
        <f aca="false">IF(I887="","",IF(H887="",1,H887)*I887)</f>
        <v/>
      </c>
      <c r="K887" s="15"/>
      <c r="L887" s="97" t="str">
        <f aca="false">IF(C887="","",IF(OR(C887="Material",C887="Equipo",C887="Suministro"),"Materiales y equipos",IF(C887="Mano de obra contratista","Mano de obra contratista",IF(C887="Transporte","Transporte y otros","Alquileres"))))</f>
        <v/>
      </c>
      <c r="M887" s="6"/>
    </row>
    <row r="888" customFormat="false" ht="16.5" hidden="false" customHeight="true" outlineLevel="0" collapsed="false">
      <c r="A888" s="95" t="str">
        <f aca="false">IF(AND(B888="",C888=""),"",ROW()-6)</f>
        <v/>
      </c>
      <c r="B888" s="83"/>
      <c r="C888" s="15"/>
      <c r="D888" s="15"/>
      <c r="E888" s="85"/>
      <c r="F888" s="15"/>
      <c r="G888" s="15"/>
      <c r="H888" s="96"/>
      <c r="I888" s="16"/>
      <c r="J888" s="37" t="str">
        <f aca="false">IF(I888="","",IF(H888="",1,H888)*I888)</f>
        <v/>
      </c>
      <c r="K888" s="15"/>
      <c r="L888" s="97" t="str">
        <f aca="false">IF(C888="","",IF(OR(C888="Material",C888="Equipo",C888="Suministro"),"Materiales y equipos",IF(C888="Mano de obra contratista","Mano de obra contratista",IF(C888="Transporte","Transporte y otros","Alquileres"))))</f>
        <v/>
      </c>
      <c r="M888" s="6"/>
    </row>
    <row r="889" customFormat="false" ht="16.5" hidden="false" customHeight="true" outlineLevel="0" collapsed="false">
      <c r="A889" s="95" t="str">
        <f aca="false">IF(AND(B889="",C889=""),"",ROW()-6)</f>
        <v/>
      </c>
      <c r="B889" s="83"/>
      <c r="C889" s="15"/>
      <c r="D889" s="15"/>
      <c r="E889" s="85"/>
      <c r="F889" s="15"/>
      <c r="G889" s="15"/>
      <c r="H889" s="96"/>
      <c r="I889" s="16"/>
      <c r="J889" s="37" t="str">
        <f aca="false">IF(I889="","",IF(H889="",1,H889)*I889)</f>
        <v/>
      </c>
      <c r="K889" s="15"/>
      <c r="L889" s="97" t="str">
        <f aca="false">IF(C889="","",IF(OR(C889="Material",C889="Equipo",C889="Suministro"),"Materiales y equipos",IF(C889="Mano de obra contratista","Mano de obra contratista",IF(C889="Transporte","Transporte y otros","Alquileres"))))</f>
        <v/>
      </c>
      <c r="M889" s="6"/>
    </row>
    <row r="890" customFormat="false" ht="16.5" hidden="false" customHeight="true" outlineLevel="0" collapsed="false">
      <c r="A890" s="95" t="str">
        <f aca="false">IF(AND(B890="",C890=""),"",ROW()-6)</f>
        <v/>
      </c>
      <c r="B890" s="83"/>
      <c r="C890" s="15"/>
      <c r="D890" s="15"/>
      <c r="E890" s="85"/>
      <c r="F890" s="15"/>
      <c r="G890" s="15"/>
      <c r="H890" s="96"/>
      <c r="I890" s="16"/>
      <c r="J890" s="37" t="str">
        <f aca="false">IF(I890="","",IF(H890="",1,H890)*I890)</f>
        <v/>
      </c>
      <c r="K890" s="15"/>
      <c r="L890" s="97" t="str">
        <f aca="false">IF(C890="","",IF(OR(C890="Material",C890="Equipo",C890="Suministro"),"Materiales y equipos",IF(C890="Mano de obra contratista","Mano de obra contratista",IF(C890="Transporte","Transporte y otros","Alquileres"))))</f>
        <v/>
      </c>
      <c r="M890" s="6"/>
    </row>
    <row r="891" customFormat="false" ht="16.5" hidden="false" customHeight="true" outlineLevel="0" collapsed="false">
      <c r="A891" s="95" t="str">
        <f aca="false">IF(AND(B891="",C891=""),"",ROW()-6)</f>
        <v/>
      </c>
      <c r="B891" s="83"/>
      <c r="C891" s="15"/>
      <c r="D891" s="15"/>
      <c r="E891" s="85"/>
      <c r="F891" s="15"/>
      <c r="G891" s="15"/>
      <c r="H891" s="96"/>
      <c r="I891" s="16"/>
      <c r="J891" s="37" t="str">
        <f aca="false">IF(I891="","",IF(H891="",1,H891)*I891)</f>
        <v/>
      </c>
      <c r="K891" s="15"/>
      <c r="L891" s="97" t="str">
        <f aca="false">IF(C891="","",IF(OR(C891="Material",C891="Equipo",C891="Suministro"),"Materiales y equipos",IF(C891="Mano de obra contratista","Mano de obra contratista",IF(C891="Transporte","Transporte y otros","Alquileres"))))</f>
        <v/>
      </c>
      <c r="M891" s="6"/>
    </row>
    <row r="892" customFormat="false" ht="16.5" hidden="false" customHeight="true" outlineLevel="0" collapsed="false">
      <c r="A892" s="95" t="str">
        <f aca="false">IF(AND(B892="",C892=""),"",ROW()-6)</f>
        <v/>
      </c>
      <c r="B892" s="83"/>
      <c r="C892" s="15"/>
      <c r="D892" s="15"/>
      <c r="E892" s="85"/>
      <c r="F892" s="15"/>
      <c r="G892" s="15"/>
      <c r="H892" s="96"/>
      <c r="I892" s="16"/>
      <c r="J892" s="37" t="str">
        <f aca="false">IF(I892="","",IF(H892="",1,H892)*I892)</f>
        <v/>
      </c>
      <c r="K892" s="15"/>
      <c r="L892" s="97" t="str">
        <f aca="false">IF(C892="","",IF(OR(C892="Material",C892="Equipo",C892="Suministro"),"Materiales y equipos",IF(C892="Mano de obra contratista","Mano de obra contratista",IF(C892="Transporte","Transporte y otros","Alquileres"))))</f>
        <v/>
      </c>
      <c r="M892" s="6"/>
    </row>
    <row r="893" customFormat="false" ht="16.5" hidden="false" customHeight="true" outlineLevel="0" collapsed="false">
      <c r="A893" s="95" t="str">
        <f aca="false">IF(AND(B893="",C893=""),"",ROW()-6)</f>
        <v/>
      </c>
      <c r="B893" s="83"/>
      <c r="C893" s="15"/>
      <c r="D893" s="15"/>
      <c r="E893" s="85"/>
      <c r="F893" s="15"/>
      <c r="G893" s="15"/>
      <c r="H893" s="96"/>
      <c r="I893" s="16"/>
      <c r="J893" s="37" t="str">
        <f aca="false">IF(I893="","",IF(H893="",1,H893)*I893)</f>
        <v/>
      </c>
      <c r="K893" s="15"/>
      <c r="L893" s="97" t="str">
        <f aca="false">IF(C893="","",IF(OR(C893="Material",C893="Equipo",C893="Suministro"),"Materiales y equipos",IF(C893="Mano de obra contratista","Mano de obra contratista",IF(C893="Transporte","Transporte y otros","Alquileres"))))</f>
        <v/>
      </c>
      <c r="M893" s="6"/>
    </row>
    <row r="894" customFormat="false" ht="16.5" hidden="false" customHeight="true" outlineLevel="0" collapsed="false">
      <c r="A894" s="95" t="str">
        <f aca="false">IF(AND(B894="",C894=""),"",ROW()-6)</f>
        <v/>
      </c>
      <c r="B894" s="83"/>
      <c r="C894" s="15"/>
      <c r="D894" s="15"/>
      <c r="E894" s="85"/>
      <c r="F894" s="15"/>
      <c r="G894" s="15"/>
      <c r="H894" s="96"/>
      <c r="I894" s="16"/>
      <c r="J894" s="37" t="str">
        <f aca="false">IF(I894="","",IF(H894="",1,H894)*I894)</f>
        <v/>
      </c>
      <c r="K894" s="15"/>
      <c r="L894" s="97" t="str">
        <f aca="false">IF(C894="","",IF(OR(C894="Material",C894="Equipo",C894="Suministro"),"Materiales y equipos",IF(C894="Mano de obra contratista","Mano de obra contratista",IF(C894="Transporte","Transporte y otros","Alquileres"))))</f>
        <v/>
      </c>
      <c r="M894" s="6"/>
    </row>
    <row r="895" customFormat="false" ht="16.5" hidden="false" customHeight="true" outlineLevel="0" collapsed="false">
      <c r="A895" s="95" t="str">
        <f aca="false">IF(AND(B895="",C895=""),"",ROW()-6)</f>
        <v/>
      </c>
      <c r="B895" s="83"/>
      <c r="C895" s="15"/>
      <c r="D895" s="15"/>
      <c r="E895" s="85"/>
      <c r="F895" s="15"/>
      <c r="G895" s="15"/>
      <c r="H895" s="96"/>
      <c r="I895" s="16"/>
      <c r="J895" s="37" t="str">
        <f aca="false">IF(I895="","",IF(H895="",1,H895)*I895)</f>
        <v/>
      </c>
      <c r="K895" s="15"/>
      <c r="L895" s="97" t="str">
        <f aca="false">IF(C895="","",IF(OR(C895="Material",C895="Equipo",C895="Suministro"),"Materiales y equipos",IF(C895="Mano de obra contratista","Mano de obra contratista",IF(C895="Transporte","Transporte y otros","Alquileres"))))</f>
        <v/>
      </c>
      <c r="M895" s="6"/>
    </row>
    <row r="896" customFormat="false" ht="16.5" hidden="false" customHeight="true" outlineLevel="0" collapsed="false">
      <c r="A896" s="95" t="str">
        <f aca="false">IF(AND(B896="",C896=""),"",ROW()-6)</f>
        <v/>
      </c>
      <c r="B896" s="83"/>
      <c r="C896" s="15"/>
      <c r="D896" s="15"/>
      <c r="E896" s="85"/>
      <c r="F896" s="15"/>
      <c r="G896" s="15"/>
      <c r="H896" s="96"/>
      <c r="I896" s="16"/>
      <c r="J896" s="37" t="str">
        <f aca="false">IF(I896="","",IF(H896="",1,H896)*I896)</f>
        <v/>
      </c>
      <c r="K896" s="15"/>
      <c r="L896" s="97" t="str">
        <f aca="false">IF(C896="","",IF(OR(C896="Material",C896="Equipo",C896="Suministro"),"Materiales y equipos",IF(C896="Mano de obra contratista","Mano de obra contratista",IF(C896="Transporte","Transporte y otros","Alquileres"))))</f>
        <v/>
      </c>
      <c r="M896" s="6"/>
    </row>
    <row r="897" customFormat="false" ht="16.5" hidden="false" customHeight="true" outlineLevel="0" collapsed="false">
      <c r="A897" s="95" t="str">
        <f aca="false">IF(AND(B897="",C897=""),"",ROW()-6)</f>
        <v/>
      </c>
      <c r="B897" s="83"/>
      <c r="C897" s="15"/>
      <c r="D897" s="15"/>
      <c r="E897" s="85"/>
      <c r="F897" s="15"/>
      <c r="G897" s="15"/>
      <c r="H897" s="96"/>
      <c r="I897" s="16"/>
      <c r="J897" s="37" t="str">
        <f aca="false">IF(I897="","",IF(H897="",1,H897)*I897)</f>
        <v/>
      </c>
      <c r="K897" s="15"/>
      <c r="L897" s="97" t="str">
        <f aca="false">IF(C897="","",IF(OR(C897="Material",C897="Equipo",C897="Suministro"),"Materiales y equipos",IF(C897="Mano de obra contratista","Mano de obra contratista",IF(C897="Transporte","Transporte y otros","Alquileres"))))</f>
        <v/>
      </c>
      <c r="M897" s="6"/>
    </row>
    <row r="898" customFormat="false" ht="16.5" hidden="false" customHeight="true" outlineLevel="0" collapsed="false">
      <c r="A898" s="95" t="str">
        <f aca="false">IF(AND(B898="",C898=""),"",ROW()-6)</f>
        <v/>
      </c>
      <c r="B898" s="83"/>
      <c r="C898" s="15"/>
      <c r="D898" s="15"/>
      <c r="E898" s="85"/>
      <c r="F898" s="15"/>
      <c r="G898" s="15"/>
      <c r="H898" s="96"/>
      <c r="I898" s="16"/>
      <c r="J898" s="37" t="str">
        <f aca="false">IF(I898="","",IF(H898="",1,H898)*I898)</f>
        <v/>
      </c>
      <c r="K898" s="15"/>
      <c r="L898" s="97" t="str">
        <f aca="false">IF(C898="","",IF(OR(C898="Material",C898="Equipo",C898="Suministro"),"Materiales y equipos",IF(C898="Mano de obra contratista","Mano de obra contratista",IF(C898="Transporte","Transporte y otros","Alquileres"))))</f>
        <v/>
      </c>
      <c r="M898" s="6"/>
    </row>
    <row r="899" customFormat="false" ht="16.5" hidden="false" customHeight="true" outlineLevel="0" collapsed="false">
      <c r="A899" s="95" t="str">
        <f aca="false">IF(AND(B899="",C899=""),"",ROW()-6)</f>
        <v/>
      </c>
      <c r="B899" s="83"/>
      <c r="C899" s="15"/>
      <c r="D899" s="15"/>
      <c r="E899" s="85"/>
      <c r="F899" s="15"/>
      <c r="G899" s="15"/>
      <c r="H899" s="96"/>
      <c r="I899" s="16"/>
      <c r="J899" s="37" t="str">
        <f aca="false">IF(I899="","",IF(H899="",1,H899)*I899)</f>
        <v/>
      </c>
      <c r="K899" s="15"/>
      <c r="L899" s="97" t="str">
        <f aca="false">IF(C899="","",IF(OR(C899="Material",C899="Equipo",C899="Suministro"),"Materiales y equipos",IF(C899="Mano de obra contratista","Mano de obra contratista",IF(C899="Transporte","Transporte y otros","Alquileres"))))</f>
        <v/>
      </c>
      <c r="M899" s="6"/>
    </row>
    <row r="900" customFormat="false" ht="16.5" hidden="false" customHeight="true" outlineLevel="0" collapsed="false">
      <c r="A900" s="95" t="str">
        <f aca="false">IF(AND(B900="",C900=""),"",ROW()-6)</f>
        <v/>
      </c>
      <c r="B900" s="83"/>
      <c r="C900" s="15"/>
      <c r="D900" s="15"/>
      <c r="E900" s="85"/>
      <c r="F900" s="15"/>
      <c r="G900" s="15"/>
      <c r="H900" s="96"/>
      <c r="I900" s="16"/>
      <c r="J900" s="37" t="str">
        <f aca="false">IF(I900="","",IF(H900="",1,H900)*I900)</f>
        <v/>
      </c>
      <c r="K900" s="15"/>
      <c r="L900" s="97" t="str">
        <f aca="false">IF(C900="","",IF(OR(C900="Material",C900="Equipo",C900="Suministro"),"Materiales y equipos",IF(C900="Mano de obra contratista","Mano de obra contratista",IF(C900="Transporte","Transporte y otros","Alquileres"))))</f>
        <v/>
      </c>
      <c r="M900" s="6"/>
    </row>
    <row r="901" customFormat="false" ht="16.5" hidden="false" customHeight="true" outlineLevel="0" collapsed="false">
      <c r="A901" s="95" t="str">
        <f aca="false">IF(AND(B901="",C901=""),"",ROW()-6)</f>
        <v/>
      </c>
      <c r="B901" s="83"/>
      <c r="C901" s="15"/>
      <c r="D901" s="15"/>
      <c r="E901" s="85"/>
      <c r="F901" s="15"/>
      <c r="G901" s="15"/>
      <c r="H901" s="96"/>
      <c r="I901" s="16"/>
      <c r="J901" s="37" t="str">
        <f aca="false">IF(I901="","",IF(H901="",1,H901)*I901)</f>
        <v/>
      </c>
      <c r="K901" s="15"/>
      <c r="L901" s="97" t="str">
        <f aca="false">IF(C901="","",IF(OR(C901="Material",C901="Equipo",C901="Suministro"),"Materiales y equipos",IF(C901="Mano de obra contratista","Mano de obra contratista",IF(C901="Transporte","Transporte y otros","Alquileres"))))</f>
        <v/>
      </c>
      <c r="M901" s="6"/>
    </row>
    <row r="902" customFormat="false" ht="16.5" hidden="false" customHeight="true" outlineLevel="0" collapsed="false">
      <c r="A902" s="95" t="str">
        <f aca="false">IF(AND(B902="",C902=""),"",ROW()-6)</f>
        <v/>
      </c>
      <c r="B902" s="83"/>
      <c r="C902" s="15"/>
      <c r="D902" s="15"/>
      <c r="E902" s="85"/>
      <c r="F902" s="15"/>
      <c r="G902" s="15"/>
      <c r="H902" s="96"/>
      <c r="I902" s="16"/>
      <c r="J902" s="37" t="str">
        <f aca="false">IF(I902="","",IF(H902="",1,H902)*I902)</f>
        <v/>
      </c>
      <c r="K902" s="15"/>
      <c r="L902" s="97" t="str">
        <f aca="false">IF(C902="","",IF(OR(C902="Material",C902="Equipo",C902="Suministro"),"Materiales y equipos",IF(C902="Mano de obra contratista","Mano de obra contratista",IF(C902="Transporte","Transporte y otros","Alquileres"))))</f>
        <v/>
      </c>
      <c r="M902" s="6"/>
    </row>
    <row r="903" customFormat="false" ht="16.5" hidden="false" customHeight="true" outlineLevel="0" collapsed="false">
      <c r="A903" s="95" t="str">
        <f aca="false">IF(AND(B903="",C903=""),"",ROW()-6)</f>
        <v/>
      </c>
      <c r="B903" s="83"/>
      <c r="C903" s="15"/>
      <c r="D903" s="15"/>
      <c r="E903" s="85"/>
      <c r="F903" s="15"/>
      <c r="G903" s="15"/>
      <c r="H903" s="96"/>
      <c r="I903" s="16"/>
      <c r="J903" s="37" t="str">
        <f aca="false">IF(I903="","",IF(H903="",1,H903)*I903)</f>
        <v/>
      </c>
      <c r="K903" s="15"/>
      <c r="L903" s="97" t="str">
        <f aca="false">IF(C903="","",IF(OR(C903="Material",C903="Equipo",C903="Suministro"),"Materiales y equipos",IF(C903="Mano de obra contratista","Mano de obra contratista",IF(C903="Transporte","Transporte y otros","Alquileres"))))</f>
        <v/>
      </c>
      <c r="M903" s="6"/>
    </row>
    <row r="904" customFormat="false" ht="16.5" hidden="false" customHeight="true" outlineLevel="0" collapsed="false">
      <c r="A904" s="95" t="str">
        <f aca="false">IF(AND(B904="",C904=""),"",ROW()-6)</f>
        <v/>
      </c>
      <c r="B904" s="83"/>
      <c r="C904" s="15"/>
      <c r="D904" s="15"/>
      <c r="E904" s="85"/>
      <c r="F904" s="15"/>
      <c r="G904" s="15"/>
      <c r="H904" s="96"/>
      <c r="I904" s="16"/>
      <c r="J904" s="37" t="str">
        <f aca="false">IF(I904="","",IF(H904="",1,H904)*I904)</f>
        <v/>
      </c>
      <c r="K904" s="15"/>
      <c r="L904" s="97" t="str">
        <f aca="false">IF(C904="","",IF(OR(C904="Material",C904="Equipo",C904="Suministro"),"Materiales y equipos",IF(C904="Mano de obra contratista","Mano de obra contratista",IF(C904="Transporte","Transporte y otros","Alquileres"))))</f>
        <v/>
      </c>
      <c r="M904" s="6"/>
    </row>
    <row r="905" customFormat="false" ht="16.5" hidden="false" customHeight="true" outlineLevel="0" collapsed="false">
      <c r="A905" s="95" t="str">
        <f aca="false">IF(AND(B905="",C905=""),"",ROW()-6)</f>
        <v/>
      </c>
      <c r="B905" s="83"/>
      <c r="C905" s="15"/>
      <c r="D905" s="15"/>
      <c r="E905" s="85"/>
      <c r="F905" s="15"/>
      <c r="G905" s="15"/>
      <c r="H905" s="96"/>
      <c r="I905" s="16"/>
      <c r="J905" s="37" t="str">
        <f aca="false">IF(I905="","",IF(H905="",1,H905)*I905)</f>
        <v/>
      </c>
      <c r="K905" s="15"/>
      <c r="L905" s="97" t="str">
        <f aca="false">IF(C905="","",IF(OR(C905="Material",C905="Equipo",C905="Suministro"),"Materiales y equipos",IF(C905="Mano de obra contratista","Mano de obra contratista",IF(C905="Transporte","Transporte y otros","Alquileres"))))</f>
        <v/>
      </c>
      <c r="M905" s="6"/>
    </row>
    <row r="906" customFormat="false" ht="16.5" hidden="false" customHeight="true" outlineLevel="0" collapsed="false">
      <c r="A906" s="95" t="str">
        <f aca="false">IF(AND(B906="",C906=""),"",ROW()-6)</f>
        <v/>
      </c>
      <c r="B906" s="83"/>
      <c r="C906" s="15"/>
      <c r="D906" s="15"/>
      <c r="E906" s="85"/>
      <c r="F906" s="15"/>
      <c r="G906" s="15"/>
      <c r="H906" s="96"/>
      <c r="I906" s="16"/>
      <c r="J906" s="37" t="str">
        <f aca="false">IF(I906="","",IF(H906="",1,H906)*I906)</f>
        <v/>
      </c>
      <c r="K906" s="15"/>
      <c r="L906" s="97" t="str">
        <f aca="false">IF(C906="","",IF(OR(C906="Material",C906="Equipo",C906="Suministro"),"Materiales y equipos",IF(C906="Mano de obra contratista","Mano de obra contratista",IF(C906="Transporte","Transporte y otros","Alquileres"))))</f>
        <v/>
      </c>
      <c r="M906" s="6"/>
    </row>
    <row r="907" customFormat="false" ht="16.5" hidden="false" customHeight="true" outlineLevel="0" collapsed="false">
      <c r="A907" s="95" t="str">
        <f aca="false">IF(AND(B907="",C907=""),"",ROW()-6)</f>
        <v/>
      </c>
      <c r="B907" s="83"/>
      <c r="C907" s="15"/>
      <c r="D907" s="15"/>
      <c r="E907" s="85"/>
      <c r="F907" s="15"/>
      <c r="G907" s="15"/>
      <c r="H907" s="96"/>
      <c r="I907" s="16"/>
      <c r="J907" s="37" t="str">
        <f aca="false">IF(I907="","",IF(H907="",1,H907)*I907)</f>
        <v/>
      </c>
      <c r="K907" s="15"/>
      <c r="L907" s="97" t="str">
        <f aca="false">IF(C907="","",IF(OR(C907="Material",C907="Equipo",C907="Suministro"),"Materiales y equipos",IF(C907="Mano de obra contratista","Mano de obra contratista",IF(C907="Transporte","Transporte y otros","Alquileres"))))</f>
        <v/>
      </c>
      <c r="M907" s="6"/>
    </row>
    <row r="908" customFormat="false" ht="16.5" hidden="false" customHeight="true" outlineLevel="0" collapsed="false">
      <c r="A908" s="95" t="str">
        <f aca="false">IF(AND(B908="",C908=""),"",ROW()-6)</f>
        <v/>
      </c>
      <c r="B908" s="83"/>
      <c r="C908" s="15"/>
      <c r="D908" s="15"/>
      <c r="E908" s="85"/>
      <c r="F908" s="15"/>
      <c r="G908" s="15"/>
      <c r="H908" s="96"/>
      <c r="I908" s="16"/>
      <c r="J908" s="37" t="str">
        <f aca="false">IF(I908="","",IF(H908="",1,H908)*I908)</f>
        <v/>
      </c>
      <c r="K908" s="15"/>
      <c r="L908" s="97" t="str">
        <f aca="false">IF(C908="","",IF(OR(C908="Material",C908="Equipo",C908="Suministro"),"Materiales y equipos",IF(C908="Mano de obra contratista","Mano de obra contratista",IF(C908="Transporte","Transporte y otros","Alquileres"))))</f>
        <v/>
      </c>
      <c r="M908" s="6"/>
    </row>
    <row r="909" customFormat="false" ht="16.5" hidden="false" customHeight="true" outlineLevel="0" collapsed="false">
      <c r="A909" s="95" t="str">
        <f aca="false">IF(AND(B909="",C909=""),"",ROW()-6)</f>
        <v/>
      </c>
      <c r="B909" s="83"/>
      <c r="C909" s="15"/>
      <c r="D909" s="15"/>
      <c r="E909" s="85"/>
      <c r="F909" s="15"/>
      <c r="G909" s="15"/>
      <c r="H909" s="96"/>
      <c r="I909" s="16"/>
      <c r="J909" s="37" t="str">
        <f aca="false">IF(I909="","",IF(H909="",1,H909)*I909)</f>
        <v/>
      </c>
      <c r="K909" s="15"/>
      <c r="L909" s="97" t="str">
        <f aca="false">IF(C909="","",IF(OR(C909="Material",C909="Equipo",C909="Suministro"),"Materiales y equipos",IF(C909="Mano de obra contratista","Mano de obra contratista",IF(C909="Transporte","Transporte y otros","Alquileres"))))</f>
        <v/>
      </c>
      <c r="M909" s="6"/>
    </row>
    <row r="910" customFormat="false" ht="16.5" hidden="false" customHeight="true" outlineLevel="0" collapsed="false">
      <c r="A910" s="95" t="str">
        <f aca="false">IF(AND(B910="",C910=""),"",ROW()-6)</f>
        <v/>
      </c>
      <c r="B910" s="83"/>
      <c r="C910" s="15"/>
      <c r="D910" s="15"/>
      <c r="E910" s="85"/>
      <c r="F910" s="15"/>
      <c r="G910" s="15"/>
      <c r="H910" s="96"/>
      <c r="I910" s="16"/>
      <c r="J910" s="37" t="str">
        <f aca="false">IF(I910="","",IF(H910="",1,H910)*I910)</f>
        <v/>
      </c>
      <c r="K910" s="15"/>
      <c r="L910" s="97" t="str">
        <f aca="false">IF(C910="","",IF(OR(C910="Material",C910="Equipo",C910="Suministro"),"Materiales y equipos",IF(C910="Mano de obra contratista","Mano de obra contratista",IF(C910="Transporte","Transporte y otros","Alquileres"))))</f>
        <v/>
      </c>
      <c r="M910" s="6"/>
    </row>
    <row r="911" customFormat="false" ht="16.5" hidden="false" customHeight="true" outlineLevel="0" collapsed="false">
      <c r="A911" s="95" t="str">
        <f aca="false">IF(AND(B911="",C911=""),"",ROW()-6)</f>
        <v/>
      </c>
      <c r="B911" s="83"/>
      <c r="C911" s="15"/>
      <c r="D911" s="15"/>
      <c r="E911" s="85"/>
      <c r="F911" s="15"/>
      <c r="G911" s="15"/>
      <c r="H911" s="96"/>
      <c r="I911" s="16"/>
      <c r="J911" s="37" t="str">
        <f aca="false">IF(I911="","",IF(H911="",1,H911)*I911)</f>
        <v/>
      </c>
      <c r="K911" s="15"/>
      <c r="L911" s="97" t="str">
        <f aca="false">IF(C911="","",IF(OR(C911="Material",C911="Equipo",C911="Suministro"),"Materiales y equipos",IF(C911="Mano de obra contratista","Mano de obra contratista",IF(C911="Transporte","Transporte y otros","Alquileres"))))</f>
        <v/>
      </c>
      <c r="M911" s="6"/>
    </row>
    <row r="912" customFormat="false" ht="16.5" hidden="false" customHeight="true" outlineLevel="0" collapsed="false">
      <c r="A912" s="95" t="str">
        <f aca="false">IF(AND(B912="",C912=""),"",ROW()-6)</f>
        <v/>
      </c>
      <c r="B912" s="83"/>
      <c r="C912" s="15"/>
      <c r="D912" s="15"/>
      <c r="E912" s="85"/>
      <c r="F912" s="15"/>
      <c r="G912" s="15"/>
      <c r="H912" s="96"/>
      <c r="I912" s="16"/>
      <c r="J912" s="37" t="str">
        <f aca="false">IF(I912="","",IF(H912="",1,H912)*I912)</f>
        <v/>
      </c>
      <c r="K912" s="15"/>
      <c r="L912" s="97" t="str">
        <f aca="false">IF(C912="","",IF(OR(C912="Material",C912="Equipo",C912="Suministro"),"Materiales y equipos",IF(C912="Mano de obra contratista","Mano de obra contratista",IF(C912="Transporte","Transporte y otros","Alquileres"))))</f>
        <v/>
      </c>
      <c r="M912" s="6"/>
    </row>
    <row r="913" customFormat="false" ht="16.5" hidden="false" customHeight="true" outlineLevel="0" collapsed="false">
      <c r="A913" s="95" t="str">
        <f aca="false">IF(AND(B913="",C913=""),"",ROW()-6)</f>
        <v/>
      </c>
      <c r="B913" s="83"/>
      <c r="C913" s="15"/>
      <c r="D913" s="15"/>
      <c r="E913" s="85"/>
      <c r="F913" s="15"/>
      <c r="G913" s="15"/>
      <c r="H913" s="96"/>
      <c r="I913" s="16"/>
      <c r="J913" s="37" t="str">
        <f aca="false">IF(I913="","",IF(H913="",1,H913)*I913)</f>
        <v/>
      </c>
      <c r="K913" s="15"/>
      <c r="L913" s="97" t="str">
        <f aca="false">IF(C913="","",IF(OR(C913="Material",C913="Equipo",C913="Suministro"),"Materiales y equipos",IF(C913="Mano de obra contratista","Mano de obra contratista",IF(C913="Transporte","Transporte y otros","Alquileres"))))</f>
        <v/>
      </c>
      <c r="M913" s="6"/>
    </row>
    <row r="914" customFormat="false" ht="16.5" hidden="false" customHeight="true" outlineLevel="0" collapsed="false">
      <c r="A914" s="95" t="str">
        <f aca="false">IF(AND(B914="",C914=""),"",ROW()-6)</f>
        <v/>
      </c>
      <c r="B914" s="83"/>
      <c r="C914" s="15"/>
      <c r="D914" s="15"/>
      <c r="E914" s="85"/>
      <c r="F914" s="15"/>
      <c r="G914" s="15"/>
      <c r="H914" s="96"/>
      <c r="I914" s="16"/>
      <c r="J914" s="37" t="str">
        <f aca="false">IF(I914="","",IF(H914="",1,H914)*I914)</f>
        <v/>
      </c>
      <c r="K914" s="15"/>
      <c r="L914" s="97" t="str">
        <f aca="false">IF(C914="","",IF(OR(C914="Material",C914="Equipo",C914="Suministro"),"Materiales y equipos",IF(C914="Mano de obra contratista","Mano de obra contratista",IF(C914="Transporte","Transporte y otros","Alquileres"))))</f>
        <v/>
      </c>
      <c r="M914" s="6"/>
    </row>
    <row r="915" customFormat="false" ht="16.5" hidden="false" customHeight="true" outlineLevel="0" collapsed="false">
      <c r="A915" s="95" t="str">
        <f aca="false">IF(AND(B915="",C915=""),"",ROW()-6)</f>
        <v/>
      </c>
      <c r="B915" s="83"/>
      <c r="C915" s="15"/>
      <c r="D915" s="15"/>
      <c r="E915" s="85"/>
      <c r="F915" s="15"/>
      <c r="G915" s="15"/>
      <c r="H915" s="96"/>
      <c r="I915" s="16"/>
      <c r="J915" s="37" t="str">
        <f aca="false">IF(I915="","",IF(H915="",1,H915)*I915)</f>
        <v/>
      </c>
      <c r="K915" s="15"/>
      <c r="L915" s="97" t="str">
        <f aca="false">IF(C915="","",IF(OR(C915="Material",C915="Equipo",C915="Suministro"),"Materiales y equipos",IF(C915="Mano de obra contratista","Mano de obra contratista",IF(C915="Transporte","Transporte y otros","Alquileres"))))</f>
        <v/>
      </c>
      <c r="M915" s="6"/>
    </row>
    <row r="916" customFormat="false" ht="16.5" hidden="false" customHeight="true" outlineLevel="0" collapsed="false">
      <c r="A916" s="95" t="str">
        <f aca="false">IF(AND(B916="",C916=""),"",ROW()-6)</f>
        <v/>
      </c>
      <c r="B916" s="83"/>
      <c r="C916" s="15"/>
      <c r="D916" s="15"/>
      <c r="E916" s="85"/>
      <c r="F916" s="15"/>
      <c r="G916" s="15"/>
      <c r="H916" s="96"/>
      <c r="I916" s="16"/>
      <c r="J916" s="37" t="str">
        <f aca="false">IF(I916="","",IF(H916="",1,H916)*I916)</f>
        <v/>
      </c>
      <c r="K916" s="15"/>
      <c r="L916" s="97" t="str">
        <f aca="false">IF(C916="","",IF(OR(C916="Material",C916="Equipo",C916="Suministro"),"Materiales y equipos",IF(C916="Mano de obra contratista","Mano de obra contratista",IF(C916="Transporte","Transporte y otros","Alquileres"))))</f>
        <v/>
      </c>
      <c r="M916" s="6"/>
    </row>
    <row r="917" customFormat="false" ht="16.5" hidden="false" customHeight="true" outlineLevel="0" collapsed="false">
      <c r="A917" s="95" t="str">
        <f aca="false">IF(AND(B917="",C917=""),"",ROW()-6)</f>
        <v/>
      </c>
      <c r="B917" s="83"/>
      <c r="C917" s="15"/>
      <c r="D917" s="15"/>
      <c r="E917" s="85"/>
      <c r="F917" s="15"/>
      <c r="G917" s="15"/>
      <c r="H917" s="96"/>
      <c r="I917" s="16"/>
      <c r="J917" s="37" t="str">
        <f aca="false">IF(I917="","",IF(H917="",1,H917)*I917)</f>
        <v/>
      </c>
      <c r="K917" s="15"/>
      <c r="L917" s="97" t="str">
        <f aca="false">IF(C917="","",IF(OR(C917="Material",C917="Equipo",C917="Suministro"),"Materiales y equipos",IF(C917="Mano de obra contratista","Mano de obra contratista",IF(C917="Transporte","Transporte y otros","Alquileres"))))</f>
        <v/>
      </c>
      <c r="M917" s="6"/>
    </row>
    <row r="918" customFormat="false" ht="16.5" hidden="false" customHeight="true" outlineLevel="0" collapsed="false">
      <c r="A918" s="95" t="str">
        <f aca="false">IF(AND(B918="",C918=""),"",ROW()-6)</f>
        <v/>
      </c>
      <c r="B918" s="83"/>
      <c r="C918" s="15"/>
      <c r="D918" s="15"/>
      <c r="E918" s="85"/>
      <c r="F918" s="15"/>
      <c r="G918" s="15"/>
      <c r="H918" s="96"/>
      <c r="I918" s="16"/>
      <c r="J918" s="37" t="str">
        <f aca="false">IF(I918="","",IF(H918="",1,H918)*I918)</f>
        <v/>
      </c>
      <c r="K918" s="15"/>
      <c r="L918" s="97" t="str">
        <f aca="false">IF(C918="","",IF(OR(C918="Material",C918="Equipo",C918="Suministro"),"Materiales y equipos",IF(C918="Mano de obra contratista","Mano de obra contratista",IF(C918="Transporte","Transporte y otros","Alquileres"))))</f>
        <v/>
      </c>
      <c r="M918" s="6"/>
    </row>
    <row r="919" customFormat="false" ht="16.5" hidden="false" customHeight="true" outlineLevel="0" collapsed="false">
      <c r="A919" s="95" t="str">
        <f aca="false">IF(AND(B919="",C919=""),"",ROW()-6)</f>
        <v/>
      </c>
      <c r="B919" s="83"/>
      <c r="C919" s="15"/>
      <c r="D919" s="15"/>
      <c r="E919" s="85"/>
      <c r="F919" s="15"/>
      <c r="G919" s="15"/>
      <c r="H919" s="96"/>
      <c r="I919" s="16"/>
      <c r="J919" s="37" t="str">
        <f aca="false">IF(I919="","",IF(H919="",1,H919)*I919)</f>
        <v/>
      </c>
      <c r="K919" s="15"/>
      <c r="L919" s="97" t="str">
        <f aca="false">IF(C919="","",IF(OR(C919="Material",C919="Equipo",C919="Suministro"),"Materiales y equipos",IF(C919="Mano de obra contratista","Mano de obra contratista",IF(C919="Transporte","Transporte y otros","Alquileres"))))</f>
        <v/>
      </c>
      <c r="M919" s="6"/>
    </row>
    <row r="920" customFormat="false" ht="16.5" hidden="false" customHeight="true" outlineLevel="0" collapsed="false">
      <c r="A920" s="95" t="str">
        <f aca="false">IF(AND(B920="",C920=""),"",ROW()-6)</f>
        <v/>
      </c>
      <c r="B920" s="83"/>
      <c r="C920" s="15"/>
      <c r="D920" s="15"/>
      <c r="E920" s="85"/>
      <c r="F920" s="15"/>
      <c r="G920" s="15"/>
      <c r="H920" s="96"/>
      <c r="I920" s="16"/>
      <c r="J920" s="37" t="str">
        <f aca="false">IF(I920="","",IF(H920="",1,H920)*I920)</f>
        <v/>
      </c>
      <c r="K920" s="15"/>
      <c r="L920" s="97" t="str">
        <f aca="false">IF(C920="","",IF(OR(C920="Material",C920="Equipo",C920="Suministro"),"Materiales y equipos",IF(C920="Mano de obra contratista","Mano de obra contratista",IF(C920="Transporte","Transporte y otros","Alquileres"))))</f>
        <v/>
      </c>
      <c r="M920" s="6"/>
    </row>
    <row r="921" customFormat="false" ht="16.5" hidden="false" customHeight="true" outlineLevel="0" collapsed="false">
      <c r="A921" s="95" t="str">
        <f aca="false">IF(AND(B921="",C921=""),"",ROW()-6)</f>
        <v/>
      </c>
      <c r="B921" s="83"/>
      <c r="C921" s="15"/>
      <c r="D921" s="15"/>
      <c r="E921" s="85"/>
      <c r="F921" s="15"/>
      <c r="G921" s="15"/>
      <c r="H921" s="96"/>
      <c r="I921" s="16"/>
      <c r="J921" s="37" t="str">
        <f aca="false">IF(I921="","",IF(H921="",1,H921)*I921)</f>
        <v/>
      </c>
      <c r="K921" s="15"/>
      <c r="L921" s="97" t="str">
        <f aca="false">IF(C921="","",IF(OR(C921="Material",C921="Equipo",C921="Suministro"),"Materiales y equipos",IF(C921="Mano de obra contratista","Mano de obra contratista",IF(C921="Transporte","Transporte y otros","Alquileres"))))</f>
        <v/>
      </c>
      <c r="M921" s="6"/>
    </row>
    <row r="922" customFormat="false" ht="16.5" hidden="false" customHeight="true" outlineLevel="0" collapsed="false">
      <c r="A922" s="95" t="str">
        <f aca="false">IF(AND(B922="",C922=""),"",ROW()-6)</f>
        <v/>
      </c>
      <c r="B922" s="83"/>
      <c r="C922" s="15"/>
      <c r="D922" s="15"/>
      <c r="E922" s="85"/>
      <c r="F922" s="15"/>
      <c r="G922" s="15"/>
      <c r="H922" s="96"/>
      <c r="I922" s="16"/>
      <c r="J922" s="37" t="str">
        <f aca="false">IF(I922="","",IF(H922="",1,H922)*I922)</f>
        <v/>
      </c>
      <c r="K922" s="15"/>
      <c r="L922" s="97" t="str">
        <f aca="false">IF(C922="","",IF(OR(C922="Material",C922="Equipo",C922="Suministro"),"Materiales y equipos",IF(C922="Mano de obra contratista","Mano de obra contratista",IF(C922="Transporte","Transporte y otros","Alquileres"))))</f>
        <v/>
      </c>
      <c r="M922" s="6"/>
    </row>
    <row r="923" customFormat="false" ht="16.5" hidden="false" customHeight="true" outlineLevel="0" collapsed="false">
      <c r="A923" s="95" t="str">
        <f aca="false">IF(AND(B923="",C923=""),"",ROW()-6)</f>
        <v/>
      </c>
      <c r="B923" s="83"/>
      <c r="C923" s="15"/>
      <c r="D923" s="15"/>
      <c r="E923" s="85"/>
      <c r="F923" s="15"/>
      <c r="G923" s="15"/>
      <c r="H923" s="96"/>
      <c r="I923" s="16"/>
      <c r="J923" s="37" t="str">
        <f aca="false">IF(I923="","",IF(H923="",1,H923)*I923)</f>
        <v/>
      </c>
      <c r="K923" s="15"/>
      <c r="L923" s="97" t="str">
        <f aca="false">IF(C923="","",IF(OR(C923="Material",C923="Equipo",C923="Suministro"),"Materiales y equipos",IF(C923="Mano de obra contratista","Mano de obra contratista",IF(C923="Transporte","Transporte y otros","Alquileres"))))</f>
        <v/>
      </c>
      <c r="M923" s="6"/>
    </row>
    <row r="924" customFormat="false" ht="16.5" hidden="false" customHeight="true" outlineLevel="0" collapsed="false">
      <c r="A924" s="95" t="str">
        <f aca="false">IF(AND(B924="",C924=""),"",ROW()-6)</f>
        <v/>
      </c>
      <c r="B924" s="83"/>
      <c r="C924" s="15"/>
      <c r="D924" s="15"/>
      <c r="E924" s="85"/>
      <c r="F924" s="15"/>
      <c r="G924" s="15"/>
      <c r="H924" s="96"/>
      <c r="I924" s="16"/>
      <c r="J924" s="37" t="str">
        <f aca="false">IF(I924="","",IF(H924="",1,H924)*I924)</f>
        <v/>
      </c>
      <c r="K924" s="15"/>
      <c r="L924" s="97" t="str">
        <f aca="false">IF(C924="","",IF(OR(C924="Material",C924="Equipo",C924="Suministro"),"Materiales y equipos",IF(C924="Mano de obra contratista","Mano de obra contratista",IF(C924="Transporte","Transporte y otros","Alquileres"))))</f>
        <v/>
      </c>
      <c r="M924" s="6"/>
    </row>
    <row r="925" customFormat="false" ht="16.5" hidden="false" customHeight="true" outlineLevel="0" collapsed="false">
      <c r="A925" s="95" t="str">
        <f aca="false">IF(AND(B925="",C925=""),"",ROW()-6)</f>
        <v/>
      </c>
      <c r="B925" s="83"/>
      <c r="C925" s="15"/>
      <c r="D925" s="15"/>
      <c r="E925" s="85"/>
      <c r="F925" s="15"/>
      <c r="G925" s="15"/>
      <c r="H925" s="96"/>
      <c r="I925" s="16"/>
      <c r="J925" s="37" t="str">
        <f aca="false">IF(I925="","",IF(H925="",1,H925)*I925)</f>
        <v/>
      </c>
      <c r="K925" s="15"/>
      <c r="L925" s="97" t="str">
        <f aca="false">IF(C925="","",IF(OR(C925="Material",C925="Equipo",C925="Suministro"),"Materiales y equipos",IF(C925="Mano de obra contratista","Mano de obra contratista",IF(C925="Transporte","Transporte y otros","Alquileres"))))</f>
        <v/>
      </c>
      <c r="M925" s="6"/>
    </row>
    <row r="926" customFormat="false" ht="16.5" hidden="false" customHeight="true" outlineLevel="0" collapsed="false">
      <c r="A926" s="95" t="str">
        <f aca="false">IF(AND(B926="",C926=""),"",ROW()-6)</f>
        <v/>
      </c>
      <c r="B926" s="83"/>
      <c r="C926" s="15"/>
      <c r="D926" s="15"/>
      <c r="E926" s="85"/>
      <c r="F926" s="15"/>
      <c r="G926" s="15"/>
      <c r="H926" s="96"/>
      <c r="I926" s="16"/>
      <c r="J926" s="37" t="str">
        <f aca="false">IF(I926="","",IF(H926="",1,H926)*I926)</f>
        <v/>
      </c>
      <c r="K926" s="15"/>
      <c r="L926" s="97" t="str">
        <f aca="false">IF(C926="","",IF(OR(C926="Material",C926="Equipo",C926="Suministro"),"Materiales y equipos",IF(C926="Mano de obra contratista","Mano de obra contratista",IF(C926="Transporte","Transporte y otros","Alquileres"))))</f>
        <v/>
      </c>
      <c r="M926" s="6"/>
    </row>
    <row r="927" customFormat="false" ht="16.5" hidden="false" customHeight="true" outlineLevel="0" collapsed="false">
      <c r="A927" s="95" t="str">
        <f aca="false">IF(AND(B927="",C927=""),"",ROW()-6)</f>
        <v/>
      </c>
      <c r="B927" s="83"/>
      <c r="C927" s="15"/>
      <c r="D927" s="15"/>
      <c r="E927" s="85"/>
      <c r="F927" s="15"/>
      <c r="G927" s="15"/>
      <c r="H927" s="96"/>
      <c r="I927" s="16"/>
      <c r="J927" s="37" t="str">
        <f aca="false">IF(I927="","",IF(H927="",1,H927)*I927)</f>
        <v/>
      </c>
      <c r="K927" s="15"/>
      <c r="L927" s="97" t="str">
        <f aca="false">IF(C927="","",IF(OR(C927="Material",C927="Equipo",C927="Suministro"),"Materiales y equipos",IF(C927="Mano de obra contratista","Mano de obra contratista",IF(C927="Transporte","Transporte y otros","Alquileres"))))</f>
        <v/>
      </c>
      <c r="M927" s="6"/>
    </row>
    <row r="928" customFormat="false" ht="16.5" hidden="false" customHeight="true" outlineLevel="0" collapsed="false">
      <c r="A928" s="95" t="str">
        <f aca="false">IF(AND(B928="",C928=""),"",ROW()-6)</f>
        <v/>
      </c>
      <c r="B928" s="83"/>
      <c r="C928" s="15"/>
      <c r="D928" s="15"/>
      <c r="E928" s="85"/>
      <c r="F928" s="15"/>
      <c r="G928" s="15"/>
      <c r="H928" s="96"/>
      <c r="I928" s="16"/>
      <c r="J928" s="37" t="str">
        <f aca="false">IF(I928="","",IF(H928="",1,H928)*I928)</f>
        <v/>
      </c>
      <c r="K928" s="15"/>
      <c r="L928" s="97" t="str">
        <f aca="false">IF(C928="","",IF(OR(C928="Material",C928="Equipo",C928="Suministro"),"Materiales y equipos",IF(C928="Mano de obra contratista","Mano de obra contratista",IF(C928="Transporte","Transporte y otros","Alquileres"))))</f>
        <v/>
      </c>
      <c r="M928" s="6"/>
    </row>
    <row r="929" customFormat="false" ht="16.5" hidden="false" customHeight="true" outlineLevel="0" collapsed="false">
      <c r="A929" s="95" t="str">
        <f aca="false">IF(AND(B929="",C929=""),"",ROW()-6)</f>
        <v/>
      </c>
      <c r="B929" s="83"/>
      <c r="C929" s="15"/>
      <c r="D929" s="15"/>
      <c r="E929" s="85"/>
      <c r="F929" s="15"/>
      <c r="G929" s="15"/>
      <c r="H929" s="96"/>
      <c r="I929" s="16"/>
      <c r="J929" s="37" t="str">
        <f aca="false">IF(I929="","",IF(H929="",1,H929)*I929)</f>
        <v/>
      </c>
      <c r="K929" s="15"/>
      <c r="L929" s="97" t="str">
        <f aca="false">IF(C929="","",IF(OR(C929="Material",C929="Equipo",C929="Suministro"),"Materiales y equipos",IF(C929="Mano de obra contratista","Mano de obra contratista",IF(C929="Transporte","Transporte y otros","Alquileres"))))</f>
        <v/>
      </c>
      <c r="M929" s="6"/>
    </row>
    <row r="930" customFormat="false" ht="16.5" hidden="false" customHeight="true" outlineLevel="0" collapsed="false">
      <c r="A930" s="95" t="str">
        <f aca="false">IF(AND(B930="",C930=""),"",ROW()-6)</f>
        <v/>
      </c>
      <c r="B930" s="83"/>
      <c r="C930" s="15"/>
      <c r="D930" s="15"/>
      <c r="E930" s="85"/>
      <c r="F930" s="15"/>
      <c r="G930" s="15"/>
      <c r="H930" s="96"/>
      <c r="I930" s="16"/>
      <c r="J930" s="37" t="str">
        <f aca="false">IF(I930="","",IF(H930="",1,H930)*I930)</f>
        <v/>
      </c>
      <c r="K930" s="15"/>
      <c r="L930" s="97" t="str">
        <f aca="false">IF(C930="","",IF(OR(C930="Material",C930="Equipo",C930="Suministro"),"Materiales y equipos",IF(C930="Mano de obra contratista","Mano de obra contratista",IF(C930="Transporte","Transporte y otros","Alquileres"))))</f>
        <v/>
      </c>
      <c r="M930" s="6"/>
    </row>
    <row r="931" customFormat="false" ht="16.5" hidden="false" customHeight="true" outlineLevel="0" collapsed="false">
      <c r="A931" s="95" t="str">
        <f aca="false">IF(AND(B931="",C931=""),"",ROW()-6)</f>
        <v/>
      </c>
      <c r="B931" s="83"/>
      <c r="C931" s="15"/>
      <c r="D931" s="15"/>
      <c r="E931" s="85"/>
      <c r="F931" s="15"/>
      <c r="G931" s="15"/>
      <c r="H931" s="96"/>
      <c r="I931" s="16"/>
      <c r="J931" s="37" t="str">
        <f aca="false">IF(I931="","",IF(H931="",1,H931)*I931)</f>
        <v/>
      </c>
      <c r="K931" s="15"/>
      <c r="L931" s="97" t="str">
        <f aca="false">IF(C931="","",IF(OR(C931="Material",C931="Equipo",C931="Suministro"),"Materiales y equipos",IF(C931="Mano de obra contratista","Mano de obra contratista",IF(C931="Transporte","Transporte y otros","Alquileres"))))</f>
        <v/>
      </c>
      <c r="M931" s="6"/>
    </row>
    <row r="932" customFormat="false" ht="16.5" hidden="false" customHeight="true" outlineLevel="0" collapsed="false">
      <c r="A932" s="95" t="str">
        <f aca="false">IF(AND(B932="",C932=""),"",ROW()-6)</f>
        <v/>
      </c>
      <c r="B932" s="83"/>
      <c r="C932" s="15"/>
      <c r="D932" s="15"/>
      <c r="E932" s="85"/>
      <c r="F932" s="15"/>
      <c r="G932" s="15"/>
      <c r="H932" s="96"/>
      <c r="I932" s="16"/>
      <c r="J932" s="37" t="str">
        <f aca="false">IF(I932="","",IF(H932="",1,H932)*I932)</f>
        <v/>
      </c>
      <c r="K932" s="15"/>
      <c r="L932" s="97" t="str">
        <f aca="false">IF(C932="","",IF(OR(C932="Material",C932="Equipo",C932="Suministro"),"Materiales y equipos",IF(C932="Mano de obra contratista","Mano de obra contratista",IF(C932="Transporte","Transporte y otros","Alquileres"))))</f>
        <v/>
      </c>
      <c r="M932" s="6"/>
    </row>
    <row r="933" customFormat="false" ht="16.5" hidden="false" customHeight="true" outlineLevel="0" collapsed="false">
      <c r="A933" s="95" t="str">
        <f aca="false">IF(AND(B933="",C933=""),"",ROW()-6)</f>
        <v/>
      </c>
      <c r="B933" s="83"/>
      <c r="C933" s="15"/>
      <c r="D933" s="15"/>
      <c r="E933" s="85"/>
      <c r="F933" s="15"/>
      <c r="G933" s="15"/>
      <c r="H933" s="96"/>
      <c r="I933" s="16"/>
      <c r="J933" s="37" t="str">
        <f aca="false">IF(I933="","",IF(H933="",1,H933)*I933)</f>
        <v/>
      </c>
      <c r="K933" s="15"/>
      <c r="L933" s="97" t="str">
        <f aca="false">IF(C933="","",IF(OR(C933="Material",C933="Equipo",C933="Suministro"),"Materiales y equipos",IF(C933="Mano de obra contratista","Mano de obra contratista",IF(C933="Transporte","Transporte y otros","Alquileres"))))</f>
        <v/>
      </c>
      <c r="M933" s="6"/>
    </row>
    <row r="934" customFormat="false" ht="16.5" hidden="false" customHeight="true" outlineLevel="0" collapsed="false">
      <c r="A934" s="95" t="str">
        <f aca="false">IF(AND(B934="",C934=""),"",ROW()-6)</f>
        <v/>
      </c>
      <c r="B934" s="83"/>
      <c r="C934" s="15"/>
      <c r="D934" s="15"/>
      <c r="E934" s="85"/>
      <c r="F934" s="15"/>
      <c r="G934" s="15"/>
      <c r="H934" s="96"/>
      <c r="I934" s="16"/>
      <c r="J934" s="37" t="str">
        <f aca="false">IF(I934="","",IF(H934="",1,H934)*I934)</f>
        <v/>
      </c>
      <c r="K934" s="15"/>
      <c r="L934" s="97" t="str">
        <f aca="false">IF(C934="","",IF(OR(C934="Material",C934="Equipo",C934="Suministro"),"Materiales y equipos",IF(C934="Mano de obra contratista","Mano de obra contratista",IF(C934="Transporte","Transporte y otros","Alquileres"))))</f>
        <v/>
      </c>
      <c r="M934" s="6"/>
    </row>
    <row r="935" customFormat="false" ht="16.5" hidden="false" customHeight="true" outlineLevel="0" collapsed="false">
      <c r="A935" s="95" t="str">
        <f aca="false">IF(AND(B935="",C935=""),"",ROW()-6)</f>
        <v/>
      </c>
      <c r="B935" s="83"/>
      <c r="C935" s="15"/>
      <c r="D935" s="15"/>
      <c r="E935" s="85"/>
      <c r="F935" s="15"/>
      <c r="G935" s="15"/>
      <c r="H935" s="96"/>
      <c r="I935" s="16"/>
      <c r="J935" s="37" t="str">
        <f aca="false">IF(I935="","",IF(H935="",1,H935)*I935)</f>
        <v/>
      </c>
      <c r="K935" s="15"/>
      <c r="L935" s="97" t="str">
        <f aca="false">IF(C935="","",IF(OR(C935="Material",C935="Equipo",C935="Suministro"),"Materiales y equipos",IF(C935="Mano de obra contratista","Mano de obra contratista",IF(C935="Transporte","Transporte y otros","Alquileres"))))</f>
        <v/>
      </c>
      <c r="M935" s="6"/>
    </row>
    <row r="936" customFormat="false" ht="16.5" hidden="false" customHeight="true" outlineLevel="0" collapsed="false">
      <c r="A936" s="95" t="str">
        <f aca="false">IF(AND(B936="",C936=""),"",ROW()-6)</f>
        <v/>
      </c>
      <c r="B936" s="83"/>
      <c r="C936" s="15"/>
      <c r="D936" s="15"/>
      <c r="E936" s="85"/>
      <c r="F936" s="15"/>
      <c r="G936" s="15"/>
      <c r="H936" s="96"/>
      <c r="I936" s="16"/>
      <c r="J936" s="37" t="str">
        <f aca="false">IF(I936="","",IF(H936="",1,H936)*I936)</f>
        <v/>
      </c>
      <c r="K936" s="15"/>
      <c r="L936" s="97" t="str">
        <f aca="false">IF(C936="","",IF(OR(C936="Material",C936="Equipo",C936="Suministro"),"Materiales y equipos",IF(C936="Mano de obra contratista","Mano de obra contratista",IF(C936="Transporte","Transporte y otros","Alquileres"))))</f>
        <v/>
      </c>
      <c r="M936" s="6"/>
    </row>
    <row r="937" customFormat="false" ht="16.5" hidden="false" customHeight="true" outlineLevel="0" collapsed="false">
      <c r="A937" s="95" t="str">
        <f aca="false">IF(AND(B937="",C937=""),"",ROW()-6)</f>
        <v/>
      </c>
      <c r="B937" s="83"/>
      <c r="C937" s="15"/>
      <c r="D937" s="15"/>
      <c r="E937" s="85"/>
      <c r="F937" s="15"/>
      <c r="G937" s="15"/>
      <c r="H937" s="96"/>
      <c r="I937" s="16"/>
      <c r="J937" s="37" t="str">
        <f aca="false">IF(I937="","",IF(H937="",1,H937)*I937)</f>
        <v/>
      </c>
      <c r="K937" s="15"/>
      <c r="L937" s="97" t="str">
        <f aca="false">IF(C937="","",IF(OR(C937="Material",C937="Equipo",C937="Suministro"),"Materiales y equipos",IF(C937="Mano de obra contratista","Mano de obra contratista",IF(C937="Transporte","Transporte y otros","Alquileres"))))</f>
        <v/>
      </c>
      <c r="M937" s="6"/>
    </row>
    <row r="938" customFormat="false" ht="16.5" hidden="false" customHeight="true" outlineLevel="0" collapsed="false">
      <c r="A938" s="95" t="str">
        <f aca="false">IF(AND(B938="",C938=""),"",ROW()-6)</f>
        <v/>
      </c>
      <c r="B938" s="83"/>
      <c r="C938" s="15"/>
      <c r="D938" s="15"/>
      <c r="E938" s="85"/>
      <c r="F938" s="15"/>
      <c r="G938" s="15"/>
      <c r="H938" s="96"/>
      <c r="I938" s="16"/>
      <c r="J938" s="37" t="str">
        <f aca="false">IF(I938="","",IF(H938="",1,H938)*I938)</f>
        <v/>
      </c>
      <c r="K938" s="15"/>
      <c r="L938" s="97" t="str">
        <f aca="false">IF(C938="","",IF(OR(C938="Material",C938="Equipo",C938="Suministro"),"Materiales y equipos",IF(C938="Mano de obra contratista","Mano de obra contratista",IF(C938="Transporte","Transporte y otros","Alquileres"))))</f>
        <v/>
      </c>
      <c r="M938" s="6"/>
    </row>
    <row r="939" customFormat="false" ht="16.5" hidden="false" customHeight="true" outlineLevel="0" collapsed="false">
      <c r="A939" s="95" t="str">
        <f aca="false">IF(AND(B939="",C939=""),"",ROW()-6)</f>
        <v/>
      </c>
      <c r="B939" s="83"/>
      <c r="C939" s="15"/>
      <c r="D939" s="15"/>
      <c r="E939" s="85"/>
      <c r="F939" s="15"/>
      <c r="G939" s="15"/>
      <c r="H939" s="96"/>
      <c r="I939" s="16"/>
      <c r="J939" s="37" t="str">
        <f aca="false">IF(I939="","",IF(H939="",1,H939)*I939)</f>
        <v/>
      </c>
      <c r="K939" s="15"/>
      <c r="L939" s="97" t="str">
        <f aca="false">IF(C939="","",IF(OR(C939="Material",C939="Equipo",C939="Suministro"),"Materiales y equipos",IF(C939="Mano de obra contratista","Mano de obra contratista",IF(C939="Transporte","Transporte y otros","Alquileres"))))</f>
        <v/>
      </c>
      <c r="M939" s="6"/>
    </row>
    <row r="940" customFormat="false" ht="16.5" hidden="false" customHeight="true" outlineLevel="0" collapsed="false">
      <c r="A940" s="95" t="str">
        <f aca="false">IF(AND(B940="",C940=""),"",ROW()-6)</f>
        <v/>
      </c>
      <c r="B940" s="83"/>
      <c r="C940" s="15"/>
      <c r="D940" s="15"/>
      <c r="E940" s="85"/>
      <c r="F940" s="15"/>
      <c r="G940" s="15"/>
      <c r="H940" s="96"/>
      <c r="I940" s="16"/>
      <c r="J940" s="37" t="str">
        <f aca="false">IF(I940="","",IF(H940="",1,H940)*I940)</f>
        <v/>
      </c>
      <c r="K940" s="15"/>
      <c r="L940" s="97" t="str">
        <f aca="false">IF(C940="","",IF(OR(C940="Material",C940="Equipo",C940="Suministro"),"Materiales y equipos",IF(C940="Mano de obra contratista","Mano de obra contratista",IF(C940="Transporte","Transporte y otros","Alquileres"))))</f>
        <v/>
      </c>
      <c r="M940" s="6"/>
    </row>
    <row r="941" customFormat="false" ht="16.5" hidden="false" customHeight="true" outlineLevel="0" collapsed="false">
      <c r="A941" s="95" t="str">
        <f aca="false">IF(AND(B941="",C941=""),"",ROW()-6)</f>
        <v/>
      </c>
      <c r="B941" s="83"/>
      <c r="C941" s="15"/>
      <c r="D941" s="15"/>
      <c r="E941" s="85"/>
      <c r="F941" s="15"/>
      <c r="G941" s="15"/>
      <c r="H941" s="96"/>
      <c r="I941" s="16"/>
      <c r="J941" s="37" t="str">
        <f aca="false">IF(I941="","",IF(H941="",1,H941)*I941)</f>
        <v/>
      </c>
      <c r="K941" s="15"/>
      <c r="L941" s="97" t="str">
        <f aca="false">IF(C941="","",IF(OR(C941="Material",C941="Equipo",C941="Suministro"),"Materiales y equipos",IF(C941="Mano de obra contratista","Mano de obra contratista",IF(C941="Transporte","Transporte y otros","Alquileres"))))</f>
        <v/>
      </c>
      <c r="M941" s="6"/>
    </row>
    <row r="942" customFormat="false" ht="16.5" hidden="false" customHeight="true" outlineLevel="0" collapsed="false">
      <c r="A942" s="95" t="str">
        <f aca="false">IF(AND(B942="",C942=""),"",ROW()-6)</f>
        <v/>
      </c>
      <c r="B942" s="83"/>
      <c r="C942" s="15"/>
      <c r="D942" s="15"/>
      <c r="E942" s="85"/>
      <c r="F942" s="15"/>
      <c r="G942" s="15"/>
      <c r="H942" s="96"/>
      <c r="I942" s="16"/>
      <c r="J942" s="37" t="str">
        <f aca="false">IF(I942="","",IF(H942="",1,H942)*I942)</f>
        <v/>
      </c>
      <c r="K942" s="15"/>
      <c r="L942" s="97" t="str">
        <f aca="false">IF(C942="","",IF(OR(C942="Material",C942="Equipo",C942="Suministro"),"Materiales y equipos",IF(C942="Mano de obra contratista","Mano de obra contratista",IF(C942="Transporte","Transporte y otros","Alquileres"))))</f>
        <v/>
      </c>
      <c r="M942" s="6"/>
    </row>
    <row r="943" customFormat="false" ht="16.5" hidden="false" customHeight="true" outlineLevel="0" collapsed="false">
      <c r="A943" s="95" t="str">
        <f aca="false">IF(AND(B943="",C943=""),"",ROW()-6)</f>
        <v/>
      </c>
      <c r="B943" s="83"/>
      <c r="C943" s="15"/>
      <c r="D943" s="15"/>
      <c r="E943" s="85"/>
      <c r="F943" s="15"/>
      <c r="G943" s="15"/>
      <c r="H943" s="96"/>
      <c r="I943" s="16"/>
      <c r="J943" s="37" t="str">
        <f aca="false">IF(I943="","",IF(H943="",1,H943)*I943)</f>
        <v/>
      </c>
      <c r="K943" s="15"/>
      <c r="L943" s="97" t="str">
        <f aca="false">IF(C943="","",IF(OR(C943="Material",C943="Equipo",C943="Suministro"),"Materiales y equipos",IF(C943="Mano de obra contratista","Mano de obra contratista",IF(C943="Transporte","Transporte y otros","Alquileres"))))</f>
        <v/>
      </c>
      <c r="M943" s="6"/>
    </row>
    <row r="944" customFormat="false" ht="16.5" hidden="false" customHeight="true" outlineLevel="0" collapsed="false">
      <c r="A944" s="95" t="str">
        <f aca="false">IF(AND(B944="",C944=""),"",ROW()-6)</f>
        <v/>
      </c>
      <c r="B944" s="83"/>
      <c r="C944" s="15"/>
      <c r="D944" s="15"/>
      <c r="E944" s="85"/>
      <c r="F944" s="15"/>
      <c r="G944" s="15"/>
      <c r="H944" s="96"/>
      <c r="I944" s="16"/>
      <c r="J944" s="37" t="str">
        <f aca="false">IF(I944="","",IF(H944="",1,H944)*I944)</f>
        <v/>
      </c>
      <c r="K944" s="15"/>
      <c r="L944" s="97" t="str">
        <f aca="false">IF(C944="","",IF(OR(C944="Material",C944="Equipo",C944="Suministro"),"Materiales y equipos",IF(C944="Mano de obra contratista","Mano de obra contratista",IF(C944="Transporte","Transporte y otros","Alquileres"))))</f>
        <v/>
      </c>
      <c r="M944" s="6"/>
    </row>
    <row r="945" customFormat="false" ht="16.5" hidden="false" customHeight="true" outlineLevel="0" collapsed="false">
      <c r="A945" s="95" t="str">
        <f aca="false">IF(AND(B945="",C945=""),"",ROW()-6)</f>
        <v/>
      </c>
      <c r="B945" s="83"/>
      <c r="C945" s="15"/>
      <c r="D945" s="15"/>
      <c r="E945" s="85"/>
      <c r="F945" s="15"/>
      <c r="G945" s="15"/>
      <c r="H945" s="96"/>
      <c r="I945" s="16"/>
      <c r="J945" s="37" t="str">
        <f aca="false">IF(I945="","",IF(H945="",1,H945)*I945)</f>
        <v/>
      </c>
      <c r="K945" s="15"/>
      <c r="L945" s="97" t="str">
        <f aca="false">IF(C945="","",IF(OR(C945="Material",C945="Equipo",C945="Suministro"),"Materiales y equipos",IF(C945="Mano de obra contratista","Mano de obra contratista",IF(C945="Transporte","Transporte y otros","Alquileres"))))</f>
        <v/>
      </c>
      <c r="M945" s="6"/>
    </row>
    <row r="946" customFormat="false" ht="16.5" hidden="false" customHeight="true" outlineLevel="0" collapsed="false">
      <c r="A946" s="95" t="str">
        <f aca="false">IF(AND(B946="",C946=""),"",ROW()-6)</f>
        <v/>
      </c>
      <c r="B946" s="83"/>
      <c r="C946" s="15"/>
      <c r="D946" s="15"/>
      <c r="E946" s="85"/>
      <c r="F946" s="15"/>
      <c r="G946" s="15"/>
      <c r="H946" s="96"/>
      <c r="I946" s="16"/>
      <c r="J946" s="37" t="str">
        <f aca="false">IF(I946="","",IF(H946="",1,H946)*I946)</f>
        <v/>
      </c>
      <c r="K946" s="15"/>
      <c r="L946" s="97" t="str">
        <f aca="false">IF(C946="","",IF(OR(C946="Material",C946="Equipo",C946="Suministro"),"Materiales y equipos",IF(C946="Mano de obra contratista","Mano de obra contratista",IF(C946="Transporte","Transporte y otros","Alquileres"))))</f>
        <v/>
      </c>
      <c r="M946" s="6"/>
    </row>
    <row r="947" customFormat="false" ht="16.5" hidden="false" customHeight="true" outlineLevel="0" collapsed="false">
      <c r="A947" s="95" t="str">
        <f aca="false">IF(AND(B947="",C947=""),"",ROW()-6)</f>
        <v/>
      </c>
      <c r="B947" s="83"/>
      <c r="C947" s="15"/>
      <c r="D947" s="15"/>
      <c r="E947" s="85"/>
      <c r="F947" s="15"/>
      <c r="G947" s="15"/>
      <c r="H947" s="96"/>
      <c r="I947" s="16"/>
      <c r="J947" s="37" t="str">
        <f aca="false">IF(I947="","",IF(H947="",1,H947)*I947)</f>
        <v/>
      </c>
      <c r="K947" s="15"/>
      <c r="L947" s="97" t="str">
        <f aca="false">IF(C947="","",IF(OR(C947="Material",C947="Equipo",C947="Suministro"),"Materiales y equipos",IF(C947="Mano de obra contratista","Mano de obra contratista",IF(C947="Transporte","Transporte y otros","Alquileres"))))</f>
        <v/>
      </c>
      <c r="M947" s="6"/>
    </row>
    <row r="948" customFormat="false" ht="16.5" hidden="false" customHeight="true" outlineLevel="0" collapsed="false">
      <c r="A948" s="95" t="str">
        <f aca="false">IF(AND(B948="",C948=""),"",ROW()-6)</f>
        <v/>
      </c>
      <c r="B948" s="83"/>
      <c r="C948" s="15"/>
      <c r="D948" s="15"/>
      <c r="E948" s="85"/>
      <c r="F948" s="15"/>
      <c r="G948" s="15"/>
      <c r="H948" s="96"/>
      <c r="I948" s="16"/>
      <c r="J948" s="37" t="str">
        <f aca="false">IF(I948="","",IF(H948="",1,H948)*I948)</f>
        <v/>
      </c>
      <c r="K948" s="15"/>
      <c r="L948" s="97" t="str">
        <f aca="false">IF(C948="","",IF(OR(C948="Material",C948="Equipo",C948="Suministro"),"Materiales y equipos",IF(C948="Mano de obra contratista","Mano de obra contratista",IF(C948="Transporte","Transporte y otros","Alquileres"))))</f>
        <v/>
      </c>
      <c r="M948" s="6"/>
    </row>
    <row r="949" customFormat="false" ht="16.5" hidden="false" customHeight="true" outlineLevel="0" collapsed="false">
      <c r="A949" s="95" t="str">
        <f aca="false">IF(AND(B949="",C949=""),"",ROW()-6)</f>
        <v/>
      </c>
      <c r="B949" s="83"/>
      <c r="C949" s="15"/>
      <c r="D949" s="15"/>
      <c r="E949" s="85"/>
      <c r="F949" s="15"/>
      <c r="G949" s="15"/>
      <c r="H949" s="96"/>
      <c r="I949" s="16"/>
      <c r="J949" s="37" t="str">
        <f aca="false">IF(I949="","",IF(H949="",1,H949)*I949)</f>
        <v/>
      </c>
      <c r="K949" s="15"/>
      <c r="L949" s="97" t="str">
        <f aca="false">IF(C949="","",IF(OR(C949="Material",C949="Equipo",C949="Suministro"),"Materiales y equipos",IF(C949="Mano de obra contratista","Mano de obra contratista",IF(C949="Transporte","Transporte y otros","Alquileres"))))</f>
        <v/>
      </c>
      <c r="M949" s="6"/>
    </row>
    <row r="950" customFormat="false" ht="16.5" hidden="false" customHeight="true" outlineLevel="0" collapsed="false">
      <c r="A950" s="95" t="str">
        <f aca="false">IF(AND(B950="",C950=""),"",ROW()-6)</f>
        <v/>
      </c>
      <c r="B950" s="83"/>
      <c r="C950" s="15"/>
      <c r="D950" s="15"/>
      <c r="E950" s="85"/>
      <c r="F950" s="15"/>
      <c r="G950" s="15"/>
      <c r="H950" s="96"/>
      <c r="I950" s="16"/>
      <c r="J950" s="37" t="str">
        <f aca="false">IF(I950="","",IF(H950="",1,H950)*I950)</f>
        <v/>
      </c>
      <c r="K950" s="15"/>
      <c r="L950" s="97" t="str">
        <f aca="false">IF(C950="","",IF(OR(C950="Material",C950="Equipo",C950="Suministro"),"Materiales y equipos",IF(C950="Mano de obra contratista","Mano de obra contratista",IF(C950="Transporte","Transporte y otros","Alquileres"))))</f>
        <v/>
      </c>
      <c r="M950" s="6"/>
    </row>
    <row r="951" customFormat="false" ht="16.5" hidden="false" customHeight="true" outlineLevel="0" collapsed="false">
      <c r="A951" s="95" t="str">
        <f aca="false">IF(AND(B951="",C951=""),"",ROW()-6)</f>
        <v/>
      </c>
      <c r="B951" s="83"/>
      <c r="C951" s="15"/>
      <c r="D951" s="15"/>
      <c r="E951" s="85"/>
      <c r="F951" s="15"/>
      <c r="G951" s="15"/>
      <c r="H951" s="96"/>
      <c r="I951" s="16"/>
      <c r="J951" s="37" t="str">
        <f aca="false">IF(I951="","",IF(H951="",1,H951)*I951)</f>
        <v/>
      </c>
      <c r="K951" s="15"/>
      <c r="L951" s="97" t="str">
        <f aca="false">IF(C951="","",IF(OR(C951="Material",C951="Equipo",C951="Suministro"),"Materiales y equipos",IF(C951="Mano de obra contratista","Mano de obra contratista",IF(C951="Transporte","Transporte y otros","Alquileres"))))</f>
        <v/>
      </c>
      <c r="M951" s="6"/>
    </row>
    <row r="952" customFormat="false" ht="16.5" hidden="false" customHeight="true" outlineLevel="0" collapsed="false">
      <c r="A952" s="95" t="str">
        <f aca="false">IF(AND(B952="",C952=""),"",ROW()-6)</f>
        <v/>
      </c>
      <c r="B952" s="83"/>
      <c r="C952" s="15"/>
      <c r="D952" s="15"/>
      <c r="E952" s="85"/>
      <c r="F952" s="15"/>
      <c r="G952" s="15"/>
      <c r="H952" s="96"/>
      <c r="I952" s="16"/>
      <c r="J952" s="37" t="str">
        <f aca="false">IF(I952="","",IF(H952="",1,H952)*I952)</f>
        <v/>
      </c>
      <c r="K952" s="15"/>
      <c r="L952" s="97" t="str">
        <f aca="false">IF(C952="","",IF(OR(C952="Material",C952="Equipo",C952="Suministro"),"Materiales y equipos",IF(C952="Mano de obra contratista","Mano de obra contratista",IF(C952="Transporte","Transporte y otros","Alquileres"))))</f>
        <v/>
      </c>
      <c r="M952" s="6"/>
    </row>
    <row r="953" customFormat="false" ht="16.5" hidden="false" customHeight="true" outlineLevel="0" collapsed="false">
      <c r="A953" s="95" t="str">
        <f aca="false">IF(AND(B953="",C953=""),"",ROW()-6)</f>
        <v/>
      </c>
      <c r="B953" s="83"/>
      <c r="C953" s="15"/>
      <c r="D953" s="15"/>
      <c r="E953" s="85"/>
      <c r="F953" s="15"/>
      <c r="G953" s="15"/>
      <c r="H953" s="96"/>
      <c r="I953" s="16"/>
      <c r="J953" s="37" t="str">
        <f aca="false">IF(I953="","",IF(H953="",1,H953)*I953)</f>
        <v/>
      </c>
      <c r="K953" s="15"/>
      <c r="L953" s="97" t="str">
        <f aca="false">IF(C953="","",IF(OR(C953="Material",C953="Equipo",C953="Suministro"),"Materiales y equipos",IF(C953="Mano de obra contratista","Mano de obra contratista",IF(C953="Transporte","Transporte y otros","Alquileres"))))</f>
        <v/>
      </c>
      <c r="M953" s="6"/>
    </row>
    <row r="954" customFormat="false" ht="16.5" hidden="false" customHeight="true" outlineLevel="0" collapsed="false">
      <c r="A954" s="95" t="str">
        <f aca="false">IF(AND(B954="",C954=""),"",ROW()-6)</f>
        <v/>
      </c>
      <c r="B954" s="83"/>
      <c r="C954" s="15"/>
      <c r="D954" s="15"/>
      <c r="E954" s="85"/>
      <c r="F954" s="15"/>
      <c r="G954" s="15"/>
      <c r="H954" s="96"/>
      <c r="I954" s="16"/>
      <c r="J954" s="37" t="str">
        <f aca="false">IF(I954="","",IF(H954="",1,H954)*I954)</f>
        <v/>
      </c>
      <c r="K954" s="15"/>
      <c r="L954" s="97" t="str">
        <f aca="false">IF(C954="","",IF(OR(C954="Material",C954="Equipo",C954="Suministro"),"Materiales y equipos",IF(C954="Mano de obra contratista","Mano de obra contratista",IF(C954="Transporte","Transporte y otros","Alquileres"))))</f>
        <v/>
      </c>
      <c r="M954" s="6"/>
    </row>
    <row r="955" customFormat="false" ht="16.5" hidden="false" customHeight="true" outlineLevel="0" collapsed="false">
      <c r="A955" s="95" t="str">
        <f aca="false">IF(AND(B955="",C955=""),"",ROW()-6)</f>
        <v/>
      </c>
      <c r="B955" s="83"/>
      <c r="C955" s="15"/>
      <c r="D955" s="15"/>
      <c r="E955" s="85"/>
      <c r="F955" s="15"/>
      <c r="G955" s="15"/>
      <c r="H955" s="96"/>
      <c r="I955" s="16"/>
      <c r="J955" s="37" t="str">
        <f aca="false">IF(I955="","",IF(H955="",1,H955)*I955)</f>
        <v/>
      </c>
      <c r="K955" s="15"/>
      <c r="L955" s="97" t="str">
        <f aca="false">IF(C955="","",IF(OR(C955="Material",C955="Equipo",C955="Suministro"),"Materiales y equipos",IF(C955="Mano de obra contratista","Mano de obra contratista",IF(C955="Transporte","Transporte y otros","Alquileres"))))</f>
        <v/>
      </c>
      <c r="M955" s="6"/>
    </row>
    <row r="956" customFormat="false" ht="16.5" hidden="false" customHeight="true" outlineLevel="0" collapsed="false">
      <c r="A956" s="95" t="str">
        <f aca="false">IF(AND(B956="",C956=""),"",ROW()-6)</f>
        <v/>
      </c>
      <c r="B956" s="83"/>
      <c r="C956" s="15"/>
      <c r="D956" s="15"/>
      <c r="E956" s="85"/>
      <c r="F956" s="15"/>
      <c r="G956" s="15"/>
      <c r="H956" s="96"/>
      <c r="I956" s="16"/>
      <c r="J956" s="37" t="str">
        <f aca="false">IF(I956="","",IF(H956="",1,H956)*I956)</f>
        <v/>
      </c>
      <c r="K956" s="15"/>
      <c r="L956" s="97" t="str">
        <f aca="false">IF(C956="","",IF(OR(C956="Material",C956="Equipo",C956="Suministro"),"Materiales y equipos",IF(C956="Mano de obra contratista","Mano de obra contratista",IF(C956="Transporte","Transporte y otros","Alquileres"))))</f>
        <v/>
      </c>
      <c r="M956" s="6"/>
    </row>
    <row r="957" customFormat="false" ht="16.5" hidden="false" customHeight="true" outlineLevel="0" collapsed="false">
      <c r="A957" s="95" t="str">
        <f aca="false">IF(AND(B957="",C957=""),"",ROW()-6)</f>
        <v/>
      </c>
      <c r="B957" s="83"/>
      <c r="C957" s="15"/>
      <c r="D957" s="15"/>
      <c r="E957" s="85"/>
      <c r="F957" s="15"/>
      <c r="G957" s="15"/>
      <c r="H957" s="96"/>
      <c r="I957" s="16"/>
      <c r="J957" s="37" t="str">
        <f aca="false">IF(I957="","",IF(H957="",1,H957)*I957)</f>
        <v/>
      </c>
      <c r="K957" s="15"/>
      <c r="L957" s="97" t="str">
        <f aca="false">IF(C957="","",IF(OR(C957="Material",C957="Equipo",C957="Suministro"),"Materiales y equipos",IF(C957="Mano de obra contratista","Mano de obra contratista",IF(C957="Transporte","Transporte y otros","Alquileres"))))</f>
        <v/>
      </c>
      <c r="M957" s="6"/>
    </row>
    <row r="958" customFormat="false" ht="16.5" hidden="false" customHeight="true" outlineLevel="0" collapsed="false">
      <c r="A958" s="95" t="str">
        <f aca="false">IF(AND(B958="",C958=""),"",ROW()-6)</f>
        <v/>
      </c>
      <c r="B958" s="83"/>
      <c r="C958" s="15"/>
      <c r="D958" s="15"/>
      <c r="E958" s="85"/>
      <c r="F958" s="15"/>
      <c r="G958" s="15"/>
      <c r="H958" s="96"/>
      <c r="I958" s="16"/>
      <c r="J958" s="37" t="str">
        <f aca="false">IF(I958="","",IF(H958="",1,H958)*I958)</f>
        <v/>
      </c>
      <c r="K958" s="15"/>
      <c r="L958" s="97" t="str">
        <f aca="false">IF(C958="","",IF(OR(C958="Material",C958="Equipo",C958="Suministro"),"Materiales y equipos",IF(C958="Mano de obra contratista","Mano de obra contratista",IF(C958="Transporte","Transporte y otros","Alquileres"))))</f>
        <v/>
      </c>
      <c r="M958" s="6"/>
    </row>
    <row r="959" customFormat="false" ht="16.5" hidden="false" customHeight="true" outlineLevel="0" collapsed="false">
      <c r="A959" s="95" t="str">
        <f aca="false">IF(AND(B959="",C959=""),"",ROW()-6)</f>
        <v/>
      </c>
      <c r="B959" s="83"/>
      <c r="C959" s="15"/>
      <c r="D959" s="15"/>
      <c r="E959" s="85"/>
      <c r="F959" s="15"/>
      <c r="G959" s="15"/>
      <c r="H959" s="96"/>
      <c r="I959" s="16"/>
      <c r="J959" s="37" t="str">
        <f aca="false">IF(I959="","",IF(H959="",1,H959)*I959)</f>
        <v/>
      </c>
      <c r="K959" s="15"/>
      <c r="L959" s="97" t="str">
        <f aca="false">IF(C959="","",IF(OR(C959="Material",C959="Equipo",C959="Suministro"),"Materiales y equipos",IF(C959="Mano de obra contratista","Mano de obra contratista",IF(C959="Transporte","Transporte y otros","Alquileres"))))</f>
        <v/>
      </c>
      <c r="M959" s="6"/>
    </row>
    <row r="960" customFormat="false" ht="16.5" hidden="false" customHeight="true" outlineLevel="0" collapsed="false">
      <c r="A960" s="95" t="str">
        <f aca="false">IF(AND(B960="",C960=""),"",ROW()-6)</f>
        <v/>
      </c>
      <c r="B960" s="83"/>
      <c r="C960" s="15"/>
      <c r="D960" s="15"/>
      <c r="E960" s="85"/>
      <c r="F960" s="15"/>
      <c r="G960" s="15"/>
      <c r="H960" s="96"/>
      <c r="I960" s="16"/>
      <c r="J960" s="37" t="str">
        <f aca="false">IF(I960="","",IF(H960="",1,H960)*I960)</f>
        <v/>
      </c>
      <c r="K960" s="15"/>
      <c r="L960" s="97" t="str">
        <f aca="false">IF(C960="","",IF(OR(C960="Material",C960="Equipo",C960="Suministro"),"Materiales y equipos",IF(C960="Mano de obra contratista","Mano de obra contratista",IF(C960="Transporte","Transporte y otros","Alquileres"))))</f>
        <v/>
      </c>
      <c r="M960" s="6"/>
    </row>
    <row r="961" customFormat="false" ht="16.5" hidden="false" customHeight="true" outlineLevel="0" collapsed="false">
      <c r="A961" s="95" t="str">
        <f aca="false">IF(AND(B961="",C961=""),"",ROW()-6)</f>
        <v/>
      </c>
      <c r="B961" s="83"/>
      <c r="C961" s="15"/>
      <c r="D961" s="15"/>
      <c r="E961" s="85"/>
      <c r="F961" s="15"/>
      <c r="G961" s="15"/>
      <c r="H961" s="96"/>
      <c r="I961" s="16"/>
      <c r="J961" s="37" t="str">
        <f aca="false">IF(I961="","",IF(H961="",1,H961)*I961)</f>
        <v/>
      </c>
      <c r="K961" s="15"/>
      <c r="L961" s="97" t="str">
        <f aca="false">IF(C961="","",IF(OR(C961="Material",C961="Equipo",C961="Suministro"),"Materiales y equipos",IF(C961="Mano de obra contratista","Mano de obra contratista",IF(C961="Transporte","Transporte y otros","Alquileres"))))</f>
        <v/>
      </c>
      <c r="M961" s="6"/>
    </row>
    <row r="962" customFormat="false" ht="16.5" hidden="false" customHeight="true" outlineLevel="0" collapsed="false">
      <c r="A962" s="95" t="str">
        <f aca="false">IF(AND(B962="",C962=""),"",ROW()-6)</f>
        <v/>
      </c>
      <c r="B962" s="83"/>
      <c r="C962" s="15"/>
      <c r="D962" s="15"/>
      <c r="E962" s="85"/>
      <c r="F962" s="15"/>
      <c r="G962" s="15"/>
      <c r="H962" s="96"/>
      <c r="I962" s="16"/>
      <c r="J962" s="37" t="str">
        <f aca="false">IF(I962="","",IF(H962="",1,H962)*I962)</f>
        <v/>
      </c>
      <c r="K962" s="15"/>
      <c r="L962" s="97" t="str">
        <f aca="false">IF(C962="","",IF(OR(C962="Material",C962="Equipo",C962="Suministro"),"Materiales y equipos",IF(C962="Mano de obra contratista","Mano de obra contratista",IF(C962="Transporte","Transporte y otros","Alquileres"))))</f>
        <v/>
      </c>
      <c r="M962" s="6"/>
    </row>
    <row r="963" customFormat="false" ht="16.5" hidden="false" customHeight="true" outlineLevel="0" collapsed="false">
      <c r="A963" s="95" t="str">
        <f aca="false">IF(AND(B963="",C963=""),"",ROW()-6)</f>
        <v/>
      </c>
      <c r="B963" s="83"/>
      <c r="C963" s="15"/>
      <c r="D963" s="15"/>
      <c r="E963" s="85"/>
      <c r="F963" s="15"/>
      <c r="G963" s="15"/>
      <c r="H963" s="96"/>
      <c r="I963" s="16"/>
      <c r="J963" s="37" t="str">
        <f aca="false">IF(I963="","",IF(H963="",1,H963)*I963)</f>
        <v/>
      </c>
      <c r="K963" s="15"/>
      <c r="L963" s="97" t="str">
        <f aca="false">IF(C963="","",IF(OR(C963="Material",C963="Equipo",C963="Suministro"),"Materiales y equipos",IF(C963="Mano de obra contratista","Mano de obra contratista",IF(C963="Transporte","Transporte y otros","Alquileres"))))</f>
        <v/>
      </c>
      <c r="M963" s="6"/>
    </row>
    <row r="964" customFormat="false" ht="16.5" hidden="false" customHeight="true" outlineLevel="0" collapsed="false">
      <c r="A964" s="95" t="str">
        <f aca="false">IF(AND(B964="",C964=""),"",ROW()-6)</f>
        <v/>
      </c>
      <c r="B964" s="83"/>
      <c r="C964" s="15"/>
      <c r="D964" s="15"/>
      <c r="E964" s="85"/>
      <c r="F964" s="15"/>
      <c r="G964" s="15"/>
      <c r="H964" s="96"/>
      <c r="I964" s="16"/>
      <c r="J964" s="37" t="str">
        <f aca="false">IF(I964="","",IF(H964="",1,H964)*I964)</f>
        <v/>
      </c>
      <c r="K964" s="15"/>
      <c r="L964" s="97" t="str">
        <f aca="false">IF(C964="","",IF(OR(C964="Material",C964="Equipo",C964="Suministro"),"Materiales y equipos",IF(C964="Mano de obra contratista","Mano de obra contratista",IF(C964="Transporte","Transporte y otros","Alquileres"))))</f>
        <v/>
      </c>
      <c r="M964" s="6"/>
    </row>
    <row r="965" customFormat="false" ht="16.5" hidden="false" customHeight="true" outlineLevel="0" collapsed="false">
      <c r="A965" s="95" t="str">
        <f aca="false">IF(AND(B965="",C965=""),"",ROW()-6)</f>
        <v/>
      </c>
      <c r="B965" s="83"/>
      <c r="C965" s="15"/>
      <c r="D965" s="15"/>
      <c r="E965" s="85"/>
      <c r="F965" s="15"/>
      <c r="G965" s="15"/>
      <c r="H965" s="96"/>
      <c r="I965" s="16"/>
      <c r="J965" s="37" t="str">
        <f aca="false">IF(I965="","",IF(H965="",1,H965)*I965)</f>
        <v/>
      </c>
      <c r="K965" s="15"/>
      <c r="L965" s="97" t="str">
        <f aca="false">IF(C965="","",IF(OR(C965="Material",C965="Equipo",C965="Suministro"),"Materiales y equipos",IF(C965="Mano de obra contratista","Mano de obra contratista",IF(C965="Transporte","Transporte y otros","Alquileres"))))</f>
        <v/>
      </c>
      <c r="M965" s="6"/>
    </row>
    <row r="966" customFormat="false" ht="16.5" hidden="false" customHeight="true" outlineLevel="0" collapsed="false">
      <c r="A966" s="95" t="str">
        <f aca="false">IF(AND(B966="",C966=""),"",ROW()-6)</f>
        <v/>
      </c>
      <c r="B966" s="83"/>
      <c r="C966" s="15"/>
      <c r="D966" s="15"/>
      <c r="E966" s="85"/>
      <c r="F966" s="15"/>
      <c r="G966" s="15"/>
      <c r="H966" s="96"/>
      <c r="I966" s="16"/>
      <c r="J966" s="37" t="str">
        <f aca="false">IF(I966="","",IF(H966="",1,H966)*I966)</f>
        <v/>
      </c>
      <c r="K966" s="15"/>
      <c r="L966" s="97" t="str">
        <f aca="false">IF(C966="","",IF(OR(C966="Material",C966="Equipo",C966="Suministro"),"Materiales y equipos",IF(C966="Mano de obra contratista","Mano de obra contratista",IF(C966="Transporte","Transporte y otros","Alquileres"))))</f>
        <v/>
      </c>
      <c r="M966" s="6"/>
    </row>
    <row r="967" customFormat="false" ht="16.5" hidden="false" customHeight="true" outlineLevel="0" collapsed="false">
      <c r="A967" s="95" t="str">
        <f aca="false">IF(AND(B967="",C967=""),"",ROW()-6)</f>
        <v/>
      </c>
      <c r="B967" s="83"/>
      <c r="C967" s="15"/>
      <c r="D967" s="15"/>
      <c r="E967" s="85"/>
      <c r="F967" s="15"/>
      <c r="G967" s="15"/>
      <c r="H967" s="96"/>
      <c r="I967" s="16"/>
      <c r="J967" s="37" t="str">
        <f aca="false">IF(I967="","",IF(H967="",1,H967)*I967)</f>
        <v/>
      </c>
      <c r="K967" s="15"/>
      <c r="L967" s="97" t="str">
        <f aca="false">IF(C967="","",IF(OR(C967="Material",C967="Equipo",C967="Suministro"),"Materiales y equipos",IF(C967="Mano de obra contratista","Mano de obra contratista",IF(C967="Transporte","Transporte y otros","Alquileres"))))</f>
        <v/>
      </c>
      <c r="M967" s="6"/>
    </row>
    <row r="968" customFormat="false" ht="16.5" hidden="false" customHeight="true" outlineLevel="0" collapsed="false">
      <c r="A968" s="95" t="str">
        <f aca="false">IF(AND(B968="",C968=""),"",ROW()-6)</f>
        <v/>
      </c>
      <c r="B968" s="83"/>
      <c r="C968" s="15"/>
      <c r="D968" s="15"/>
      <c r="E968" s="85"/>
      <c r="F968" s="15"/>
      <c r="G968" s="15"/>
      <c r="H968" s="96"/>
      <c r="I968" s="16"/>
      <c r="J968" s="37" t="str">
        <f aca="false">IF(I968="","",IF(H968="",1,H968)*I968)</f>
        <v/>
      </c>
      <c r="K968" s="15"/>
      <c r="L968" s="97" t="str">
        <f aca="false">IF(C968="","",IF(OR(C968="Material",C968="Equipo",C968="Suministro"),"Materiales y equipos",IF(C968="Mano de obra contratista","Mano de obra contratista",IF(C968="Transporte","Transporte y otros","Alquileres"))))</f>
        <v/>
      </c>
      <c r="M968" s="6"/>
    </row>
    <row r="969" customFormat="false" ht="16.5" hidden="false" customHeight="true" outlineLevel="0" collapsed="false">
      <c r="A969" s="95" t="str">
        <f aca="false">IF(AND(B969="",C969=""),"",ROW()-6)</f>
        <v/>
      </c>
      <c r="B969" s="83"/>
      <c r="C969" s="15"/>
      <c r="D969" s="15"/>
      <c r="E969" s="85"/>
      <c r="F969" s="15"/>
      <c r="G969" s="15"/>
      <c r="H969" s="96"/>
      <c r="I969" s="16"/>
      <c r="J969" s="37" t="str">
        <f aca="false">IF(I969="","",IF(H969="",1,H969)*I969)</f>
        <v/>
      </c>
      <c r="K969" s="15"/>
      <c r="L969" s="97" t="str">
        <f aca="false">IF(C969="","",IF(OR(C969="Material",C969="Equipo",C969="Suministro"),"Materiales y equipos",IF(C969="Mano de obra contratista","Mano de obra contratista",IF(C969="Transporte","Transporte y otros","Alquileres"))))</f>
        <v/>
      </c>
      <c r="M969" s="6"/>
    </row>
    <row r="970" customFormat="false" ht="16.5" hidden="false" customHeight="true" outlineLevel="0" collapsed="false">
      <c r="A970" s="95" t="str">
        <f aca="false">IF(AND(B970="",C970=""),"",ROW()-6)</f>
        <v/>
      </c>
      <c r="B970" s="83"/>
      <c r="C970" s="15"/>
      <c r="D970" s="15"/>
      <c r="E970" s="85"/>
      <c r="F970" s="15"/>
      <c r="G970" s="15"/>
      <c r="H970" s="96"/>
      <c r="I970" s="16"/>
      <c r="J970" s="37" t="str">
        <f aca="false">IF(I970="","",IF(H970="",1,H970)*I970)</f>
        <v/>
      </c>
      <c r="K970" s="15"/>
      <c r="L970" s="97" t="str">
        <f aca="false">IF(C970="","",IF(OR(C970="Material",C970="Equipo",C970="Suministro"),"Materiales y equipos",IF(C970="Mano de obra contratista","Mano de obra contratista",IF(C970="Transporte","Transporte y otros","Alquileres"))))</f>
        <v/>
      </c>
      <c r="M970" s="6"/>
    </row>
    <row r="971" customFormat="false" ht="16.5" hidden="false" customHeight="true" outlineLevel="0" collapsed="false">
      <c r="A971" s="95" t="str">
        <f aca="false">IF(AND(B971="",C971=""),"",ROW()-6)</f>
        <v/>
      </c>
      <c r="B971" s="83"/>
      <c r="C971" s="15"/>
      <c r="D971" s="15"/>
      <c r="E971" s="85"/>
      <c r="F971" s="15"/>
      <c r="G971" s="15"/>
      <c r="H971" s="96"/>
      <c r="I971" s="16"/>
      <c r="J971" s="37" t="str">
        <f aca="false">IF(I971="","",IF(H971="",1,H971)*I971)</f>
        <v/>
      </c>
      <c r="K971" s="15"/>
      <c r="L971" s="97" t="str">
        <f aca="false">IF(C971="","",IF(OR(C971="Material",C971="Equipo",C971="Suministro"),"Materiales y equipos",IF(C971="Mano de obra contratista","Mano de obra contratista",IF(C971="Transporte","Transporte y otros","Alquileres"))))</f>
        <v/>
      </c>
      <c r="M971" s="6"/>
    </row>
    <row r="972" customFormat="false" ht="16.5" hidden="false" customHeight="true" outlineLevel="0" collapsed="false">
      <c r="A972" s="95" t="str">
        <f aca="false">IF(AND(B972="",C972=""),"",ROW()-6)</f>
        <v/>
      </c>
      <c r="B972" s="83"/>
      <c r="C972" s="15"/>
      <c r="D972" s="15"/>
      <c r="E972" s="85"/>
      <c r="F972" s="15"/>
      <c r="G972" s="15"/>
      <c r="H972" s="96"/>
      <c r="I972" s="16"/>
      <c r="J972" s="37" t="str">
        <f aca="false">IF(I972="","",IF(H972="",1,H972)*I972)</f>
        <v/>
      </c>
      <c r="K972" s="15"/>
      <c r="L972" s="97" t="str">
        <f aca="false">IF(C972="","",IF(OR(C972="Material",C972="Equipo",C972="Suministro"),"Materiales y equipos",IF(C972="Mano de obra contratista","Mano de obra contratista",IF(C972="Transporte","Transporte y otros","Alquileres"))))</f>
        <v/>
      </c>
      <c r="M972" s="6"/>
    </row>
    <row r="973" customFormat="false" ht="16.5" hidden="false" customHeight="true" outlineLevel="0" collapsed="false">
      <c r="A973" s="95" t="str">
        <f aca="false">IF(AND(B973="",C973=""),"",ROW()-6)</f>
        <v/>
      </c>
      <c r="B973" s="83"/>
      <c r="C973" s="15"/>
      <c r="D973" s="15"/>
      <c r="E973" s="85"/>
      <c r="F973" s="15"/>
      <c r="G973" s="15"/>
      <c r="H973" s="96"/>
      <c r="I973" s="16"/>
      <c r="J973" s="37" t="str">
        <f aca="false">IF(I973="","",IF(H973="",1,H973)*I973)</f>
        <v/>
      </c>
      <c r="K973" s="15"/>
      <c r="L973" s="97" t="str">
        <f aca="false">IF(C973="","",IF(OR(C973="Material",C973="Equipo",C973="Suministro"),"Materiales y equipos",IF(C973="Mano de obra contratista","Mano de obra contratista",IF(C973="Transporte","Transporte y otros","Alquileres"))))</f>
        <v/>
      </c>
      <c r="M973" s="6"/>
    </row>
    <row r="974" customFormat="false" ht="16.5" hidden="false" customHeight="true" outlineLevel="0" collapsed="false">
      <c r="A974" s="95" t="str">
        <f aca="false">IF(AND(B974="",C974=""),"",ROW()-6)</f>
        <v/>
      </c>
      <c r="B974" s="83"/>
      <c r="C974" s="15"/>
      <c r="D974" s="15"/>
      <c r="E974" s="85"/>
      <c r="F974" s="15"/>
      <c r="G974" s="15"/>
      <c r="H974" s="96"/>
      <c r="I974" s="16"/>
      <c r="J974" s="37" t="str">
        <f aca="false">IF(I974="","",IF(H974="",1,H974)*I974)</f>
        <v/>
      </c>
      <c r="K974" s="15"/>
      <c r="L974" s="97" t="str">
        <f aca="false">IF(C974="","",IF(OR(C974="Material",C974="Equipo",C974="Suministro"),"Materiales y equipos",IF(C974="Mano de obra contratista","Mano de obra contratista",IF(C974="Transporte","Transporte y otros","Alquileres"))))</f>
        <v/>
      </c>
      <c r="M974" s="6"/>
    </row>
    <row r="975" customFormat="false" ht="16.5" hidden="false" customHeight="true" outlineLevel="0" collapsed="false">
      <c r="A975" s="95" t="str">
        <f aca="false">IF(AND(B975="",C975=""),"",ROW()-6)</f>
        <v/>
      </c>
      <c r="B975" s="83"/>
      <c r="C975" s="15"/>
      <c r="D975" s="15"/>
      <c r="E975" s="85"/>
      <c r="F975" s="15"/>
      <c r="G975" s="15"/>
      <c r="H975" s="96"/>
      <c r="I975" s="16"/>
      <c r="J975" s="37" t="str">
        <f aca="false">IF(I975="","",IF(H975="",1,H975)*I975)</f>
        <v/>
      </c>
      <c r="K975" s="15"/>
      <c r="L975" s="97" t="str">
        <f aca="false">IF(C975="","",IF(OR(C975="Material",C975="Equipo",C975="Suministro"),"Materiales y equipos",IF(C975="Mano de obra contratista","Mano de obra contratista",IF(C975="Transporte","Transporte y otros","Alquileres"))))</f>
        <v/>
      </c>
      <c r="M975" s="6"/>
    </row>
    <row r="976" customFormat="false" ht="16.5" hidden="false" customHeight="true" outlineLevel="0" collapsed="false">
      <c r="A976" s="95" t="str">
        <f aca="false">IF(AND(B976="",C976=""),"",ROW()-6)</f>
        <v/>
      </c>
      <c r="B976" s="83"/>
      <c r="C976" s="15"/>
      <c r="D976" s="15"/>
      <c r="E976" s="85"/>
      <c r="F976" s="15"/>
      <c r="G976" s="15"/>
      <c r="H976" s="96"/>
      <c r="I976" s="16"/>
      <c r="J976" s="37" t="str">
        <f aca="false">IF(I976="","",IF(H976="",1,H976)*I976)</f>
        <v/>
      </c>
      <c r="K976" s="15"/>
      <c r="L976" s="97" t="str">
        <f aca="false">IF(C976="","",IF(OR(C976="Material",C976="Equipo",C976="Suministro"),"Materiales y equipos",IF(C976="Mano de obra contratista","Mano de obra contratista",IF(C976="Transporte","Transporte y otros","Alquileres"))))</f>
        <v/>
      </c>
      <c r="M976" s="6"/>
    </row>
    <row r="977" customFormat="false" ht="16.5" hidden="false" customHeight="true" outlineLevel="0" collapsed="false">
      <c r="A977" s="95" t="str">
        <f aca="false">IF(AND(B977="",C977=""),"",ROW()-6)</f>
        <v/>
      </c>
      <c r="B977" s="83"/>
      <c r="C977" s="15"/>
      <c r="D977" s="15"/>
      <c r="E977" s="85"/>
      <c r="F977" s="15"/>
      <c r="G977" s="15"/>
      <c r="H977" s="96"/>
      <c r="I977" s="16"/>
      <c r="J977" s="37" t="str">
        <f aca="false">IF(I977="","",IF(H977="",1,H977)*I977)</f>
        <v/>
      </c>
      <c r="K977" s="15"/>
      <c r="L977" s="97" t="str">
        <f aca="false">IF(C977="","",IF(OR(C977="Material",C977="Equipo",C977="Suministro"),"Materiales y equipos",IF(C977="Mano de obra contratista","Mano de obra contratista",IF(C977="Transporte","Transporte y otros","Alquileres"))))</f>
        <v/>
      </c>
      <c r="M977" s="6"/>
    </row>
    <row r="978" customFormat="false" ht="16.5" hidden="false" customHeight="true" outlineLevel="0" collapsed="false">
      <c r="A978" s="95" t="str">
        <f aca="false">IF(AND(B978="",C978=""),"",ROW()-6)</f>
        <v/>
      </c>
      <c r="B978" s="83"/>
      <c r="C978" s="15"/>
      <c r="D978" s="15"/>
      <c r="E978" s="85"/>
      <c r="F978" s="15"/>
      <c r="G978" s="15"/>
      <c r="H978" s="96"/>
      <c r="I978" s="16"/>
      <c r="J978" s="37" t="str">
        <f aca="false">IF(I978="","",IF(H978="",1,H978)*I978)</f>
        <v/>
      </c>
      <c r="K978" s="15"/>
      <c r="L978" s="97" t="str">
        <f aca="false">IF(C978="","",IF(OR(C978="Material",C978="Equipo",C978="Suministro"),"Materiales y equipos",IF(C978="Mano de obra contratista","Mano de obra contratista",IF(C978="Transporte","Transporte y otros","Alquileres"))))</f>
        <v/>
      </c>
      <c r="M978" s="6"/>
    </row>
    <row r="979" customFormat="false" ht="16.5" hidden="false" customHeight="true" outlineLevel="0" collapsed="false">
      <c r="A979" s="95" t="str">
        <f aca="false">IF(AND(B979="",C979=""),"",ROW()-6)</f>
        <v/>
      </c>
      <c r="B979" s="83"/>
      <c r="C979" s="15"/>
      <c r="D979" s="15"/>
      <c r="E979" s="85"/>
      <c r="F979" s="15"/>
      <c r="G979" s="15"/>
      <c r="H979" s="96"/>
      <c r="I979" s="16"/>
      <c r="J979" s="37" t="str">
        <f aca="false">IF(I979="","",IF(H979="",1,H979)*I979)</f>
        <v/>
      </c>
      <c r="K979" s="15"/>
      <c r="L979" s="97" t="str">
        <f aca="false">IF(C979="","",IF(OR(C979="Material",C979="Equipo",C979="Suministro"),"Materiales y equipos",IF(C979="Mano de obra contratista","Mano de obra contratista",IF(C979="Transporte","Transporte y otros","Alquileres"))))</f>
        <v/>
      </c>
      <c r="M979" s="6"/>
    </row>
    <row r="980" customFormat="false" ht="16.5" hidden="false" customHeight="true" outlineLevel="0" collapsed="false">
      <c r="A980" s="95" t="str">
        <f aca="false">IF(AND(B980="",C980=""),"",ROW()-6)</f>
        <v/>
      </c>
      <c r="B980" s="83"/>
      <c r="C980" s="15"/>
      <c r="D980" s="15"/>
      <c r="E980" s="85"/>
      <c r="F980" s="15"/>
      <c r="G980" s="15"/>
      <c r="H980" s="96"/>
      <c r="I980" s="16"/>
      <c r="J980" s="37" t="str">
        <f aca="false">IF(I980="","",IF(H980="",1,H980)*I980)</f>
        <v/>
      </c>
      <c r="K980" s="15"/>
      <c r="L980" s="97" t="str">
        <f aca="false">IF(C980="","",IF(OR(C980="Material",C980="Equipo",C980="Suministro"),"Materiales y equipos",IF(C980="Mano de obra contratista","Mano de obra contratista",IF(C980="Transporte","Transporte y otros","Alquileres"))))</f>
        <v/>
      </c>
      <c r="M980" s="6"/>
    </row>
    <row r="981" customFormat="false" ht="16.5" hidden="false" customHeight="true" outlineLevel="0" collapsed="false">
      <c r="A981" s="95" t="str">
        <f aca="false">IF(AND(B981="",C981=""),"",ROW()-6)</f>
        <v/>
      </c>
      <c r="B981" s="83"/>
      <c r="C981" s="15"/>
      <c r="D981" s="15"/>
      <c r="E981" s="85"/>
      <c r="F981" s="15"/>
      <c r="G981" s="15"/>
      <c r="H981" s="96"/>
      <c r="I981" s="16"/>
      <c r="J981" s="37" t="str">
        <f aca="false">IF(I981="","",IF(H981="",1,H981)*I981)</f>
        <v/>
      </c>
      <c r="K981" s="15"/>
      <c r="L981" s="97" t="str">
        <f aca="false">IF(C981="","",IF(OR(C981="Material",C981="Equipo",C981="Suministro"),"Materiales y equipos",IF(C981="Mano de obra contratista","Mano de obra contratista",IF(C981="Transporte","Transporte y otros","Alquileres"))))</f>
        <v/>
      </c>
      <c r="M981" s="6"/>
    </row>
    <row r="982" customFormat="false" ht="16.5" hidden="false" customHeight="true" outlineLevel="0" collapsed="false">
      <c r="A982" s="95" t="str">
        <f aca="false">IF(AND(B982="",C982=""),"",ROW()-6)</f>
        <v/>
      </c>
      <c r="B982" s="83"/>
      <c r="C982" s="15"/>
      <c r="D982" s="15"/>
      <c r="E982" s="85"/>
      <c r="F982" s="15"/>
      <c r="G982" s="15"/>
      <c r="H982" s="96"/>
      <c r="I982" s="16"/>
      <c r="J982" s="37" t="str">
        <f aca="false">IF(I982="","",IF(H982="",1,H982)*I982)</f>
        <v/>
      </c>
      <c r="K982" s="15"/>
      <c r="L982" s="97" t="str">
        <f aca="false">IF(C982="","",IF(OR(C982="Material",C982="Equipo",C982="Suministro"),"Materiales y equipos",IF(C982="Mano de obra contratista","Mano de obra contratista",IF(C982="Transporte","Transporte y otros","Alquileres"))))</f>
        <v/>
      </c>
      <c r="M982" s="6"/>
    </row>
    <row r="983" customFormat="false" ht="16.5" hidden="false" customHeight="true" outlineLevel="0" collapsed="false">
      <c r="A983" s="95" t="str">
        <f aca="false">IF(AND(B983="",C983=""),"",ROW()-6)</f>
        <v/>
      </c>
      <c r="B983" s="83"/>
      <c r="C983" s="15"/>
      <c r="D983" s="15"/>
      <c r="E983" s="85"/>
      <c r="F983" s="15"/>
      <c r="G983" s="15"/>
      <c r="H983" s="96"/>
      <c r="I983" s="16"/>
      <c r="J983" s="37" t="str">
        <f aca="false">IF(I983="","",IF(H983="",1,H983)*I983)</f>
        <v/>
      </c>
      <c r="K983" s="15"/>
      <c r="L983" s="97" t="str">
        <f aca="false">IF(C983="","",IF(OR(C983="Material",C983="Equipo",C983="Suministro"),"Materiales y equipos",IF(C983="Mano de obra contratista","Mano de obra contratista",IF(C983="Transporte","Transporte y otros","Alquileres"))))</f>
        <v/>
      </c>
      <c r="M983" s="6"/>
    </row>
    <row r="984" customFormat="false" ht="16.5" hidden="false" customHeight="true" outlineLevel="0" collapsed="false">
      <c r="A984" s="95" t="str">
        <f aca="false">IF(AND(B984="",C984=""),"",ROW()-6)</f>
        <v/>
      </c>
      <c r="B984" s="83"/>
      <c r="C984" s="15"/>
      <c r="D984" s="15"/>
      <c r="E984" s="85"/>
      <c r="F984" s="15"/>
      <c r="G984" s="15"/>
      <c r="H984" s="96"/>
      <c r="I984" s="16"/>
      <c r="J984" s="37" t="str">
        <f aca="false">IF(I984="","",IF(H984="",1,H984)*I984)</f>
        <v/>
      </c>
      <c r="K984" s="15"/>
      <c r="L984" s="97" t="str">
        <f aca="false">IF(C984="","",IF(OR(C984="Material",C984="Equipo",C984="Suministro"),"Materiales y equipos",IF(C984="Mano de obra contratista","Mano de obra contratista",IF(C984="Transporte","Transporte y otros","Alquileres"))))</f>
        <v/>
      </c>
      <c r="M984" s="6"/>
    </row>
    <row r="985" customFormat="false" ht="16.5" hidden="false" customHeight="true" outlineLevel="0" collapsed="false">
      <c r="A985" s="95" t="str">
        <f aca="false">IF(AND(B985="",C985=""),"",ROW()-6)</f>
        <v/>
      </c>
      <c r="B985" s="83"/>
      <c r="C985" s="15"/>
      <c r="D985" s="15"/>
      <c r="E985" s="85"/>
      <c r="F985" s="15"/>
      <c r="G985" s="15"/>
      <c r="H985" s="96"/>
      <c r="I985" s="16"/>
      <c r="J985" s="37" t="str">
        <f aca="false">IF(I985="","",IF(H985="",1,H985)*I985)</f>
        <v/>
      </c>
      <c r="K985" s="15"/>
      <c r="L985" s="97" t="str">
        <f aca="false">IF(C985="","",IF(OR(C985="Material",C985="Equipo",C985="Suministro"),"Materiales y equipos",IF(C985="Mano de obra contratista","Mano de obra contratista",IF(C985="Transporte","Transporte y otros","Alquileres"))))</f>
        <v/>
      </c>
      <c r="M985" s="6"/>
    </row>
    <row r="986" customFormat="false" ht="16.5" hidden="false" customHeight="true" outlineLevel="0" collapsed="false">
      <c r="A986" s="95" t="str">
        <f aca="false">IF(AND(B986="",C986=""),"",ROW()-6)</f>
        <v/>
      </c>
      <c r="B986" s="83"/>
      <c r="C986" s="15"/>
      <c r="D986" s="15"/>
      <c r="E986" s="85"/>
      <c r="F986" s="15"/>
      <c r="G986" s="15"/>
      <c r="H986" s="96"/>
      <c r="I986" s="16"/>
      <c r="J986" s="37" t="str">
        <f aca="false">IF(I986="","",IF(H986="",1,H986)*I986)</f>
        <v/>
      </c>
      <c r="K986" s="15"/>
      <c r="L986" s="97" t="str">
        <f aca="false">IF(C986="","",IF(OR(C986="Material",C986="Equipo",C986="Suministro"),"Materiales y equipos",IF(C986="Mano de obra contratista","Mano de obra contratista",IF(C986="Transporte","Transporte y otros","Alquileres"))))</f>
        <v/>
      </c>
      <c r="M986" s="6"/>
    </row>
    <row r="987" customFormat="false" ht="16.5" hidden="false" customHeight="true" outlineLevel="0" collapsed="false">
      <c r="A987" s="95" t="str">
        <f aca="false">IF(AND(B987="",C987=""),"",ROW()-6)</f>
        <v/>
      </c>
      <c r="B987" s="83"/>
      <c r="C987" s="15"/>
      <c r="D987" s="15"/>
      <c r="E987" s="85"/>
      <c r="F987" s="15"/>
      <c r="G987" s="15"/>
      <c r="H987" s="96"/>
      <c r="I987" s="16"/>
      <c r="J987" s="37" t="str">
        <f aca="false">IF(I987="","",IF(H987="",1,H987)*I987)</f>
        <v/>
      </c>
      <c r="K987" s="15"/>
      <c r="L987" s="97" t="str">
        <f aca="false">IF(C987="","",IF(OR(C987="Material",C987="Equipo",C987="Suministro"),"Materiales y equipos",IF(C987="Mano de obra contratista","Mano de obra contratista",IF(C987="Transporte","Transporte y otros","Alquileres"))))</f>
        <v/>
      </c>
      <c r="M987" s="6"/>
    </row>
    <row r="988" customFormat="false" ht="16.5" hidden="false" customHeight="true" outlineLevel="0" collapsed="false">
      <c r="A988" s="95" t="str">
        <f aca="false">IF(AND(B988="",C988=""),"",ROW()-6)</f>
        <v/>
      </c>
      <c r="B988" s="83"/>
      <c r="C988" s="15"/>
      <c r="D988" s="15"/>
      <c r="E988" s="85"/>
      <c r="F988" s="15"/>
      <c r="G988" s="15"/>
      <c r="H988" s="96"/>
      <c r="I988" s="16"/>
      <c r="J988" s="37" t="str">
        <f aca="false">IF(I988="","",IF(H988="",1,H988)*I988)</f>
        <v/>
      </c>
      <c r="K988" s="15"/>
      <c r="L988" s="97" t="str">
        <f aca="false">IF(C988="","",IF(OR(C988="Material",C988="Equipo",C988="Suministro"),"Materiales y equipos",IF(C988="Mano de obra contratista","Mano de obra contratista",IF(C988="Transporte","Transporte y otros","Alquileres"))))</f>
        <v/>
      </c>
      <c r="M988" s="6"/>
    </row>
    <row r="989" customFormat="false" ht="16.5" hidden="false" customHeight="true" outlineLevel="0" collapsed="false">
      <c r="A989" s="95" t="str">
        <f aca="false">IF(AND(B989="",C989=""),"",ROW()-6)</f>
        <v/>
      </c>
      <c r="B989" s="83"/>
      <c r="C989" s="15"/>
      <c r="D989" s="15"/>
      <c r="E989" s="85"/>
      <c r="F989" s="15"/>
      <c r="G989" s="15"/>
      <c r="H989" s="96"/>
      <c r="I989" s="16"/>
      <c r="J989" s="37" t="str">
        <f aca="false">IF(I989="","",IF(H989="",1,H989)*I989)</f>
        <v/>
      </c>
      <c r="K989" s="15"/>
      <c r="L989" s="97" t="str">
        <f aca="false">IF(C989="","",IF(OR(C989="Material",C989="Equipo",C989="Suministro"),"Materiales y equipos",IF(C989="Mano de obra contratista","Mano de obra contratista",IF(C989="Transporte","Transporte y otros","Alquileres"))))</f>
        <v/>
      </c>
      <c r="M989" s="6"/>
    </row>
    <row r="990" customFormat="false" ht="16.5" hidden="false" customHeight="true" outlineLevel="0" collapsed="false">
      <c r="A990" s="95" t="str">
        <f aca="false">IF(AND(B990="",C990=""),"",ROW()-6)</f>
        <v/>
      </c>
      <c r="B990" s="83"/>
      <c r="C990" s="15"/>
      <c r="D990" s="15"/>
      <c r="E990" s="85"/>
      <c r="F990" s="15"/>
      <c r="G990" s="15"/>
      <c r="H990" s="96"/>
      <c r="I990" s="16"/>
      <c r="J990" s="37" t="str">
        <f aca="false">IF(I990="","",IF(H990="",1,H990)*I990)</f>
        <v/>
      </c>
      <c r="K990" s="15"/>
      <c r="L990" s="97" t="str">
        <f aca="false">IF(C990="","",IF(OR(C990="Material",C990="Equipo",C990="Suministro"),"Materiales y equipos",IF(C990="Mano de obra contratista","Mano de obra contratista",IF(C990="Transporte","Transporte y otros","Alquileres"))))</f>
        <v/>
      </c>
      <c r="M990" s="6"/>
    </row>
    <row r="991" customFormat="false" ht="16.5" hidden="false" customHeight="true" outlineLevel="0" collapsed="false">
      <c r="A991" s="95" t="str">
        <f aca="false">IF(AND(B991="",C991=""),"",ROW()-6)</f>
        <v/>
      </c>
      <c r="B991" s="83"/>
      <c r="C991" s="15"/>
      <c r="D991" s="15"/>
      <c r="E991" s="85"/>
      <c r="F991" s="15"/>
      <c r="G991" s="15"/>
      <c r="H991" s="96"/>
      <c r="I991" s="16"/>
      <c r="J991" s="37" t="str">
        <f aca="false">IF(I991="","",IF(H991="",1,H991)*I991)</f>
        <v/>
      </c>
      <c r="K991" s="15"/>
      <c r="L991" s="97" t="str">
        <f aca="false">IF(C991="","",IF(OR(C991="Material",C991="Equipo",C991="Suministro"),"Materiales y equipos",IF(C991="Mano de obra contratista","Mano de obra contratista",IF(C991="Transporte","Transporte y otros","Alquileres"))))</f>
        <v/>
      </c>
      <c r="M991" s="6"/>
    </row>
    <row r="992" customFormat="false" ht="16.5" hidden="false" customHeight="true" outlineLevel="0" collapsed="false">
      <c r="A992" s="95" t="str">
        <f aca="false">IF(AND(B992="",C992=""),"",ROW()-6)</f>
        <v/>
      </c>
      <c r="B992" s="83"/>
      <c r="C992" s="15"/>
      <c r="D992" s="15"/>
      <c r="E992" s="85"/>
      <c r="F992" s="15"/>
      <c r="G992" s="15"/>
      <c r="H992" s="96"/>
      <c r="I992" s="16"/>
      <c r="J992" s="37" t="str">
        <f aca="false">IF(I992="","",IF(H992="",1,H992)*I992)</f>
        <v/>
      </c>
      <c r="K992" s="15"/>
      <c r="L992" s="97" t="str">
        <f aca="false">IF(C992="","",IF(OR(C992="Material",C992="Equipo",C992="Suministro"),"Materiales y equipos",IF(C992="Mano de obra contratista","Mano de obra contratista",IF(C992="Transporte","Transporte y otros","Alquileres"))))</f>
        <v/>
      </c>
      <c r="M992" s="6"/>
    </row>
    <row r="993" customFormat="false" ht="16.5" hidden="false" customHeight="true" outlineLevel="0" collapsed="false">
      <c r="A993" s="95" t="str">
        <f aca="false">IF(AND(B993="",C993=""),"",ROW()-6)</f>
        <v/>
      </c>
      <c r="B993" s="83"/>
      <c r="C993" s="15"/>
      <c r="D993" s="15"/>
      <c r="E993" s="85"/>
      <c r="F993" s="15"/>
      <c r="G993" s="15"/>
      <c r="H993" s="96"/>
      <c r="I993" s="16"/>
      <c r="J993" s="37" t="str">
        <f aca="false">IF(I993="","",IF(H993="",1,H993)*I993)</f>
        <v/>
      </c>
      <c r="K993" s="15"/>
      <c r="L993" s="97" t="str">
        <f aca="false">IF(C993="","",IF(OR(C993="Material",C993="Equipo",C993="Suministro"),"Materiales y equipos",IF(C993="Mano de obra contratista","Mano de obra contratista",IF(C993="Transporte","Transporte y otros","Alquileres"))))</f>
        <v/>
      </c>
      <c r="M993" s="6"/>
    </row>
    <row r="994" customFormat="false" ht="16.5" hidden="false" customHeight="true" outlineLevel="0" collapsed="false">
      <c r="A994" s="95" t="str">
        <f aca="false">IF(AND(B994="",C994=""),"",ROW()-6)</f>
        <v/>
      </c>
      <c r="B994" s="83"/>
      <c r="C994" s="15"/>
      <c r="D994" s="15"/>
      <c r="E994" s="85"/>
      <c r="F994" s="15"/>
      <c r="G994" s="15"/>
      <c r="H994" s="96"/>
      <c r="I994" s="16"/>
      <c r="J994" s="37" t="str">
        <f aca="false">IF(I994="","",IF(H994="",1,H994)*I994)</f>
        <v/>
      </c>
      <c r="K994" s="15"/>
      <c r="L994" s="97" t="str">
        <f aca="false">IF(C994="","",IF(OR(C994="Material",C994="Equipo",C994="Suministro"),"Materiales y equipos",IF(C994="Mano de obra contratista","Mano de obra contratista",IF(C994="Transporte","Transporte y otros","Alquileres"))))</f>
        <v/>
      </c>
      <c r="M994" s="6"/>
    </row>
    <row r="995" customFormat="false" ht="16.5" hidden="false" customHeight="true" outlineLevel="0" collapsed="false">
      <c r="A995" s="95" t="str">
        <f aca="false">IF(AND(B995="",C995=""),"",ROW()-6)</f>
        <v/>
      </c>
      <c r="B995" s="83"/>
      <c r="C995" s="15"/>
      <c r="D995" s="15"/>
      <c r="E995" s="85"/>
      <c r="F995" s="15"/>
      <c r="G995" s="15"/>
      <c r="H995" s="96"/>
      <c r="I995" s="16"/>
      <c r="J995" s="37" t="str">
        <f aca="false">IF(I995="","",IF(H995="",1,H995)*I995)</f>
        <v/>
      </c>
      <c r="K995" s="15"/>
      <c r="L995" s="97" t="str">
        <f aca="false">IF(C995="","",IF(OR(C995="Material",C995="Equipo",C995="Suministro"),"Materiales y equipos",IF(C995="Mano de obra contratista","Mano de obra contratista",IF(C995="Transporte","Transporte y otros","Alquileres"))))</f>
        <v/>
      </c>
      <c r="M995" s="6"/>
    </row>
    <row r="996" customFormat="false" ht="16.5" hidden="false" customHeight="true" outlineLevel="0" collapsed="false">
      <c r="A996" s="95" t="str">
        <f aca="false">IF(AND(B996="",C996=""),"",ROW()-6)</f>
        <v/>
      </c>
      <c r="B996" s="83"/>
      <c r="C996" s="15"/>
      <c r="D996" s="15"/>
      <c r="E996" s="85"/>
      <c r="F996" s="15"/>
      <c r="G996" s="15"/>
      <c r="H996" s="96"/>
      <c r="I996" s="16"/>
      <c r="J996" s="37" t="str">
        <f aca="false">IF(I996="","",IF(H996="",1,H996)*I996)</f>
        <v/>
      </c>
      <c r="K996" s="15"/>
      <c r="L996" s="97" t="str">
        <f aca="false">IF(C996="","",IF(OR(C996="Material",C996="Equipo",C996="Suministro"),"Materiales y equipos",IF(C996="Mano de obra contratista","Mano de obra contratista",IF(C996="Transporte","Transporte y otros","Alquileres"))))</f>
        <v/>
      </c>
      <c r="M996" s="6"/>
    </row>
    <row r="997" customFormat="false" ht="16.5" hidden="false" customHeight="true" outlineLevel="0" collapsed="false">
      <c r="A997" s="95" t="str">
        <f aca="false">IF(AND(B997="",C997=""),"",ROW()-6)</f>
        <v/>
      </c>
      <c r="B997" s="83"/>
      <c r="C997" s="15"/>
      <c r="D997" s="15"/>
      <c r="E997" s="85"/>
      <c r="F997" s="15"/>
      <c r="G997" s="15"/>
      <c r="H997" s="96"/>
      <c r="I997" s="16"/>
      <c r="J997" s="37" t="str">
        <f aca="false">IF(I997="","",IF(H997="",1,H997)*I997)</f>
        <v/>
      </c>
      <c r="K997" s="15"/>
      <c r="L997" s="97" t="str">
        <f aca="false">IF(C997="","",IF(OR(C997="Material",C997="Equipo",C997="Suministro"),"Materiales y equipos",IF(C997="Mano de obra contratista","Mano de obra contratista",IF(C997="Transporte","Transporte y otros","Alquileres"))))</f>
        <v/>
      </c>
      <c r="M997" s="6"/>
    </row>
    <row r="998" customFormat="false" ht="16.5" hidden="false" customHeight="true" outlineLevel="0" collapsed="false">
      <c r="A998" s="95" t="str">
        <f aca="false">IF(AND(B998="",C998=""),"",ROW()-6)</f>
        <v/>
      </c>
      <c r="B998" s="83"/>
      <c r="C998" s="15"/>
      <c r="D998" s="15"/>
      <c r="E998" s="85"/>
      <c r="F998" s="15"/>
      <c r="G998" s="15"/>
      <c r="H998" s="96"/>
      <c r="I998" s="16"/>
      <c r="J998" s="37" t="str">
        <f aca="false">IF(I998="","",IF(H998="",1,H998)*I998)</f>
        <v/>
      </c>
      <c r="K998" s="15"/>
      <c r="L998" s="97" t="str">
        <f aca="false">IF(C998="","",IF(OR(C998="Material",C998="Equipo",C998="Suministro"),"Materiales y equipos",IF(C998="Mano de obra contratista","Mano de obra contratista",IF(C998="Transporte","Transporte y otros","Alquileres"))))</f>
        <v/>
      </c>
      <c r="M998" s="6"/>
    </row>
    <row r="999" customFormat="false" ht="16.5" hidden="false" customHeight="true" outlineLevel="0" collapsed="false">
      <c r="A999" s="95" t="str">
        <f aca="false">IF(AND(B999="",C999=""),"",ROW()-6)</f>
        <v/>
      </c>
      <c r="B999" s="83"/>
      <c r="C999" s="15"/>
      <c r="D999" s="15"/>
      <c r="E999" s="85"/>
      <c r="F999" s="15"/>
      <c r="G999" s="15"/>
      <c r="H999" s="96"/>
      <c r="I999" s="16"/>
      <c r="J999" s="37" t="str">
        <f aca="false">IF(I999="","",IF(H999="",1,H999)*I999)</f>
        <v/>
      </c>
      <c r="K999" s="15"/>
      <c r="L999" s="97" t="str">
        <f aca="false">IF(C999="","",IF(OR(C999="Material",C999="Equipo",C999="Suministro"),"Materiales y equipos",IF(C999="Mano de obra contratista","Mano de obra contratista",IF(C999="Transporte","Transporte y otros","Alquileres"))))</f>
        <v/>
      </c>
      <c r="M999" s="6"/>
    </row>
    <row r="1000" customFormat="false" ht="16.5" hidden="false" customHeight="true" outlineLevel="0" collapsed="false">
      <c r="A1000" s="95" t="str">
        <f aca="false">IF(AND(B1000="",C1000=""),"",ROW()-6)</f>
        <v/>
      </c>
      <c r="B1000" s="83"/>
      <c r="C1000" s="15"/>
      <c r="D1000" s="15"/>
      <c r="E1000" s="85"/>
      <c r="F1000" s="15"/>
      <c r="G1000" s="15"/>
      <c r="H1000" s="96"/>
      <c r="I1000" s="16"/>
      <c r="J1000" s="37" t="str">
        <f aca="false">IF(I1000="","",IF(H1000="",1,H1000)*I1000)</f>
        <v/>
      </c>
      <c r="K1000" s="15"/>
      <c r="L1000" s="97" t="str">
        <f aca="false">IF(C1000="","",IF(OR(C1000="Material",C1000="Equipo",C1000="Suministro"),"Materiales y equipos",IF(C1000="Mano de obra contratista","Mano de obra contratista",IF(C1000="Transporte","Transporte y otros","Alquileres"))))</f>
        <v/>
      </c>
      <c r="M1000" s="6"/>
    </row>
    <row r="1001" customFormat="false" ht="16.5" hidden="false" customHeight="true" outlineLevel="0" collapsed="false">
      <c r="A1001" s="95" t="str">
        <f aca="false">IF(AND(B1001="",C1001=""),"",ROW()-6)</f>
        <v/>
      </c>
      <c r="B1001" s="83"/>
      <c r="C1001" s="15"/>
      <c r="D1001" s="15"/>
      <c r="E1001" s="85"/>
      <c r="F1001" s="15"/>
      <c r="G1001" s="15"/>
      <c r="H1001" s="96"/>
      <c r="I1001" s="16"/>
      <c r="J1001" s="37" t="str">
        <f aca="false">IF(I1001="","",IF(H1001="",1,H1001)*I1001)</f>
        <v/>
      </c>
      <c r="K1001" s="15"/>
      <c r="L1001" s="97" t="str">
        <f aca="false">IF(C1001="","",IF(OR(C1001="Material",C1001="Equipo",C1001="Suministro"),"Materiales y equipos",IF(C1001="Mano de obra contratista","Mano de obra contratista",IF(C1001="Transporte","Transporte y otros","Alquileres"))))</f>
        <v/>
      </c>
      <c r="M1001" s="6"/>
    </row>
    <row r="1002" customFormat="false" ht="16.5" hidden="false" customHeight="true" outlineLevel="0" collapsed="false">
      <c r="A1002" s="95" t="str">
        <f aca="false">IF(AND(B1002="",C1002=""),"",ROW()-6)</f>
        <v/>
      </c>
      <c r="B1002" s="83"/>
      <c r="C1002" s="15"/>
      <c r="D1002" s="15"/>
      <c r="E1002" s="85"/>
      <c r="F1002" s="15"/>
      <c r="G1002" s="15"/>
      <c r="H1002" s="96"/>
      <c r="I1002" s="16"/>
      <c r="J1002" s="37" t="str">
        <f aca="false">IF(I1002="","",IF(H1002="",1,H1002)*I1002)</f>
        <v/>
      </c>
      <c r="K1002" s="15"/>
      <c r="L1002" s="97" t="str">
        <f aca="false">IF(C1002="","",IF(OR(C1002="Material",C1002="Equipo",C1002="Suministro"),"Materiales y equipos",IF(C1002="Mano de obra contratista","Mano de obra contratista",IF(C1002="Transporte","Transporte y otros","Alquileres"))))</f>
        <v/>
      </c>
      <c r="M1002" s="6"/>
    </row>
    <row r="1003" customFormat="false" ht="16.5" hidden="false" customHeight="true" outlineLevel="0" collapsed="false">
      <c r="A1003" s="95" t="str">
        <f aca="false">IF(AND(B1003="",C1003=""),"",ROW()-6)</f>
        <v/>
      </c>
      <c r="B1003" s="83"/>
      <c r="C1003" s="15"/>
      <c r="D1003" s="15"/>
      <c r="E1003" s="85"/>
      <c r="F1003" s="15"/>
      <c r="G1003" s="15"/>
      <c r="H1003" s="96"/>
      <c r="I1003" s="16"/>
      <c r="J1003" s="37" t="str">
        <f aca="false">IF(I1003="","",IF(H1003="",1,H1003)*I1003)</f>
        <v/>
      </c>
      <c r="K1003" s="15"/>
      <c r="L1003" s="97" t="str">
        <f aca="false">IF(C1003="","",IF(OR(C1003="Material",C1003="Equipo",C1003="Suministro"),"Materiales y equipos",IF(C1003="Mano de obra contratista","Mano de obra contratista",IF(C1003="Transporte","Transporte y otros","Alquileres"))))</f>
        <v/>
      </c>
      <c r="M1003" s="6"/>
    </row>
    <row r="1004" customFormat="false" ht="16.5" hidden="false" customHeight="true" outlineLevel="0" collapsed="false">
      <c r="A1004" s="95" t="str">
        <f aca="false">IF(AND(B1004="",C1004=""),"",ROW()-6)</f>
        <v/>
      </c>
      <c r="B1004" s="83"/>
      <c r="C1004" s="15"/>
      <c r="D1004" s="15"/>
      <c r="E1004" s="85"/>
      <c r="F1004" s="15"/>
      <c r="G1004" s="15"/>
      <c r="H1004" s="96"/>
      <c r="I1004" s="16"/>
      <c r="J1004" s="37" t="str">
        <f aca="false">IF(I1004="","",IF(H1004="",1,H1004)*I1004)</f>
        <v/>
      </c>
      <c r="K1004" s="15"/>
      <c r="L1004" s="97" t="str">
        <f aca="false">IF(C1004="","",IF(OR(C1004="Material",C1004="Equipo",C1004="Suministro"),"Materiales y equipos",IF(C1004="Mano de obra contratista","Mano de obra contratista",IF(C1004="Transporte","Transporte y otros","Alquileres"))))</f>
        <v/>
      </c>
      <c r="M1004" s="6"/>
    </row>
    <row r="1005" customFormat="false" ht="16.5" hidden="false" customHeight="true" outlineLevel="0" collapsed="false">
      <c r="A1005" s="95" t="str">
        <f aca="false">IF(AND(B1005="",C1005=""),"",ROW()-6)</f>
        <v/>
      </c>
      <c r="B1005" s="83"/>
      <c r="C1005" s="15"/>
      <c r="D1005" s="15"/>
      <c r="E1005" s="85"/>
      <c r="F1005" s="15"/>
      <c r="G1005" s="15"/>
      <c r="H1005" s="96"/>
      <c r="I1005" s="16"/>
      <c r="J1005" s="37" t="str">
        <f aca="false">IF(I1005="","",IF(H1005="",1,H1005)*I1005)</f>
        <v/>
      </c>
      <c r="K1005" s="15"/>
      <c r="L1005" s="97" t="str">
        <f aca="false">IF(C1005="","",IF(OR(C1005="Material",C1005="Equipo",C1005="Suministro"),"Materiales y equipos",IF(C1005="Mano de obra contratista","Mano de obra contratista",IF(C1005="Transporte","Transporte y otros","Alquileres"))))</f>
        <v/>
      </c>
      <c r="M1005" s="6"/>
    </row>
    <row r="1006" customFormat="false" ht="16.5" hidden="false" customHeight="true" outlineLevel="0" collapsed="false">
      <c r="A1006" s="95" t="str">
        <f aca="false">IF(AND(B1006="",C1006=""),"",ROW()-6)</f>
        <v/>
      </c>
      <c r="B1006" s="83"/>
      <c r="C1006" s="15"/>
      <c r="D1006" s="15"/>
      <c r="E1006" s="85"/>
      <c r="F1006" s="15"/>
      <c r="G1006" s="15"/>
      <c r="H1006" s="96"/>
      <c r="I1006" s="16"/>
      <c r="J1006" s="37" t="str">
        <f aca="false">IF(I1006="","",IF(H1006="",1,H1006)*I1006)</f>
        <v/>
      </c>
      <c r="K1006" s="15"/>
      <c r="L1006" s="97" t="str">
        <f aca="false">IF(C1006="","",IF(OR(C1006="Material",C1006="Equipo",C1006="Suministro"),"Materiales y equipos",IF(C1006="Mano de obra contratista","Mano de obra contratista",IF(C1006="Transporte","Transporte y otros","Alquileres"))))</f>
        <v/>
      </c>
      <c r="M1006" s="6"/>
    </row>
    <row r="1007" customFormat="false" ht="16.5" hidden="false" customHeight="true" outlineLevel="0" collapsed="false">
      <c r="A1007" s="95" t="str">
        <f aca="false">IF(AND(B1007="",C1007=""),"",ROW()-6)</f>
        <v/>
      </c>
      <c r="B1007" s="83"/>
      <c r="C1007" s="15"/>
      <c r="D1007" s="15"/>
      <c r="E1007" s="85"/>
      <c r="F1007" s="15"/>
      <c r="G1007" s="15"/>
      <c r="H1007" s="96"/>
      <c r="I1007" s="16"/>
      <c r="J1007" s="37" t="str">
        <f aca="false">IF(I1007="","",IF(H1007="",1,H1007)*I1007)</f>
        <v/>
      </c>
      <c r="K1007" s="15"/>
      <c r="L1007" s="97" t="str">
        <f aca="false">IF(C1007="","",IF(OR(C1007="Material",C1007="Equipo",C1007="Suministro"),"Materiales y equipos",IF(C1007="Mano de obra contratista","Mano de obra contratista",IF(C1007="Transporte","Transporte y otros","Alquileres"))))</f>
        <v/>
      </c>
      <c r="M1007" s="6"/>
    </row>
    <row r="1008" customFormat="false" ht="16.5" hidden="false" customHeight="true" outlineLevel="0" collapsed="false">
      <c r="A1008" s="95" t="str">
        <f aca="false">IF(AND(B1008="",C1008=""),"",ROW()-6)</f>
        <v/>
      </c>
      <c r="B1008" s="83"/>
      <c r="C1008" s="15"/>
      <c r="D1008" s="15"/>
      <c r="E1008" s="85"/>
      <c r="F1008" s="15"/>
      <c r="G1008" s="15"/>
      <c r="H1008" s="96"/>
      <c r="I1008" s="16"/>
      <c r="J1008" s="37" t="str">
        <f aca="false">IF(I1008="","",IF(H1008="",1,H1008)*I1008)</f>
        <v/>
      </c>
      <c r="K1008" s="15"/>
      <c r="L1008" s="97" t="str">
        <f aca="false">IF(C1008="","",IF(OR(C1008="Material",C1008="Equipo",C1008="Suministro"),"Materiales y equipos",IF(C1008="Mano de obra contratista","Mano de obra contratista",IF(C1008="Transporte","Transporte y otros","Alquileres"))))</f>
        <v/>
      </c>
      <c r="M1008" s="6"/>
    </row>
    <row r="1009" customFormat="false" ht="16.5" hidden="false" customHeight="true" outlineLevel="0" collapsed="false">
      <c r="A1009" s="95" t="str">
        <f aca="false">IF(AND(B1009="",C1009=""),"",ROW()-6)</f>
        <v/>
      </c>
      <c r="B1009" s="83"/>
      <c r="C1009" s="15"/>
      <c r="D1009" s="15"/>
      <c r="E1009" s="85"/>
      <c r="F1009" s="15"/>
      <c r="G1009" s="15"/>
      <c r="H1009" s="96"/>
      <c r="I1009" s="16"/>
      <c r="J1009" s="37" t="str">
        <f aca="false">IF(I1009="","",IF(H1009="",1,H1009)*I1009)</f>
        <v/>
      </c>
      <c r="K1009" s="15"/>
      <c r="L1009" s="97" t="str">
        <f aca="false">IF(C1009="","",IF(OR(C1009="Material",C1009="Equipo",C1009="Suministro"),"Materiales y equipos",IF(C1009="Mano de obra contratista","Mano de obra contratista",IF(C1009="Transporte","Transporte y otros","Alquileres"))))</f>
        <v/>
      </c>
      <c r="M1009" s="6"/>
    </row>
    <row r="1010" customFormat="false" ht="16.5" hidden="false" customHeight="true" outlineLevel="0" collapsed="false">
      <c r="A1010" s="95" t="str">
        <f aca="false">IF(AND(B1010="",C1010=""),"",ROW()-6)</f>
        <v/>
      </c>
      <c r="B1010" s="83"/>
      <c r="C1010" s="15"/>
      <c r="D1010" s="15"/>
      <c r="E1010" s="85"/>
      <c r="F1010" s="15"/>
      <c r="G1010" s="15"/>
      <c r="H1010" s="96"/>
      <c r="I1010" s="16"/>
      <c r="J1010" s="37" t="str">
        <f aca="false">IF(I1010="","",IF(H1010="",1,H1010)*I1010)</f>
        <v/>
      </c>
      <c r="K1010" s="15"/>
      <c r="L1010" s="97" t="str">
        <f aca="false">IF(C1010="","",IF(OR(C1010="Material",C1010="Equipo",C1010="Suministro"),"Materiales y equipos",IF(C1010="Mano de obra contratista","Mano de obra contratista",IF(C1010="Transporte","Transporte y otros","Alquileres"))))</f>
        <v/>
      </c>
      <c r="M1010" s="6"/>
    </row>
    <row r="1011" customFormat="false" ht="16.5" hidden="false" customHeight="true" outlineLevel="0" collapsed="false">
      <c r="A1011" s="95" t="str">
        <f aca="false">IF(AND(B1011="",C1011=""),"",ROW()-6)</f>
        <v/>
      </c>
      <c r="B1011" s="83"/>
      <c r="C1011" s="15"/>
      <c r="D1011" s="15"/>
      <c r="E1011" s="85"/>
      <c r="F1011" s="15"/>
      <c r="G1011" s="15"/>
      <c r="H1011" s="96"/>
      <c r="I1011" s="16"/>
      <c r="J1011" s="37" t="str">
        <f aca="false">IF(I1011="","",IF(H1011="",1,H1011)*I1011)</f>
        <v/>
      </c>
      <c r="K1011" s="15"/>
      <c r="L1011" s="97" t="str">
        <f aca="false">IF(C1011="","",IF(OR(C1011="Material",C1011="Equipo",C1011="Suministro"),"Materiales y equipos",IF(C1011="Mano de obra contratista","Mano de obra contratista",IF(C1011="Transporte","Transporte y otros","Alquileres"))))</f>
        <v/>
      </c>
      <c r="M1011" s="6"/>
    </row>
    <row r="1012" customFormat="false" ht="16.5" hidden="false" customHeight="true" outlineLevel="0" collapsed="false">
      <c r="A1012" s="95" t="str">
        <f aca="false">IF(AND(B1012="",C1012=""),"",ROW()-6)</f>
        <v/>
      </c>
      <c r="B1012" s="83"/>
      <c r="C1012" s="15"/>
      <c r="D1012" s="15"/>
      <c r="E1012" s="85"/>
      <c r="F1012" s="15"/>
      <c r="G1012" s="15"/>
      <c r="H1012" s="96"/>
      <c r="I1012" s="16"/>
      <c r="J1012" s="37" t="str">
        <f aca="false">IF(I1012="","",IF(H1012="",1,H1012)*I1012)</f>
        <v/>
      </c>
      <c r="K1012" s="15"/>
      <c r="L1012" s="97" t="str">
        <f aca="false">IF(C1012="","",IF(OR(C1012="Material",C1012="Equipo",C1012="Suministro"),"Materiales y equipos",IF(C1012="Mano de obra contratista","Mano de obra contratista",IF(C1012="Transporte","Transporte y otros","Alquileres"))))</f>
        <v/>
      </c>
      <c r="M1012" s="6"/>
    </row>
    <row r="1013" customFormat="false" ht="16.5" hidden="false" customHeight="true" outlineLevel="0" collapsed="false">
      <c r="A1013" s="95" t="str">
        <f aca="false">IF(AND(B1013="",C1013=""),"",ROW()-6)</f>
        <v/>
      </c>
      <c r="B1013" s="83"/>
      <c r="C1013" s="15"/>
      <c r="D1013" s="15"/>
      <c r="E1013" s="85"/>
      <c r="F1013" s="15"/>
      <c r="G1013" s="15"/>
      <c r="H1013" s="96"/>
      <c r="I1013" s="16"/>
      <c r="J1013" s="37" t="str">
        <f aca="false">IF(I1013="","",IF(H1013="",1,H1013)*I1013)</f>
        <v/>
      </c>
      <c r="K1013" s="15"/>
      <c r="L1013" s="97" t="str">
        <f aca="false">IF(C1013="","",IF(OR(C1013="Material",C1013="Equipo",C1013="Suministro"),"Materiales y equipos",IF(C1013="Mano de obra contratista","Mano de obra contratista",IF(C1013="Transporte","Transporte y otros","Alquileres"))))</f>
        <v/>
      </c>
      <c r="M1013" s="6"/>
    </row>
    <row r="1014" customFormat="false" ht="16.5" hidden="false" customHeight="true" outlineLevel="0" collapsed="false">
      <c r="A1014" s="95" t="str">
        <f aca="false">IF(AND(B1014="",C1014=""),"",ROW()-6)</f>
        <v/>
      </c>
      <c r="B1014" s="83"/>
      <c r="C1014" s="15"/>
      <c r="D1014" s="15"/>
      <c r="E1014" s="85"/>
      <c r="F1014" s="15"/>
      <c r="G1014" s="15"/>
      <c r="H1014" s="96"/>
      <c r="I1014" s="16"/>
      <c r="J1014" s="37" t="str">
        <f aca="false">IF(I1014="","",IF(H1014="",1,H1014)*I1014)</f>
        <v/>
      </c>
      <c r="K1014" s="15"/>
      <c r="L1014" s="97" t="str">
        <f aca="false">IF(C1014="","",IF(OR(C1014="Material",C1014="Equipo",C1014="Suministro"),"Materiales y equipos",IF(C1014="Mano de obra contratista","Mano de obra contratista",IF(C1014="Transporte","Transporte y otros","Alquileres"))))</f>
        <v/>
      </c>
      <c r="M1014" s="6"/>
    </row>
    <row r="1015" customFormat="false" ht="16.5" hidden="false" customHeight="true" outlineLevel="0" collapsed="false">
      <c r="A1015" s="95" t="str">
        <f aca="false">IF(AND(B1015="",C1015=""),"",ROW()-6)</f>
        <v/>
      </c>
      <c r="B1015" s="83"/>
      <c r="C1015" s="15"/>
      <c r="D1015" s="15"/>
      <c r="E1015" s="85"/>
      <c r="F1015" s="15"/>
      <c r="G1015" s="15"/>
      <c r="H1015" s="96"/>
      <c r="I1015" s="16"/>
      <c r="J1015" s="37" t="str">
        <f aca="false">IF(I1015="","",IF(H1015="",1,H1015)*I1015)</f>
        <v/>
      </c>
      <c r="K1015" s="15"/>
      <c r="L1015" s="97" t="str">
        <f aca="false">IF(C1015="","",IF(OR(C1015="Material",C1015="Equipo",C1015="Suministro"),"Materiales y equipos",IF(C1015="Mano de obra contratista","Mano de obra contratista",IF(C1015="Transporte","Transporte y otros","Alquileres"))))</f>
        <v/>
      </c>
      <c r="M1015" s="6"/>
    </row>
    <row r="1016" customFormat="false" ht="16.5" hidden="false" customHeight="true" outlineLevel="0" collapsed="false">
      <c r="A1016" s="95" t="str">
        <f aca="false">IF(AND(B1016="",C1016=""),"",ROW()-6)</f>
        <v/>
      </c>
      <c r="B1016" s="83"/>
      <c r="C1016" s="15"/>
      <c r="D1016" s="15"/>
      <c r="E1016" s="85"/>
      <c r="F1016" s="15"/>
      <c r="G1016" s="15"/>
      <c r="H1016" s="96"/>
      <c r="I1016" s="16"/>
      <c r="J1016" s="37" t="str">
        <f aca="false">IF(I1016="","",IF(H1016="",1,H1016)*I1016)</f>
        <v/>
      </c>
      <c r="K1016" s="15"/>
      <c r="L1016" s="97" t="str">
        <f aca="false">IF(C1016="","",IF(OR(C1016="Material",C1016="Equipo",C1016="Suministro"),"Materiales y equipos",IF(C1016="Mano de obra contratista","Mano de obra contratista",IF(C1016="Transporte","Transporte y otros","Alquileres"))))</f>
        <v/>
      </c>
      <c r="M1016" s="6"/>
    </row>
    <row r="1017" customFormat="false" ht="16.5" hidden="false" customHeight="true" outlineLevel="0" collapsed="false">
      <c r="A1017" s="95" t="str">
        <f aca="false">IF(AND(B1017="",C1017=""),"",ROW()-6)</f>
        <v/>
      </c>
      <c r="B1017" s="83"/>
      <c r="C1017" s="15"/>
      <c r="D1017" s="15"/>
      <c r="E1017" s="85"/>
      <c r="F1017" s="15"/>
      <c r="G1017" s="15"/>
      <c r="H1017" s="96"/>
      <c r="I1017" s="16"/>
      <c r="J1017" s="37" t="str">
        <f aca="false">IF(I1017="","",IF(H1017="",1,H1017)*I1017)</f>
        <v/>
      </c>
      <c r="K1017" s="15"/>
      <c r="L1017" s="97" t="str">
        <f aca="false">IF(C1017="","",IF(OR(C1017="Material",C1017="Equipo",C1017="Suministro"),"Materiales y equipos",IF(C1017="Mano de obra contratista","Mano de obra contratista",IF(C1017="Transporte","Transporte y otros","Alquileres"))))</f>
        <v/>
      </c>
      <c r="M1017" s="6"/>
    </row>
    <row r="1018" customFormat="false" ht="16.5" hidden="false" customHeight="true" outlineLevel="0" collapsed="false">
      <c r="A1018" s="95" t="str">
        <f aca="false">IF(AND(B1018="",C1018=""),"",ROW()-6)</f>
        <v/>
      </c>
      <c r="B1018" s="83"/>
      <c r="C1018" s="15"/>
      <c r="D1018" s="15"/>
      <c r="E1018" s="85"/>
      <c r="F1018" s="15"/>
      <c r="G1018" s="15"/>
      <c r="H1018" s="96"/>
      <c r="I1018" s="16"/>
      <c r="J1018" s="37" t="str">
        <f aca="false">IF(I1018="","",IF(H1018="",1,H1018)*I1018)</f>
        <v/>
      </c>
      <c r="K1018" s="15"/>
      <c r="L1018" s="97" t="str">
        <f aca="false">IF(C1018="","",IF(OR(C1018="Material",C1018="Equipo",C1018="Suministro"),"Materiales y equipos",IF(C1018="Mano de obra contratista","Mano de obra contratista",IF(C1018="Transporte","Transporte y otros","Alquileres"))))</f>
        <v/>
      </c>
      <c r="M1018" s="6"/>
    </row>
    <row r="1019" customFormat="false" ht="16.5" hidden="false" customHeight="true" outlineLevel="0" collapsed="false">
      <c r="A1019" s="95" t="str">
        <f aca="false">IF(AND(B1019="",C1019=""),"",ROW()-6)</f>
        <v/>
      </c>
      <c r="B1019" s="83"/>
      <c r="C1019" s="15"/>
      <c r="D1019" s="15"/>
      <c r="E1019" s="85"/>
      <c r="F1019" s="15"/>
      <c r="G1019" s="15"/>
      <c r="H1019" s="96"/>
      <c r="I1019" s="16"/>
      <c r="J1019" s="37" t="str">
        <f aca="false">IF(I1019="","",IF(H1019="",1,H1019)*I1019)</f>
        <v/>
      </c>
      <c r="K1019" s="15"/>
      <c r="L1019" s="97" t="str">
        <f aca="false">IF(C1019="","",IF(OR(C1019="Material",C1019="Equipo",C1019="Suministro"),"Materiales y equipos",IF(C1019="Mano de obra contratista","Mano de obra contratista",IF(C1019="Transporte","Transporte y otros","Alquileres"))))</f>
        <v/>
      </c>
      <c r="M1019" s="6"/>
    </row>
    <row r="1020" customFormat="false" ht="16.5" hidden="false" customHeight="true" outlineLevel="0" collapsed="false">
      <c r="A1020" s="95" t="str">
        <f aca="false">IF(AND(B1020="",C1020=""),"",ROW()-6)</f>
        <v/>
      </c>
      <c r="B1020" s="83"/>
      <c r="C1020" s="15"/>
      <c r="D1020" s="15"/>
      <c r="E1020" s="85"/>
      <c r="F1020" s="15"/>
      <c r="G1020" s="15"/>
      <c r="H1020" s="96"/>
      <c r="I1020" s="16"/>
      <c r="J1020" s="37" t="str">
        <f aca="false">IF(I1020="","",IF(H1020="",1,H1020)*I1020)</f>
        <v/>
      </c>
      <c r="K1020" s="15"/>
      <c r="L1020" s="97" t="str">
        <f aca="false">IF(C1020="","",IF(OR(C1020="Material",C1020="Equipo",C1020="Suministro"),"Materiales y equipos",IF(C1020="Mano de obra contratista","Mano de obra contratista",IF(C1020="Transporte","Transporte y otros","Alquileres"))))</f>
        <v/>
      </c>
      <c r="M1020" s="6"/>
    </row>
    <row r="1021" customFormat="false" ht="16.5" hidden="false" customHeight="true" outlineLevel="0" collapsed="false">
      <c r="A1021" s="95" t="str">
        <f aca="false">IF(AND(B1021="",C1021=""),"",ROW()-6)</f>
        <v/>
      </c>
      <c r="B1021" s="83"/>
      <c r="C1021" s="15"/>
      <c r="D1021" s="15"/>
      <c r="E1021" s="85"/>
      <c r="F1021" s="15"/>
      <c r="G1021" s="15"/>
      <c r="H1021" s="96"/>
      <c r="I1021" s="16"/>
      <c r="J1021" s="37" t="str">
        <f aca="false">IF(I1021="","",IF(H1021="",1,H1021)*I1021)</f>
        <v/>
      </c>
      <c r="K1021" s="15"/>
      <c r="L1021" s="97" t="str">
        <f aca="false">IF(C1021="","",IF(OR(C1021="Material",C1021="Equipo",C1021="Suministro"),"Materiales y equipos",IF(C1021="Mano de obra contratista","Mano de obra contratista",IF(C1021="Transporte","Transporte y otros","Alquileres"))))</f>
        <v/>
      </c>
      <c r="M1021" s="6"/>
    </row>
    <row r="1022" customFormat="false" ht="16.5" hidden="false" customHeight="true" outlineLevel="0" collapsed="false">
      <c r="A1022" s="95" t="str">
        <f aca="false">IF(AND(B1022="",C1022=""),"",ROW()-6)</f>
        <v/>
      </c>
      <c r="B1022" s="83"/>
      <c r="C1022" s="15"/>
      <c r="D1022" s="15"/>
      <c r="E1022" s="85"/>
      <c r="F1022" s="15"/>
      <c r="G1022" s="15"/>
      <c r="H1022" s="96"/>
      <c r="I1022" s="16"/>
      <c r="J1022" s="37" t="str">
        <f aca="false">IF(I1022="","",IF(H1022="",1,H1022)*I1022)</f>
        <v/>
      </c>
      <c r="K1022" s="15"/>
      <c r="L1022" s="97" t="str">
        <f aca="false">IF(C1022="","",IF(OR(C1022="Material",C1022="Equipo",C1022="Suministro"),"Materiales y equipos",IF(C1022="Mano de obra contratista","Mano de obra contratista",IF(C1022="Transporte","Transporte y otros","Alquileres"))))</f>
        <v/>
      </c>
      <c r="M1022" s="6"/>
    </row>
    <row r="1023" customFormat="false" ht="16.5" hidden="false" customHeight="true" outlineLevel="0" collapsed="false">
      <c r="A1023" s="95" t="str">
        <f aca="false">IF(AND(B1023="",C1023=""),"",ROW()-6)</f>
        <v/>
      </c>
      <c r="B1023" s="83"/>
      <c r="C1023" s="15"/>
      <c r="D1023" s="15"/>
      <c r="E1023" s="85"/>
      <c r="F1023" s="15"/>
      <c r="G1023" s="15"/>
      <c r="H1023" s="96"/>
      <c r="I1023" s="16"/>
      <c r="J1023" s="37" t="str">
        <f aca="false">IF(I1023="","",IF(H1023="",1,H1023)*I1023)</f>
        <v/>
      </c>
      <c r="K1023" s="15"/>
      <c r="L1023" s="97" t="str">
        <f aca="false">IF(C1023="","",IF(OR(C1023="Material",C1023="Equipo",C1023="Suministro"),"Materiales y equipos",IF(C1023="Mano de obra contratista","Mano de obra contratista",IF(C1023="Transporte","Transporte y otros","Alquileres"))))</f>
        <v/>
      </c>
      <c r="M1023" s="6"/>
    </row>
    <row r="1024" customFormat="false" ht="16.5" hidden="false" customHeight="true" outlineLevel="0" collapsed="false">
      <c r="A1024" s="95" t="str">
        <f aca="false">IF(AND(B1024="",C1024=""),"",ROW()-6)</f>
        <v/>
      </c>
      <c r="B1024" s="83"/>
      <c r="C1024" s="15"/>
      <c r="D1024" s="15"/>
      <c r="E1024" s="85"/>
      <c r="F1024" s="15"/>
      <c r="G1024" s="15"/>
      <c r="H1024" s="96"/>
      <c r="I1024" s="16"/>
      <c r="J1024" s="37" t="str">
        <f aca="false">IF(I1024="","",IF(H1024="",1,H1024)*I1024)</f>
        <v/>
      </c>
      <c r="K1024" s="15"/>
      <c r="L1024" s="97" t="str">
        <f aca="false">IF(C1024="","",IF(OR(C1024="Material",C1024="Equipo",C1024="Suministro"),"Materiales y equipos",IF(C1024="Mano de obra contratista","Mano de obra contratista",IF(C1024="Transporte","Transporte y otros","Alquileres"))))</f>
        <v/>
      </c>
      <c r="M1024" s="6"/>
    </row>
    <row r="1025" customFormat="false" ht="16.5" hidden="false" customHeight="true" outlineLevel="0" collapsed="false">
      <c r="A1025" s="95" t="str">
        <f aca="false">IF(AND(B1025="",C1025=""),"",ROW()-6)</f>
        <v/>
      </c>
      <c r="B1025" s="83"/>
      <c r="C1025" s="15"/>
      <c r="D1025" s="15"/>
      <c r="E1025" s="85"/>
      <c r="F1025" s="15"/>
      <c r="G1025" s="15"/>
      <c r="H1025" s="96"/>
      <c r="I1025" s="16"/>
      <c r="J1025" s="37" t="str">
        <f aca="false">IF(I1025="","",IF(H1025="",1,H1025)*I1025)</f>
        <v/>
      </c>
      <c r="K1025" s="15"/>
      <c r="L1025" s="97" t="str">
        <f aca="false">IF(C1025="","",IF(OR(C1025="Material",C1025="Equipo",C1025="Suministro"),"Materiales y equipos",IF(C1025="Mano de obra contratista","Mano de obra contratista",IF(C1025="Transporte","Transporte y otros","Alquileres"))))</f>
        <v/>
      </c>
      <c r="M1025" s="6"/>
    </row>
    <row r="1026" customFormat="false" ht="16.5" hidden="false" customHeight="true" outlineLevel="0" collapsed="false">
      <c r="A1026" s="95" t="str">
        <f aca="false">IF(AND(B1026="",C1026=""),"",ROW()-6)</f>
        <v/>
      </c>
      <c r="B1026" s="83"/>
      <c r="C1026" s="15"/>
      <c r="D1026" s="15"/>
      <c r="E1026" s="85"/>
      <c r="F1026" s="15"/>
      <c r="G1026" s="15"/>
      <c r="H1026" s="96"/>
      <c r="I1026" s="16"/>
      <c r="J1026" s="37" t="str">
        <f aca="false">IF(I1026="","",IF(H1026="",1,H1026)*I1026)</f>
        <v/>
      </c>
      <c r="K1026" s="15"/>
      <c r="L1026" s="97" t="str">
        <f aca="false">IF(C1026="","",IF(OR(C1026="Material",C1026="Equipo",C1026="Suministro"),"Materiales y equipos",IF(C1026="Mano de obra contratista","Mano de obra contratista",IF(C1026="Transporte","Transporte y otros","Alquileres"))))</f>
        <v/>
      </c>
      <c r="M1026" s="6"/>
    </row>
    <row r="1027" customFormat="false" ht="16.5" hidden="false" customHeight="true" outlineLevel="0" collapsed="false">
      <c r="A1027" s="95" t="str">
        <f aca="false">IF(AND(B1027="",C1027=""),"",ROW()-6)</f>
        <v/>
      </c>
      <c r="B1027" s="83"/>
      <c r="C1027" s="15"/>
      <c r="D1027" s="15"/>
      <c r="E1027" s="85"/>
      <c r="F1027" s="15"/>
      <c r="G1027" s="15"/>
      <c r="H1027" s="96"/>
      <c r="I1027" s="16"/>
      <c r="J1027" s="37" t="str">
        <f aca="false">IF(I1027="","",IF(H1027="",1,H1027)*I1027)</f>
        <v/>
      </c>
      <c r="K1027" s="15"/>
      <c r="L1027" s="97" t="str">
        <f aca="false">IF(C1027="","",IF(OR(C1027="Material",C1027="Equipo",C1027="Suministro"),"Materiales y equipos",IF(C1027="Mano de obra contratista","Mano de obra contratista",IF(C1027="Transporte","Transporte y otros","Alquileres"))))</f>
        <v/>
      </c>
      <c r="M1027" s="6"/>
    </row>
    <row r="1028" customFormat="false" ht="16.5" hidden="false" customHeight="true" outlineLevel="0" collapsed="false">
      <c r="A1028" s="95" t="str">
        <f aca="false">IF(AND(B1028="",C1028=""),"",ROW()-6)</f>
        <v/>
      </c>
      <c r="B1028" s="83"/>
      <c r="C1028" s="15"/>
      <c r="D1028" s="15"/>
      <c r="E1028" s="85"/>
      <c r="F1028" s="15"/>
      <c r="G1028" s="15"/>
      <c r="H1028" s="96"/>
      <c r="I1028" s="16"/>
      <c r="J1028" s="37" t="str">
        <f aca="false">IF(I1028="","",IF(H1028="",1,H1028)*I1028)</f>
        <v/>
      </c>
      <c r="K1028" s="15"/>
      <c r="L1028" s="97" t="str">
        <f aca="false">IF(C1028="","",IF(OR(C1028="Material",C1028="Equipo",C1028="Suministro"),"Materiales y equipos",IF(C1028="Mano de obra contratista","Mano de obra contratista",IF(C1028="Transporte","Transporte y otros","Alquileres"))))</f>
        <v/>
      </c>
      <c r="M1028" s="6"/>
    </row>
    <row r="1029" customFormat="false" ht="16.5" hidden="false" customHeight="true" outlineLevel="0" collapsed="false">
      <c r="A1029" s="95" t="str">
        <f aca="false">IF(AND(B1029="",C1029=""),"",ROW()-6)</f>
        <v/>
      </c>
      <c r="B1029" s="83"/>
      <c r="C1029" s="15"/>
      <c r="D1029" s="15"/>
      <c r="E1029" s="85"/>
      <c r="F1029" s="15"/>
      <c r="G1029" s="15"/>
      <c r="H1029" s="96"/>
      <c r="I1029" s="16"/>
      <c r="J1029" s="37" t="str">
        <f aca="false">IF(I1029="","",IF(H1029="",1,H1029)*I1029)</f>
        <v/>
      </c>
      <c r="K1029" s="15"/>
      <c r="L1029" s="97" t="str">
        <f aca="false">IF(C1029="","",IF(OR(C1029="Material",C1029="Equipo",C1029="Suministro"),"Materiales y equipos",IF(C1029="Mano de obra contratista","Mano de obra contratista",IF(C1029="Transporte","Transporte y otros","Alquileres"))))</f>
        <v/>
      </c>
      <c r="M1029" s="6"/>
    </row>
    <row r="1030" customFormat="false" ht="16.5" hidden="false" customHeight="true" outlineLevel="0" collapsed="false">
      <c r="A1030" s="95" t="str">
        <f aca="false">IF(AND(B1030="",C1030=""),"",ROW()-6)</f>
        <v/>
      </c>
      <c r="B1030" s="83"/>
      <c r="C1030" s="15"/>
      <c r="D1030" s="15"/>
      <c r="E1030" s="85"/>
      <c r="F1030" s="15"/>
      <c r="G1030" s="15"/>
      <c r="H1030" s="96"/>
      <c r="I1030" s="16"/>
      <c r="J1030" s="37" t="str">
        <f aca="false">IF(I1030="","",IF(H1030="",1,H1030)*I1030)</f>
        <v/>
      </c>
      <c r="K1030" s="15"/>
      <c r="L1030" s="97" t="str">
        <f aca="false">IF(C1030="","",IF(OR(C1030="Material",C1030="Equipo",C1030="Suministro"),"Materiales y equipos",IF(C1030="Mano de obra contratista","Mano de obra contratista",IF(C1030="Transporte","Transporte y otros","Alquileres"))))</f>
        <v/>
      </c>
      <c r="M1030" s="6"/>
    </row>
    <row r="1031" customFormat="false" ht="16.5" hidden="false" customHeight="true" outlineLevel="0" collapsed="false">
      <c r="A1031" s="95" t="str">
        <f aca="false">IF(AND(B1031="",C1031=""),"",ROW()-6)</f>
        <v/>
      </c>
      <c r="B1031" s="83"/>
      <c r="C1031" s="15"/>
      <c r="D1031" s="15"/>
      <c r="E1031" s="85"/>
      <c r="F1031" s="15"/>
      <c r="G1031" s="15"/>
      <c r="H1031" s="96"/>
      <c r="I1031" s="16"/>
      <c r="J1031" s="37" t="str">
        <f aca="false">IF(I1031="","",IF(H1031="",1,H1031)*I1031)</f>
        <v/>
      </c>
      <c r="K1031" s="15"/>
      <c r="L1031" s="97" t="str">
        <f aca="false">IF(C1031="","",IF(OR(C1031="Material",C1031="Equipo",C1031="Suministro"),"Materiales y equipos",IF(C1031="Mano de obra contratista","Mano de obra contratista",IF(C1031="Transporte","Transporte y otros","Alquileres"))))</f>
        <v/>
      </c>
      <c r="M1031" s="6"/>
    </row>
    <row r="1032" customFormat="false" ht="16.5" hidden="false" customHeight="true" outlineLevel="0" collapsed="false">
      <c r="A1032" s="95" t="str">
        <f aca="false">IF(AND(B1032="",C1032=""),"",ROW()-6)</f>
        <v/>
      </c>
      <c r="B1032" s="83"/>
      <c r="C1032" s="15"/>
      <c r="D1032" s="15"/>
      <c r="E1032" s="85"/>
      <c r="F1032" s="15"/>
      <c r="G1032" s="15"/>
      <c r="H1032" s="96"/>
      <c r="I1032" s="16"/>
      <c r="J1032" s="37" t="str">
        <f aca="false">IF(I1032="","",IF(H1032="",1,H1032)*I1032)</f>
        <v/>
      </c>
      <c r="K1032" s="15"/>
      <c r="L1032" s="97" t="str">
        <f aca="false">IF(C1032="","",IF(OR(C1032="Material",C1032="Equipo",C1032="Suministro"),"Materiales y equipos",IF(C1032="Mano de obra contratista","Mano de obra contratista",IF(C1032="Transporte","Transporte y otros","Alquileres"))))</f>
        <v/>
      </c>
      <c r="M1032" s="6"/>
    </row>
    <row r="1033" customFormat="false" ht="16.5" hidden="false" customHeight="true" outlineLevel="0" collapsed="false">
      <c r="A1033" s="95" t="str">
        <f aca="false">IF(AND(B1033="",C1033=""),"",ROW()-6)</f>
        <v/>
      </c>
      <c r="B1033" s="83"/>
      <c r="C1033" s="15"/>
      <c r="D1033" s="15"/>
      <c r="E1033" s="85"/>
      <c r="F1033" s="15"/>
      <c r="G1033" s="15"/>
      <c r="H1033" s="96"/>
      <c r="I1033" s="16"/>
      <c r="J1033" s="37" t="str">
        <f aca="false">IF(I1033="","",IF(H1033="",1,H1033)*I1033)</f>
        <v/>
      </c>
      <c r="K1033" s="15"/>
      <c r="L1033" s="97" t="str">
        <f aca="false">IF(C1033="","",IF(OR(C1033="Material",C1033="Equipo",C1033="Suministro"),"Materiales y equipos",IF(C1033="Mano de obra contratista","Mano de obra contratista",IF(C1033="Transporte","Transporte y otros","Alquileres"))))</f>
        <v/>
      </c>
      <c r="M1033" s="6"/>
    </row>
    <row r="1034" customFormat="false" ht="16.5" hidden="false" customHeight="true" outlineLevel="0" collapsed="false">
      <c r="A1034" s="95" t="str">
        <f aca="false">IF(AND(B1034="",C1034=""),"",ROW()-6)</f>
        <v/>
      </c>
      <c r="B1034" s="83"/>
      <c r="C1034" s="15"/>
      <c r="D1034" s="15"/>
      <c r="E1034" s="85"/>
      <c r="F1034" s="15"/>
      <c r="G1034" s="15"/>
      <c r="H1034" s="96"/>
      <c r="I1034" s="16"/>
      <c r="J1034" s="37" t="str">
        <f aca="false">IF(I1034="","",IF(H1034="",1,H1034)*I1034)</f>
        <v/>
      </c>
      <c r="K1034" s="15"/>
      <c r="L1034" s="97" t="str">
        <f aca="false">IF(C1034="","",IF(OR(C1034="Material",C1034="Equipo",C1034="Suministro"),"Materiales y equipos",IF(C1034="Mano de obra contratista","Mano de obra contratista",IF(C1034="Transporte","Transporte y otros","Alquileres"))))</f>
        <v/>
      </c>
      <c r="M1034" s="6"/>
    </row>
    <row r="1035" customFormat="false" ht="16.5" hidden="false" customHeight="true" outlineLevel="0" collapsed="false">
      <c r="A1035" s="95" t="str">
        <f aca="false">IF(AND(B1035="",C1035=""),"",ROW()-6)</f>
        <v/>
      </c>
      <c r="B1035" s="83"/>
      <c r="C1035" s="15"/>
      <c r="D1035" s="15"/>
      <c r="E1035" s="85"/>
      <c r="F1035" s="15"/>
      <c r="G1035" s="15"/>
      <c r="H1035" s="96"/>
      <c r="I1035" s="16"/>
      <c r="J1035" s="37" t="str">
        <f aca="false">IF(I1035="","",IF(H1035="",1,H1035)*I1035)</f>
        <v/>
      </c>
      <c r="K1035" s="15"/>
      <c r="L1035" s="97" t="str">
        <f aca="false">IF(C1035="","",IF(OR(C1035="Material",C1035="Equipo",C1035="Suministro"),"Materiales y equipos",IF(C1035="Mano de obra contratista","Mano de obra contratista",IF(C1035="Transporte","Transporte y otros","Alquileres"))))</f>
        <v/>
      </c>
      <c r="M1035" s="6"/>
    </row>
    <row r="1036" customFormat="false" ht="16.5" hidden="false" customHeight="true" outlineLevel="0" collapsed="false">
      <c r="A1036" s="95" t="str">
        <f aca="false">IF(AND(B1036="",C1036=""),"",ROW()-6)</f>
        <v/>
      </c>
      <c r="B1036" s="83"/>
      <c r="C1036" s="15"/>
      <c r="D1036" s="15"/>
      <c r="E1036" s="85"/>
      <c r="F1036" s="15"/>
      <c r="G1036" s="15"/>
      <c r="H1036" s="96"/>
      <c r="I1036" s="16"/>
      <c r="J1036" s="37" t="str">
        <f aca="false">IF(I1036="","",IF(H1036="",1,H1036)*I1036)</f>
        <v/>
      </c>
      <c r="K1036" s="15"/>
      <c r="L1036" s="97" t="str">
        <f aca="false">IF(C1036="","",IF(OR(C1036="Material",C1036="Equipo",C1036="Suministro"),"Materiales y equipos",IF(C1036="Mano de obra contratista","Mano de obra contratista",IF(C1036="Transporte","Transporte y otros","Alquileres"))))</f>
        <v/>
      </c>
      <c r="M1036" s="6"/>
    </row>
    <row r="1037" customFormat="false" ht="16.5" hidden="false" customHeight="true" outlineLevel="0" collapsed="false">
      <c r="A1037" s="95" t="str">
        <f aca="false">IF(AND(B1037="",C1037=""),"",ROW()-6)</f>
        <v/>
      </c>
      <c r="B1037" s="83"/>
      <c r="C1037" s="15"/>
      <c r="D1037" s="15"/>
      <c r="E1037" s="85"/>
      <c r="F1037" s="15"/>
      <c r="G1037" s="15"/>
      <c r="H1037" s="96"/>
      <c r="I1037" s="16"/>
      <c r="J1037" s="37" t="str">
        <f aca="false">IF(I1037="","",IF(H1037="",1,H1037)*I1037)</f>
        <v/>
      </c>
      <c r="K1037" s="15"/>
      <c r="L1037" s="97" t="str">
        <f aca="false">IF(C1037="","",IF(OR(C1037="Material",C1037="Equipo",C1037="Suministro"),"Materiales y equipos",IF(C1037="Mano de obra contratista","Mano de obra contratista",IF(C1037="Transporte","Transporte y otros","Alquileres"))))</f>
        <v/>
      </c>
      <c r="M1037" s="6"/>
    </row>
    <row r="1038" customFormat="false" ht="16.5" hidden="false" customHeight="true" outlineLevel="0" collapsed="false">
      <c r="A1038" s="95" t="str">
        <f aca="false">IF(AND(B1038="",C1038=""),"",ROW()-6)</f>
        <v/>
      </c>
      <c r="B1038" s="83"/>
      <c r="C1038" s="15"/>
      <c r="D1038" s="15"/>
      <c r="E1038" s="85"/>
      <c r="F1038" s="15"/>
      <c r="G1038" s="15"/>
      <c r="H1038" s="96"/>
      <c r="I1038" s="16"/>
      <c r="J1038" s="37" t="str">
        <f aca="false">IF(I1038="","",IF(H1038="",1,H1038)*I1038)</f>
        <v/>
      </c>
      <c r="K1038" s="15"/>
      <c r="L1038" s="97" t="str">
        <f aca="false">IF(C1038="","",IF(OR(C1038="Material",C1038="Equipo",C1038="Suministro"),"Materiales y equipos",IF(C1038="Mano de obra contratista","Mano de obra contratista",IF(C1038="Transporte","Transporte y otros","Alquileres"))))</f>
        <v/>
      </c>
      <c r="M1038" s="6"/>
    </row>
    <row r="1039" customFormat="false" ht="16.5" hidden="false" customHeight="true" outlineLevel="0" collapsed="false">
      <c r="A1039" s="95" t="str">
        <f aca="false">IF(AND(B1039="",C1039=""),"",ROW()-6)</f>
        <v/>
      </c>
      <c r="B1039" s="83"/>
      <c r="C1039" s="15"/>
      <c r="D1039" s="15"/>
      <c r="E1039" s="85"/>
      <c r="F1039" s="15"/>
      <c r="G1039" s="15"/>
      <c r="H1039" s="96"/>
      <c r="I1039" s="16"/>
      <c r="J1039" s="37" t="str">
        <f aca="false">IF(I1039="","",IF(H1039="",1,H1039)*I1039)</f>
        <v/>
      </c>
      <c r="K1039" s="15"/>
      <c r="L1039" s="97" t="str">
        <f aca="false">IF(C1039="","",IF(OR(C1039="Material",C1039="Equipo",C1039="Suministro"),"Materiales y equipos",IF(C1039="Mano de obra contratista","Mano de obra contratista",IF(C1039="Transporte","Transporte y otros","Alquileres"))))</f>
        <v/>
      </c>
      <c r="M1039" s="6"/>
    </row>
    <row r="1040" customFormat="false" ht="16.5" hidden="false" customHeight="true" outlineLevel="0" collapsed="false">
      <c r="A1040" s="95" t="str">
        <f aca="false">IF(AND(B1040="",C1040=""),"",ROW()-6)</f>
        <v/>
      </c>
      <c r="B1040" s="83"/>
      <c r="C1040" s="15"/>
      <c r="D1040" s="15"/>
      <c r="E1040" s="85"/>
      <c r="F1040" s="15"/>
      <c r="G1040" s="15"/>
      <c r="H1040" s="96"/>
      <c r="I1040" s="16"/>
      <c r="J1040" s="37" t="str">
        <f aca="false">IF(I1040="","",IF(H1040="",1,H1040)*I1040)</f>
        <v/>
      </c>
      <c r="K1040" s="15"/>
      <c r="L1040" s="97" t="str">
        <f aca="false">IF(C1040="","",IF(OR(C1040="Material",C1040="Equipo",C1040="Suministro"),"Materiales y equipos",IF(C1040="Mano de obra contratista","Mano de obra contratista",IF(C1040="Transporte","Transporte y otros","Alquileres"))))</f>
        <v/>
      </c>
      <c r="M1040" s="6"/>
    </row>
    <row r="1041" customFormat="false" ht="16.5" hidden="false" customHeight="true" outlineLevel="0" collapsed="false">
      <c r="A1041" s="95" t="str">
        <f aca="false">IF(AND(B1041="",C1041=""),"",ROW()-6)</f>
        <v/>
      </c>
      <c r="B1041" s="83"/>
      <c r="C1041" s="15"/>
      <c r="D1041" s="15"/>
      <c r="E1041" s="85"/>
      <c r="F1041" s="15"/>
      <c r="G1041" s="15"/>
      <c r="H1041" s="96"/>
      <c r="I1041" s="16"/>
      <c r="J1041" s="37" t="str">
        <f aca="false">IF(I1041="","",IF(H1041="",1,H1041)*I1041)</f>
        <v/>
      </c>
      <c r="K1041" s="15"/>
      <c r="L1041" s="97" t="str">
        <f aca="false">IF(C1041="","",IF(OR(C1041="Material",C1041="Equipo",C1041="Suministro"),"Materiales y equipos",IF(C1041="Mano de obra contratista","Mano de obra contratista",IF(C1041="Transporte","Transporte y otros","Alquileres"))))</f>
        <v/>
      </c>
      <c r="M1041" s="6"/>
    </row>
    <row r="1042" customFormat="false" ht="16.5" hidden="false" customHeight="true" outlineLevel="0" collapsed="false">
      <c r="A1042" s="95" t="str">
        <f aca="false">IF(AND(B1042="",C1042=""),"",ROW()-6)</f>
        <v/>
      </c>
      <c r="B1042" s="83"/>
      <c r="C1042" s="15"/>
      <c r="D1042" s="15"/>
      <c r="E1042" s="85"/>
      <c r="F1042" s="15"/>
      <c r="G1042" s="15"/>
      <c r="H1042" s="96"/>
      <c r="I1042" s="16"/>
      <c r="J1042" s="37" t="str">
        <f aca="false">IF(I1042="","",IF(H1042="",1,H1042)*I1042)</f>
        <v/>
      </c>
      <c r="K1042" s="15"/>
      <c r="L1042" s="97" t="str">
        <f aca="false">IF(C1042="","",IF(OR(C1042="Material",C1042="Equipo",C1042="Suministro"),"Materiales y equipos",IF(C1042="Mano de obra contratista","Mano de obra contratista",IF(C1042="Transporte","Transporte y otros","Alquileres"))))</f>
        <v/>
      </c>
      <c r="M1042" s="6"/>
    </row>
    <row r="1043" customFormat="false" ht="16.5" hidden="false" customHeight="true" outlineLevel="0" collapsed="false">
      <c r="A1043" s="95" t="str">
        <f aca="false">IF(AND(B1043="",C1043=""),"",ROW()-6)</f>
        <v/>
      </c>
      <c r="B1043" s="83"/>
      <c r="C1043" s="15"/>
      <c r="D1043" s="15"/>
      <c r="E1043" s="85"/>
      <c r="F1043" s="15"/>
      <c r="G1043" s="15"/>
      <c r="H1043" s="96"/>
      <c r="I1043" s="16"/>
      <c r="J1043" s="37" t="str">
        <f aca="false">IF(I1043="","",IF(H1043="",1,H1043)*I1043)</f>
        <v/>
      </c>
      <c r="K1043" s="15"/>
      <c r="L1043" s="97" t="str">
        <f aca="false">IF(C1043="","",IF(OR(C1043="Material",C1043="Equipo",C1043="Suministro"),"Materiales y equipos",IF(C1043="Mano de obra contratista","Mano de obra contratista",IF(C1043="Transporte","Transporte y otros","Alquileres"))))</f>
        <v/>
      </c>
      <c r="M1043" s="6"/>
    </row>
    <row r="1044" customFormat="false" ht="16.5" hidden="false" customHeight="true" outlineLevel="0" collapsed="false">
      <c r="A1044" s="95" t="str">
        <f aca="false">IF(AND(B1044="",C1044=""),"",ROW()-6)</f>
        <v/>
      </c>
      <c r="B1044" s="83"/>
      <c r="C1044" s="15"/>
      <c r="D1044" s="15"/>
      <c r="E1044" s="85"/>
      <c r="F1044" s="15"/>
      <c r="G1044" s="15"/>
      <c r="H1044" s="96"/>
      <c r="I1044" s="16"/>
      <c r="J1044" s="37" t="str">
        <f aca="false">IF(I1044="","",IF(H1044="",1,H1044)*I1044)</f>
        <v/>
      </c>
      <c r="K1044" s="15"/>
      <c r="L1044" s="97" t="str">
        <f aca="false">IF(C1044="","",IF(OR(C1044="Material",C1044="Equipo",C1044="Suministro"),"Materiales y equipos",IF(C1044="Mano de obra contratista","Mano de obra contratista",IF(C1044="Transporte","Transporte y otros","Alquileres"))))</f>
        <v/>
      </c>
      <c r="M1044" s="6"/>
    </row>
    <row r="1045" customFormat="false" ht="16.5" hidden="false" customHeight="true" outlineLevel="0" collapsed="false">
      <c r="A1045" s="95" t="str">
        <f aca="false">IF(AND(B1045="",C1045=""),"",ROW()-6)</f>
        <v/>
      </c>
      <c r="B1045" s="83"/>
      <c r="C1045" s="15"/>
      <c r="D1045" s="15"/>
      <c r="E1045" s="85"/>
      <c r="F1045" s="15"/>
      <c r="G1045" s="15"/>
      <c r="H1045" s="96"/>
      <c r="I1045" s="16"/>
      <c r="J1045" s="37" t="str">
        <f aca="false">IF(I1045="","",IF(H1045="",1,H1045)*I1045)</f>
        <v/>
      </c>
      <c r="K1045" s="15"/>
      <c r="L1045" s="97" t="str">
        <f aca="false">IF(C1045="","",IF(OR(C1045="Material",C1045="Equipo",C1045="Suministro"),"Materiales y equipos",IF(C1045="Mano de obra contratista","Mano de obra contratista",IF(C1045="Transporte","Transporte y otros","Alquileres"))))</f>
        <v/>
      </c>
      <c r="M1045" s="6"/>
    </row>
    <row r="1046" customFormat="false" ht="16.5" hidden="false" customHeight="true" outlineLevel="0" collapsed="false">
      <c r="A1046" s="95" t="str">
        <f aca="false">IF(AND(B1046="",C1046=""),"",ROW()-6)</f>
        <v/>
      </c>
      <c r="B1046" s="83"/>
      <c r="C1046" s="15"/>
      <c r="D1046" s="15"/>
      <c r="E1046" s="85"/>
      <c r="F1046" s="15"/>
      <c r="G1046" s="15"/>
      <c r="H1046" s="96"/>
      <c r="I1046" s="16"/>
      <c r="J1046" s="37" t="str">
        <f aca="false">IF(I1046="","",IF(H1046="",1,H1046)*I1046)</f>
        <v/>
      </c>
      <c r="K1046" s="15"/>
      <c r="L1046" s="97" t="str">
        <f aca="false">IF(C1046="","",IF(OR(C1046="Material",C1046="Equipo",C1046="Suministro"),"Materiales y equipos",IF(C1046="Mano de obra contratista","Mano de obra contratista",IF(C1046="Transporte","Transporte y otros","Alquileres"))))</f>
        <v/>
      </c>
      <c r="M1046" s="6"/>
    </row>
    <row r="1047" customFormat="false" ht="16.5" hidden="false" customHeight="true" outlineLevel="0" collapsed="false">
      <c r="A1047" s="95" t="str">
        <f aca="false">IF(AND(B1047="",C1047=""),"",ROW()-6)</f>
        <v/>
      </c>
      <c r="B1047" s="83"/>
      <c r="C1047" s="15"/>
      <c r="D1047" s="15"/>
      <c r="E1047" s="85"/>
      <c r="F1047" s="15"/>
      <c r="G1047" s="15"/>
      <c r="H1047" s="96"/>
      <c r="I1047" s="16"/>
      <c r="J1047" s="37" t="str">
        <f aca="false">IF(I1047="","",IF(H1047="",1,H1047)*I1047)</f>
        <v/>
      </c>
      <c r="K1047" s="15"/>
      <c r="L1047" s="97" t="str">
        <f aca="false">IF(C1047="","",IF(OR(C1047="Material",C1047="Equipo",C1047="Suministro"),"Materiales y equipos",IF(C1047="Mano de obra contratista","Mano de obra contratista",IF(C1047="Transporte","Transporte y otros","Alquileres"))))</f>
        <v/>
      </c>
      <c r="M1047" s="6"/>
    </row>
    <row r="1048" customFormat="false" ht="16.5" hidden="false" customHeight="true" outlineLevel="0" collapsed="false">
      <c r="A1048" s="95" t="str">
        <f aca="false">IF(AND(B1048="",C1048=""),"",ROW()-6)</f>
        <v/>
      </c>
      <c r="B1048" s="83"/>
      <c r="C1048" s="15"/>
      <c r="D1048" s="15"/>
      <c r="E1048" s="85"/>
      <c r="F1048" s="15"/>
      <c r="G1048" s="15"/>
      <c r="H1048" s="96"/>
      <c r="I1048" s="16"/>
      <c r="J1048" s="37" t="str">
        <f aca="false">IF(I1048="","",IF(H1048="",1,H1048)*I1048)</f>
        <v/>
      </c>
      <c r="K1048" s="15"/>
      <c r="L1048" s="97" t="str">
        <f aca="false">IF(C1048="","",IF(OR(C1048="Material",C1048="Equipo",C1048="Suministro"),"Materiales y equipos",IF(C1048="Mano de obra contratista","Mano de obra contratista",IF(C1048="Transporte","Transporte y otros","Alquileres"))))</f>
        <v/>
      </c>
      <c r="M1048" s="6"/>
    </row>
    <row r="1049" customFormat="false" ht="16.5" hidden="false" customHeight="true" outlineLevel="0" collapsed="false">
      <c r="A1049" s="95" t="str">
        <f aca="false">IF(AND(B1049="",C1049=""),"",ROW()-6)</f>
        <v/>
      </c>
      <c r="B1049" s="83"/>
      <c r="C1049" s="15"/>
      <c r="D1049" s="15"/>
      <c r="E1049" s="85"/>
      <c r="F1049" s="15"/>
      <c r="G1049" s="15"/>
      <c r="H1049" s="96"/>
      <c r="I1049" s="16"/>
      <c r="J1049" s="37" t="str">
        <f aca="false">IF(I1049="","",IF(H1049="",1,H1049)*I1049)</f>
        <v/>
      </c>
      <c r="K1049" s="15"/>
      <c r="L1049" s="97" t="str">
        <f aca="false">IF(C1049="","",IF(OR(C1049="Material",C1049="Equipo",C1049="Suministro"),"Materiales y equipos",IF(C1049="Mano de obra contratista","Mano de obra contratista",IF(C1049="Transporte","Transporte y otros","Alquileres"))))</f>
        <v/>
      </c>
      <c r="M1049" s="6"/>
    </row>
    <row r="1050" customFormat="false" ht="16.5" hidden="false" customHeight="true" outlineLevel="0" collapsed="false">
      <c r="A1050" s="95" t="str">
        <f aca="false">IF(AND(B1050="",C1050=""),"",ROW()-6)</f>
        <v/>
      </c>
      <c r="B1050" s="83"/>
      <c r="C1050" s="15"/>
      <c r="D1050" s="15"/>
      <c r="E1050" s="85"/>
      <c r="F1050" s="15"/>
      <c r="G1050" s="15"/>
      <c r="H1050" s="96"/>
      <c r="I1050" s="16"/>
      <c r="J1050" s="37" t="str">
        <f aca="false">IF(I1050="","",IF(H1050="",1,H1050)*I1050)</f>
        <v/>
      </c>
      <c r="K1050" s="15"/>
      <c r="L1050" s="97" t="str">
        <f aca="false">IF(C1050="","",IF(OR(C1050="Material",C1050="Equipo",C1050="Suministro"),"Materiales y equipos",IF(C1050="Mano de obra contratista","Mano de obra contratista",IF(C1050="Transporte","Transporte y otros","Alquileres"))))</f>
        <v/>
      </c>
      <c r="M1050" s="6"/>
    </row>
    <row r="1051" customFormat="false" ht="16.5" hidden="false" customHeight="true" outlineLevel="0" collapsed="false">
      <c r="A1051" s="95" t="str">
        <f aca="false">IF(AND(B1051="",C1051=""),"",ROW()-6)</f>
        <v/>
      </c>
      <c r="B1051" s="83"/>
      <c r="C1051" s="15"/>
      <c r="D1051" s="15"/>
      <c r="E1051" s="85"/>
      <c r="F1051" s="15"/>
      <c r="G1051" s="15"/>
      <c r="H1051" s="96"/>
      <c r="I1051" s="16"/>
      <c r="J1051" s="37" t="str">
        <f aca="false">IF(I1051="","",IF(H1051="",1,H1051)*I1051)</f>
        <v/>
      </c>
      <c r="K1051" s="15"/>
      <c r="L1051" s="97" t="str">
        <f aca="false">IF(C1051="","",IF(OR(C1051="Material",C1051="Equipo",C1051="Suministro"),"Materiales y equipos",IF(C1051="Mano de obra contratista","Mano de obra contratista",IF(C1051="Transporte","Transporte y otros","Alquileres"))))</f>
        <v/>
      </c>
      <c r="M1051" s="6"/>
    </row>
    <row r="1052" customFormat="false" ht="16.5" hidden="false" customHeight="true" outlineLevel="0" collapsed="false">
      <c r="A1052" s="95" t="str">
        <f aca="false">IF(AND(B1052="",C1052=""),"",ROW()-6)</f>
        <v/>
      </c>
      <c r="B1052" s="83"/>
      <c r="C1052" s="15"/>
      <c r="D1052" s="15"/>
      <c r="E1052" s="85"/>
      <c r="F1052" s="15"/>
      <c r="G1052" s="15"/>
      <c r="H1052" s="96"/>
      <c r="I1052" s="16"/>
      <c r="J1052" s="37" t="str">
        <f aca="false">IF(I1052="","",IF(H1052="",1,H1052)*I1052)</f>
        <v/>
      </c>
      <c r="K1052" s="15"/>
      <c r="L1052" s="97" t="str">
        <f aca="false">IF(C1052="","",IF(OR(C1052="Material",C1052="Equipo",C1052="Suministro"),"Materiales y equipos",IF(C1052="Mano de obra contratista","Mano de obra contratista",IF(C1052="Transporte","Transporte y otros","Alquileres"))))</f>
        <v/>
      </c>
      <c r="M1052" s="6"/>
    </row>
    <row r="1053" customFormat="false" ht="16.5" hidden="false" customHeight="true" outlineLevel="0" collapsed="false">
      <c r="A1053" s="95" t="str">
        <f aca="false">IF(AND(B1053="",C1053=""),"",ROW()-6)</f>
        <v/>
      </c>
      <c r="B1053" s="83"/>
      <c r="C1053" s="15"/>
      <c r="D1053" s="15"/>
      <c r="E1053" s="85"/>
      <c r="F1053" s="15"/>
      <c r="G1053" s="15"/>
      <c r="H1053" s="96"/>
      <c r="I1053" s="16"/>
      <c r="J1053" s="37" t="str">
        <f aca="false">IF(I1053="","",IF(H1053="",1,H1053)*I1053)</f>
        <v/>
      </c>
      <c r="K1053" s="15"/>
      <c r="L1053" s="97" t="str">
        <f aca="false">IF(C1053="","",IF(OR(C1053="Material",C1053="Equipo",C1053="Suministro"),"Materiales y equipos",IF(C1053="Mano de obra contratista","Mano de obra contratista",IF(C1053="Transporte","Transporte y otros","Alquileres"))))</f>
        <v/>
      </c>
      <c r="M1053" s="6"/>
    </row>
    <row r="1054" customFormat="false" ht="16.5" hidden="false" customHeight="true" outlineLevel="0" collapsed="false">
      <c r="A1054" s="95" t="str">
        <f aca="false">IF(AND(B1054="",C1054=""),"",ROW()-6)</f>
        <v/>
      </c>
      <c r="B1054" s="83"/>
      <c r="C1054" s="15"/>
      <c r="D1054" s="15"/>
      <c r="E1054" s="85"/>
      <c r="F1054" s="15"/>
      <c r="G1054" s="15"/>
      <c r="H1054" s="96"/>
      <c r="I1054" s="16"/>
      <c r="J1054" s="37" t="str">
        <f aca="false">IF(I1054="","",IF(H1054="",1,H1054)*I1054)</f>
        <v/>
      </c>
      <c r="K1054" s="15"/>
      <c r="L1054" s="97" t="str">
        <f aca="false">IF(C1054="","",IF(OR(C1054="Material",C1054="Equipo",C1054="Suministro"),"Materiales y equipos",IF(C1054="Mano de obra contratista","Mano de obra contratista",IF(C1054="Transporte","Transporte y otros","Alquileres"))))</f>
        <v/>
      </c>
      <c r="M1054" s="6"/>
    </row>
    <row r="1055" customFormat="false" ht="16.5" hidden="false" customHeight="true" outlineLevel="0" collapsed="false">
      <c r="A1055" s="95" t="str">
        <f aca="false">IF(AND(B1055="",C1055=""),"",ROW()-6)</f>
        <v/>
      </c>
      <c r="B1055" s="83"/>
      <c r="C1055" s="15"/>
      <c r="D1055" s="15"/>
      <c r="E1055" s="85"/>
      <c r="F1055" s="15"/>
      <c r="G1055" s="15"/>
      <c r="H1055" s="96"/>
      <c r="I1055" s="16"/>
      <c r="J1055" s="37" t="str">
        <f aca="false">IF(I1055="","",IF(H1055="",1,H1055)*I1055)</f>
        <v/>
      </c>
      <c r="K1055" s="15"/>
      <c r="L1055" s="97" t="str">
        <f aca="false">IF(C1055="","",IF(OR(C1055="Material",C1055="Equipo",C1055="Suministro"),"Materiales y equipos",IF(C1055="Mano de obra contratista","Mano de obra contratista",IF(C1055="Transporte","Transporte y otros","Alquileres"))))</f>
        <v/>
      </c>
      <c r="M1055" s="6"/>
    </row>
    <row r="1056" customFormat="false" ht="16.5" hidden="false" customHeight="true" outlineLevel="0" collapsed="false">
      <c r="A1056" s="95" t="str">
        <f aca="false">IF(AND(B1056="",C1056=""),"",ROW()-6)</f>
        <v/>
      </c>
      <c r="B1056" s="83"/>
      <c r="C1056" s="15"/>
      <c r="D1056" s="15"/>
      <c r="E1056" s="85"/>
      <c r="F1056" s="15"/>
      <c r="G1056" s="15"/>
      <c r="H1056" s="96"/>
      <c r="I1056" s="16"/>
      <c r="J1056" s="37" t="str">
        <f aca="false">IF(I1056="","",IF(H1056="",1,H1056)*I1056)</f>
        <v/>
      </c>
      <c r="K1056" s="15"/>
      <c r="L1056" s="97" t="str">
        <f aca="false">IF(C1056="","",IF(OR(C1056="Material",C1056="Equipo",C1056="Suministro"),"Materiales y equipos",IF(C1056="Mano de obra contratista","Mano de obra contratista",IF(C1056="Transporte","Transporte y otros","Alquileres"))))</f>
        <v/>
      </c>
      <c r="M1056" s="6"/>
    </row>
    <row r="1057" customFormat="false" ht="16.5" hidden="false" customHeight="true" outlineLevel="0" collapsed="false">
      <c r="A1057" s="95" t="str">
        <f aca="false">IF(AND(B1057="",C1057=""),"",ROW()-6)</f>
        <v/>
      </c>
      <c r="B1057" s="83"/>
      <c r="C1057" s="15"/>
      <c r="D1057" s="15"/>
      <c r="E1057" s="85"/>
      <c r="F1057" s="15"/>
      <c r="G1057" s="15"/>
      <c r="H1057" s="96"/>
      <c r="I1057" s="16"/>
      <c r="J1057" s="37" t="str">
        <f aca="false">IF(I1057="","",IF(H1057="",1,H1057)*I1057)</f>
        <v/>
      </c>
      <c r="K1057" s="15"/>
      <c r="L1057" s="97" t="str">
        <f aca="false">IF(C1057="","",IF(OR(C1057="Material",C1057="Equipo",C1057="Suministro"),"Materiales y equipos",IF(C1057="Mano de obra contratista","Mano de obra contratista",IF(C1057="Transporte","Transporte y otros","Alquileres"))))</f>
        <v/>
      </c>
      <c r="M1057" s="6"/>
    </row>
    <row r="1058" customFormat="false" ht="16.5" hidden="false" customHeight="true" outlineLevel="0" collapsed="false">
      <c r="A1058" s="95" t="str">
        <f aca="false">IF(AND(B1058="",C1058=""),"",ROW()-6)</f>
        <v/>
      </c>
      <c r="B1058" s="83"/>
      <c r="C1058" s="15"/>
      <c r="D1058" s="15"/>
      <c r="E1058" s="85"/>
      <c r="F1058" s="15"/>
      <c r="G1058" s="15"/>
      <c r="H1058" s="96"/>
      <c r="I1058" s="16"/>
      <c r="J1058" s="37" t="str">
        <f aca="false">IF(I1058="","",IF(H1058="",1,H1058)*I1058)</f>
        <v/>
      </c>
      <c r="K1058" s="15"/>
      <c r="L1058" s="97" t="str">
        <f aca="false">IF(C1058="","",IF(OR(C1058="Material",C1058="Equipo",C1058="Suministro"),"Materiales y equipos",IF(C1058="Mano de obra contratista","Mano de obra contratista",IF(C1058="Transporte","Transporte y otros","Alquileres"))))</f>
        <v/>
      </c>
      <c r="M1058" s="6"/>
    </row>
    <row r="1059" customFormat="false" ht="16.5" hidden="false" customHeight="true" outlineLevel="0" collapsed="false">
      <c r="A1059" s="95" t="str">
        <f aca="false">IF(AND(B1059="",C1059=""),"",ROW()-6)</f>
        <v/>
      </c>
      <c r="B1059" s="83"/>
      <c r="C1059" s="15"/>
      <c r="D1059" s="15"/>
      <c r="E1059" s="85"/>
      <c r="F1059" s="15"/>
      <c r="G1059" s="15"/>
      <c r="H1059" s="96"/>
      <c r="I1059" s="16"/>
      <c r="J1059" s="37" t="str">
        <f aca="false">IF(I1059="","",IF(H1059="",1,H1059)*I1059)</f>
        <v/>
      </c>
      <c r="K1059" s="15"/>
      <c r="L1059" s="97" t="str">
        <f aca="false">IF(C1059="","",IF(OR(C1059="Material",C1059="Equipo",C1059="Suministro"),"Materiales y equipos",IF(C1059="Mano de obra contratista","Mano de obra contratista",IF(C1059="Transporte","Transporte y otros","Alquileres"))))</f>
        <v/>
      </c>
      <c r="M1059" s="6"/>
    </row>
    <row r="1060" customFormat="false" ht="16.5" hidden="false" customHeight="true" outlineLevel="0" collapsed="false">
      <c r="A1060" s="95" t="str">
        <f aca="false">IF(AND(B1060="",C1060=""),"",ROW()-6)</f>
        <v/>
      </c>
      <c r="B1060" s="83"/>
      <c r="C1060" s="15"/>
      <c r="D1060" s="15"/>
      <c r="E1060" s="85"/>
      <c r="F1060" s="15"/>
      <c r="G1060" s="15"/>
      <c r="H1060" s="96"/>
      <c r="I1060" s="16"/>
      <c r="J1060" s="37" t="str">
        <f aca="false">IF(I1060="","",IF(H1060="",1,H1060)*I1060)</f>
        <v/>
      </c>
      <c r="K1060" s="15"/>
      <c r="L1060" s="97" t="str">
        <f aca="false">IF(C1060="","",IF(OR(C1060="Material",C1060="Equipo",C1060="Suministro"),"Materiales y equipos",IF(C1060="Mano de obra contratista","Mano de obra contratista",IF(C1060="Transporte","Transporte y otros","Alquileres"))))</f>
        <v/>
      </c>
      <c r="M1060" s="6"/>
    </row>
    <row r="1061" customFormat="false" ht="16.5" hidden="false" customHeight="true" outlineLevel="0" collapsed="false">
      <c r="A1061" s="95" t="str">
        <f aca="false">IF(AND(B1061="",C1061=""),"",ROW()-6)</f>
        <v/>
      </c>
      <c r="B1061" s="83"/>
      <c r="C1061" s="15"/>
      <c r="D1061" s="15"/>
      <c r="E1061" s="85"/>
      <c r="F1061" s="15"/>
      <c r="G1061" s="15"/>
      <c r="H1061" s="96"/>
      <c r="I1061" s="16"/>
      <c r="J1061" s="37" t="str">
        <f aca="false">IF(I1061="","",IF(H1061="",1,H1061)*I1061)</f>
        <v/>
      </c>
      <c r="K1061" s="15"/>
      <c r="L1061" s="97" t="str">
        <f aca="false">IF(C1061="","",IF(OR(C1061="Material",C1061="Equipo",C1061="Suministro"),"Materiales y equipos",IF(C1061="Mano de obra contratista","Mano de obra contratista",IF(C1061="Transporte","Transporte y otros","Alquileres"))))</f>
        <v/>
      </c>
      <c r="M1061" s="6"/>
    </row>
    <row r="1062" customFormat="false" ht="16.5" hidden="false" customHeight="true" outlineLevel="0" collapsed="false">
      <c r="A1062" s="95" t="str">
        <f aca="false">IF(AND(B1062="",C1062=""),"",ROW()-6)</f>
        <v/>
      </c>
      <c r="B1062" s="83"/>
      <c r="C1062" s="15"/>
      <c r="D1062" s="15"/>
      <c r="E1062" s="85"/>
      <c r="F1062" s="15"/>
      <c r="G1062" s="15"/>
      <c r="H1062" s="96"/>
      <c r="I1062" s="16"/>
      <c r="J1062" s="37" t="str">
        <f aca="false">IF(I1062="","",IF(H1062="",1,H1062)*I1062)</f>
        <v/>
      </c>
      <c r="K1062" s="15"/>
      <c r="L1062" s="97" t="str">
        <f aca="false">IF(C1062="","",IF(OR(C1062="Material",C1062="Equipo",C1062="Suministro"),"Materiales y equipos",IF(C1062="Mano de obra contratista","Mano de obra contratista",IF(C1062="Transporte","Transporte y otros","Alquileres"))))</f>
        <v/>
      </c>
      <c r="M1062" s="6"/>
    </row>
    <row r="1063" customFormat="false" ht="16.5" hidden="false" customHeight="true" outlineLevel="0" collapsed="false">
      <c r="A1063" s="95" t="str">
        <f aca="false">IF(AND(B1063="",C1063=""),"",ROW()-6)</f>
        <v/>
      </c>
      <c r="B1063" s="83"/>
      <c r="C1063" s="15"/>
      <c r="D1063" s="15"/>
      <c r="E1063" s="85"/>
      <c r="F1063" s="15"/>
      <c r="G1063" s="15"/>
      <c r="H1063" s="96"/>
      <c r="I1063" s="16"/>
      <c r="J1063" s="37" t="str">
        <f aca="false">IF(I1063="","",IF(H1063="",1,H1063)*I1063)</f>
        <v/>
      </c>
      <c r="K1063" s="15"/>
      <c r="L1063" s="97" t="str">
        <f aca="false">IF(C1063="","",IF(OR(C1063="Material",C1063="Equipo",C1063="Suministro"),"Materiales y equipos",IF(C1063="Mano de obra contratista","Mano de obra contratista",IF(C1063="Transporte","Transporte y otros","Alquileres"))))</f>
        <v/>
      </c>
      <c r="M1063" s="6"/>
    </row>
    <row r="1064" customFormat="false" ht="16.5" hidden="false" customHeight="true" outlineLevel="0" collapsed="false">
      <c r="A1064" s="95" t="str">
        <f aca="false">IF(AND(B1064="",C1064=""),"",ROW()-6)</f>
        <v/>
      </c>
      <c r="B1064" s="83"/>
      <c r="C1064" s="15"/>
      <c r="D1064" s="15"/>
      <c r="E1064" s="85"/>
      <c r="F1064" s="15"/>
      <c r="G1064" s="15"/>
      <c r="H1064" s="96"/>
      <c r="I1064" s="16"/>
      <c r="J1064" s="37" t="str">
        <f aca="false">IF(I1064="","",IF(H1064="",1,H1064)*I1064)</f>
        <v/>
      </c>
      <c r="K1064" s="15"/>
      <c r="L1064" s="97" t="str">
        <f aca="false">IF(C1064="","",IF(OR(C1064="Material",C1064="Equipo",C1064="Suministro"),"Materiales y equipos",IF(C1064="Mano de obra contratista","Mano de obra contratista",IF(C1064="Transporte","Transporte y otros","Alquileres"))))</f>
        <v/>
      </c>
      <c r="M1064" s="6"/>
    </row>
    <row r="1065" customFormat="false" ht="16.5" hidden="false" customHeight="true" outlineLevel="0" collapsed="false">
      <c r="A1065" s="95" t="str">
        <f aca="false">IF(AND(B1065="",C1065=""),"",ROW()-6)</f>
        <v/>
      </c>
      <c r="B1065" s="83"/>
      <c r="C1065" s="15"/>
      <c r="D1065" s="15"/>
      <c r="E1065" s="85"/>
      <c r="F1065" s="15"/>
      <c r="G1065" s="15"/>
      <c r="H1065" s="96"/>
      <c r="I1065" s="16"/>
      <c r="J1065" s="37" t="str">
        <f aca="false">IF(I1065="","",IF(H1065="",1,H1065)*I1065)</f>
        <v/>
      </c>
      <c r="K1065" s="15"/>
      <c r="L1065" s="97" t="str">
        <f aca="false">IF(C1065="","",IF(OR(C1065="Material",C1065="Equipo",C1065="Suministro"),"Materiales y equipos",IF(C1065="Mano de obra contratista","Mano de obra contratista",IF(C1065="Transporte","Transporte y otros","Alquileres"))))</f>
        <v/>
      </c>
      <c r="M1065" s="6"/>
    </row>
    <row r="1066" customFormat="false" ht="16.5" hidden="false" customHeight="true" outlineLevel="0" collapsed="false">
      <c r="A1066" s="95" t="str">
        <f aca="false">IF(AND(B1066="",C1066=""),"",ROW()-6)</f>
        <v/>
      </c>
      <c r="B1066" s="83"/>
      <c r="C1066" s="15"/>
      <c r="D1066" s="15"/>
      <c r="E1066" s="85"/>
      <c r="F1066" s="15"/>
      <c r="G1066" s="15"/>
      <c r="H1066" s="96"/>
      <c r="I1066" s="16"/>
      <c r="J1066" s="37" t="str">
        <f aca="false">IF(I1066="","",IF(H1066="",1,H1066)*I1066)</f>
        <v/>
      </c>
      <c r="K1066" s="15"/>
      <c r="L1066" s="97" t="str">
        <f aca="false">IF(C1066="","",IF(OR(C1066="Material",C1066="Equipo",C1066="Suministro"),"Materiales y equipos",IF(C1066="Mano de obra contratista","Mano de obra contratista",IF(C1066="Transporte","Transporte y otros","Alquileres"))))</f>
        <v/>
      </c>
      <c r="M1066" s="6"/>
    </row>
    <row r="1067" customFormat="false" ht="16.5" hidden="false" customHeight="true" outlineLevel="0" collapsed="false">
      <c r="A1067" s="95" t="str">
        <f aca="false">IF(AND(B1067="",C1067=""),"",ROW()-6)</f>
        <v/>
      </c>
      <c r="B1067" s="83"/>
      <c r="C1067" s="15"/>
      <c r="D1067" s="15"/>
      <c r="E1067" s="85"/>
      <c r="F1067" s="15"/>
      <c r="G1067" s="15"/>
      <c r="H1067" s="96"/>
      <c r="I1067" s="16"/>
      <c r="J1067" s="37" t="str">
        <f aca="false">IF(I1067="","",IF(H1067="",1,H1067)*I1067)</f>
        <v/>
      </c>
      <c r="K1067" s="15"/>
      <c r="L1067" s="97" t="str">
        <f aca="false">IF(C1067="","",IF(OR(C1067="Material",C1067="Equipo",C1067="Suministro"),"Materiales y equipos",IF(C1067="Mano de obra contratista","Mano de obra contratista",IF(C1067="Transporte","Transporte y otros","Alquileres"))))</f>
        <v/>
      </c>
      <c r="M1067" s="6"/>
    </row>
    <row r="1068" customFormat="false" ht="16.5" hidden="false" customHeight="true" outlineLevel="0" collapsed="false">
      <c r="A1068" s="95" t="str">
        <f aca="false">IF(AND(B1068="",C1068=""),"",ROW()-6)</f>
        <v/>
      </c>
      <c r="B1068" s="83"/>
      <c r="C1068" s="15"/>
      <c r="D1068" s="15"/>
      <c r="E1068" s="85"/>
      <c r="F1068" s="15"/>
      <c r="G1068" s="15"/>
      <c r="H1068" s="96"/>
      <c r="I1068" s="16"/>
      <c r="J1068" s="37" t="str">
        <f aca="false">IF(I1068="","",IF(H1068="",1,H1068)*I1068)</f>
        <v/>
      </c>
      <c r="K1068" s="15"/>
      <c r="L1068" s="97" t="str">
        <f aca="false">IF(C1068="","",IF(OR(C1068="Material",C1068="Equipo",C1068="Suministro"),"Materiales y equipos",IF(C1068="Mano de obra contratista","Mano de obra contratista",IF(C1068="Transporte","Transporte y otros","Alquileres"))))</f>
        <v/>
      </c>
      <c r="M1068" s="6"/>
    </row>
    <row r="1069" customFormat="false" ht="16.5" hidden="false" customHeight="true" outlineLevel="0" collapsed="false">
      <c r="A1069" s="95" t="str">
        <f aca="false">IF(AND(B1069="",C1069=""),"",ROW()-6)</f>
        <v/>
      </c>
      <c r="B1069" s="83"/>
      <c r="C1069" s="15"/>
      <c r="D1069" s="15"/>
      <c r="E1069" s="85"/>
      <c r="F1069" s="15"/>
      <c r="G1069" s="15"/>
      <c r="H1069" s="96"/>
      <c r="I1069" s="16"/>
      <c r="J1069" s="37" t="str">
        <f aca="false">IF(I1069="","",IF(H1069="",1,H1069)*I1069)</f>
        <v/>
      </c>
      <c r="K1069" s="15"/>
      <c r="L1069" s="97" t="str">
        <f aca="false">IF(C1069="","",IF(OR(C1069="Material",C1069="Equipo",C1069="Suministro"),"Materiales y equipos",IF(C1069="Mano de obra contratista","Mano de obra contratista",IF(C1069="Transporte","Transporte y otros","Alquileres"))))</f>
        <v/>
      </c>
      <c r="M1069" s="6"/>
    </row>
    <row r="1070" customFormat="false" ht="16.5" hidden="false" customHeight="true" outlineLevel="0" collapsed="false">
      <c r="A1070" s="95" t="str">
        <f aca="false">IF(AND(B1070="",C1070=""),"",ROW()-6)</f>
        <v/>
      </c>
      <c r="B1070" s="83"/>
      <c r="C1070" s="15"/>
      <c r="D1070" s="15"/>
      <c r="E1070" s="85"/>
      <c r="F1070" s="15"/>
      <c r="G1070" s="15"/>
      <c r="H1070" s="96"/>
      <c r="I1070" s="16"/>
      <c r="J1070" s="37" t="str">
        <f aca="false">IF(I1070="","",IF(H1070="",1,H1070)*I1070)</f>
        <v/>
      </c>
      <c r="K1070" s="15"/>
      <c r="L1070" s="97" t="str">
        <f aca="false">IF(C1070="","",IF(OR(C1070="Material",C1070="Equipo",C1070="Suministro"),"Materiales y equipos",IF(C1070="Mano de obra contratista","Mano de obra contratista",IF(C1070="Transporte","Transporte y otros","Alquileres"))))</f>
        <v/>
      </c>
      <c r="M1070" s="6"/>
    </row>
    <row r="1071" customFormat="false" ht="16.5" hidden="false" customHeight="true" outlineLevel="0" collapsed="false">
      <c r="A1071" s="95" t="str">
        <f aca="false">IF(AND(B1071="",C1071=""),"",ROW()-6)</f>
        <v/>
      </c>
      <c r="B1071" s="83"/>
      <c r="C1071" s="15"/>
      <c r="D1071" s="15"/>
      <c r="E1071" s="85"/>
      <c r="F1071" s="15"/>
      <c r="G1071" s="15"/>
      <c r="H1071" s="96"/>
      <c r="I1071" s="16"/>
      <c r="J1071" s="37" t="str">
        <f aca="false">IF(I1071="","",IF(H1071="",1,H1071)*I1071)</f>
        <v/>
      </c>
      <c r="K1071" s="15"/>
      <c r="L1071" s="97" t="str">
        <f aca="false">IF(C1071="","",IF(OR(C1071="Material",C1071="Equipo",C1071="Suministro"),"Materiales y equipos",IF(C1071="Mano de obra contratista","Mano de obra contratista",IF(C1071="Transporte","Transporte y otros","Alquileres"))))</f>
        <v/>
      </c>
      <c r="M1071" s="6"/>
    </row>
    <row r="1072" customFormat="false" ht="16.5" hidden="false" customHeight="true" outlineLevel="0" collapsed="false">
      <c r="A1072" s="95" t="str">
        <f aca="false">IF(AND(B1072="",C1072=""),"",ROW()-6)</f>
        <v/>
      </c>
      <c r="B1072" s="83"/>
      <c r="C1072" s="15"/>
      <c r="D1072" s="15"/>
      <c r="E1072" s="85"/>
      <c r="F1072" s="15"/>
      <c r="G1072" s="15"/>
      <c r="H1072" s="96"/>
      <c r="I1072" s="16"/>
      <c r="J1072" s="37" t="str">
        <f aca="false">IF(I1072="","",IF(H1072="",1,H1072)*I1072)</f>
        <v/>
      </c>
      <c r="K1072" s="15"/>
      <c r="L1072" s="97" t="str">
        <f aca="false">IF(C1072="","",IF(OR(C1072="Material",C1072="Equipo",C1072="Suministro"),"Materiales y equipos",IF(C1072="Mano de obra contratista","Mano de obra contratista",IF(C1072="Transporte","Transporte y otros","Alquileres"))))</f>
        <v/>
      </c>
      <c r="M1072" s="6"/>
    </row>
    <row r="1073" customFormat="false" ht="16.5" hidden="false" customHeight="true" outlineLevel="0" collapsed="false">
      <c r="A1073" s="95" t="str">
        <f aca="false">IF(AND(B1073="",C1073=""),"",ROW()-6)</f>
        <v/>
      </c>
      <c r="B1073" s="83"/>
      <c r="C1073" s="15"/>
      <c r="D1073" s="15"/>
      <c r="E1073" s="85"/>
      <c r="F1073" s="15"/>
      <c r="G1073" s="15"/>
      <c r="H1073" s="96"/>
      <c r="I1073" s="16"/>
      <c r="J1073" s="37" t="str">
        <f aca="false">IF(I1073="","",IF(H1073="",1,H1073)*I1073)</f>
        <v/>
      </c>
      <c r="K1073" s="15"/>
      <c r="L1073" s="97" t="str">
        <f aca="false">IF(C1073="","",IF(OR(C1073="Material",C1073="Equipo",C1073="Suministro"),"Materiales y equipos",IF(C1073="Mano de obra contratista","Mano de obra contratista",IF(C1073="Transporte","Transporte y otros","Alquileres"))))</f>
        <v/>
      </c>
      <c r="M1073" s="6"/>
    </row>
    <row r="1074" customFormat="false" ht="16.5" hidden="false" customHeight="true" outlineLevel="0" collapsed="false">
      <c r="A1074" s="95" t="str">
        <f aca="false">IF(AND(B1074="",C1074=""),"",ROW()-6)</f>
        <v/>
      </c>
      <c r="B1074" s="83"/>
      <c r="C1074" s="15"/>
      <c r="D1074" s="15"/>
      <c r="E1074" s="85"/>
      <c r="F1074" s="15"/>
      <c r="G1074" s="15"/>
      <c r="H1074" s="96"/>
      <c r="I1074" s="16"/>
      <c r="J1074" s="37" t="str">
        <f aca="false">IF(I1074="","",IF(H1074="",1,H1074)*I1074)</f>
        <v/>
      </c>
      <c r="K1074" s="15"/>
      <c r="L1074" s="97" t="str">
        <f aca="false">IF(C1074="","",IF(OR(C1074="Material",C1074="Equipo",C1074="Suministro"),"Materiales y equipos",IF(C1074="Mano de obra contratista","Mano de obra contratista",IF(C1074="Transporte","Transporte y otros","Alquileres"))))</f>
        <v/>
      </c>
      <c r="M1074" s="6"/>
    </row>
    <row r="1075" customFormat="false" ht="16.5" hidden="false" customHeight="true" outlineLevel="0" collapsed="false">
      <c r="A1075" s="95" t="str">
        <f aca="false">IF(AND(B1075="",C1075=""),"",ROW()-6)</f>
        <v/>
      </c>
      <c r="B1075" s="83"/>
      <c r="C1075" s="15"/>
      <c r="D1075" s="15"/>
      <c r="E1075" s="85"/>
      <c r="F1075" s="15"/>
      <c r="G1075" s="15"/>
      <c r="H1075" s="96"/>
      <c r="I1075" s="16"/>
      <c r="J1075" s="37" t="str">
        <f aca="false">IF(I1075="","",IF(H1075="",1,H1075)*I1075)</f>
        <v/>
      </c>
      <c r="K1075" s="15"/>
      <c r="L1075" s="97" t="str">
        <f aca="false">IF(C1075="","",IF(OR(C1075="Material",C1075="Equipo",C1075="Suministro"),"Materiales y equipos",IF(C1075="Mano de obra contratista","Mano de obra contratista",IF(C1075="Transporte","Transporte y otros","Alquileres"))))</f>
        <v/>
      </c>
      <c r="M1075" s="6"/>
    </row>
    <row r="1076" customFormat="false" ht="16.5" hidden="false" customHeight="true" outlineLevel="0" collapsed="false">
      <c r="A1076" s="95" t="str">
        <f aca="false">IF(AND(B1076="",C1076=""),"",ROW()-6)</f>
        <v/>
      </c>
      <c r="B1076" s="83"/>
      <c r="C1076" s="15"/>
      <c r="D1076" s="15"/>
      <c r="E1076" s="85"/>
      <c r="F1076" s="15"/>
      <c r="G1076" s="15"/>
      <c r="H1076" s="96"/>
      <c r="I1076" s="16"/>
      <c r="J1076" s="37" t="str">
        <f aca="false">IF(I1076="","",IF(H1076="",1,H1076)*I1076)</f>
        <v/>
      </c>
      <c r="K1076" s="15"/>
      <c r="L1076" s="97" t="str">
        <f aca="false">IF(C1076="","",IF(OR(C1076="Material",C1076="Equipo",C1076="Suministro"),"Materiales y equipos",IF(C1076="Mano de obra contratista","Mano de obra contratista",IF(C1076="Transporte","Transporte y otros","Alquileres"))))</f>
        <v/>
      </c>
      <c r="M1076" s="6"/>
    </row>
    <row r="1077" customFormat="false" ht="16.5" hidden="false" customHeight="true" outlineLevel="0" collapsed="false">
      <c r="A1077" s="95" t="str">
        <f aca="false">IF(AND(B1077="",C1077=""),"",ROW()-6)</f>
        <v/>
      </c>
      <c r="B1077" s="83"/>
      <c r="C1077" s="15"/>
      <c r="D1077" s="15"/>
      <c r="E1077" s="85"/>
      <c r="F1077" s="15"/>
      <c r="G1077" s="15"/>
      <c r="H1077" s="96"/>
      <c r="I1077" s="16"/>
      <c r="J1077" s="37" t="str">
        <f aca="false">IF(I1077="","",IF(H1077="",1,H1077)*I1077)</f>
        <v/>
      </c>
      <c r="K1077" s="15"/>
      <c r="L1077" s="97" t="str">
        <f aca="false">IF(C1077="","",IF(OR(C1077="Material",C1077="Equipo",C1077="Suministro"),"Materiales y equipos",IF(C1077="Mano de obra contratista","Mano de obra contratista",IF(C1077="Transporte","Transporte y otros","Alquileres"))))</f>
        <v/>
      </c>
      <c r="M1077" s="6"/>
    </row>
    <row r="1078" customFormat="false" ht="16.5" hidden="false" customHeight="true" outlineLevel="0" collapsed="false">
      <c r="A1078" s="95" t="str">
        <f aca="false">IF(AND(B1078="",C1078=""),"",ROW()-6)</f>
        <v/>
      </c>
      <c r="B1078" s="83"/>
      <c r="C1078" s="15"/>
      <c r="D1078" s="15"/>
      <c r="E1078" s="85"/>
      <c r="F1078" s="15"/>
      <c r="G1078" s="15"/>
      <c r="H1078" s="96"/>
      <c r="I1078" s="16"/>
      <c r="J1078" s="37" t="str">
        <f aca="false">IF(I1078="","",IF(H1078="",1,H1078)*I1078)</f>
        <v/>
      </c>
      <c r="K1078" s="15"/>
      <c r="L1078" s="97" t="str">
        <f aca="false">IF(C1078="","",IF(OR(C1078="Material",C1078="Equipo",C1078="Suministro"),"Materiales y equipos",IF(C1078="Mano de obra contratista","Mano de obra contratista",IF(C1078="Transporte","Transporte y otros","Alquileres"))))</f>
        <v/>
      </c>
      <c r="M1078" s="6"/>
    </row>
    <row r="1079" customFormat="false" ht="16.5" hidden="false" customHeight="true" outlineLevel="0" collapsed="false">
      <c r="A1079" s="95" t="str">
        <f aca="false">IF(AND(B1079="",C1079=""),"",ROW()-6)</f>
        <v/>
      </c>
      <c r="B1079" s="83"/>
      <c r="C1079" s="15"/>
      <c r="D1079" s="15"/>
      <c r="E1079" s="85"/>
      <c r="F1079" s="15"/>
      <c r="G1079" s="15"/>
      <c r="H1079" s="96"/>
      <c r="I1079" s="16"/>
      <c r="J1079" s="37" t="str">
        <f aca="false">IF(I1079="","",IF(H1079="",1,H1079)*I1079)</f>
        <v/>
      </c>
      <c r="K1079" s="15"/>
      <c r="L1079" s="97" t="str">
        <f aca="false">IF(C1079="","",IF(OR(C1079="Material",C1079="Equipo",C1079="Suministro"),"Materiales y equipos",IF(C1079="Mano de obra contratista","Mano de obra contratista",IF(C1079="Transporte","Transporte y otros","Alquileres"))))</f>
        <v/>
      </c>
      <c r="M1079" s="6"/>
    </row>
    <row r="1080" customFormat="false" ht="16.5" hidden="false" customHeight="true" outlineLevel="0" collapsed="false">
      <c r="A1080" s="95" t="str">
        <f aca="false">IF(AND(B1080="",C1080=""),"",ROW()-6)</f>
        <v/>
      </c>
      <c r="B1080" s="83"/>
      <c r="C1080" s="15"/>
      <c r="D1080" s="15"/>
      <c r="E1080" s="85"/>
      <c r="F1080" s="15"/>
      <c r="G1080" s="15"/>
      <c r="H1080" s="96"/>
      <c r="I1080" s="16"/>
      <c r="J1080" s="37" t="str">
        <f aca="false">IF(I1080="","",IF(H1080="",1,H1080)*I1080)</f>
        <v/>
      </c>
      <c r="K1080" s="15"/>
      <c r="L1080" s="97" t="str">
        <f aca="false">IF(C1080="","",IF(OR(C1080="Material",C1080="Equipo",C1080="Suministro"),"Materiales y equipos",IF(C1080="Mano de obra contratista","Mano de obra contratista",IF(C1080="Transporte","Transporte y otros","Alquileres"))))</f>
        <v/>
      </c>
      <c r="M1080" s="6"/>
    </row>
    <row r="1081" customFormat="false" ht="16.5" hidden="false" customHeight="true" outlineLevel="0" collapsed="false">
      <c r="A1081" s="95" t="str">
        <f aca="false">IF(AND(B1081="",C1081=""),"",ROW()-6)</f>
        <v/>
      </c>
      <c r="B1081" s="83"/>
      <c r="C1081" s="15"/>
      <c r="D1081" s="15"/>
      <c r="E1081" s="85"/>
      <c r="F1081" s="15"/>
      <c r="G1081" s="15"/>
      <c r="H1081" s="96"/>
      <c r="I1081" s="16"/>
      <c r="J1081" s="37" t="str">
        <f aca="false">IF(I1081="","",IF(H1081="",1,H1081)*I1081)</f>
        <v/>
      </c>
      <c r="K1081" s="15"/>
      <c r="L1081" s="97" t="str">
        <f aca="false">IF(C1081="","",IF(OR(C1081="Material",C1081="Equipo",C1081="Suministro"),"Materiales y equipos",IF(C1081="Mano de obra contratista","Mano de obra contratista",IF(C1081="Transporte","Transporte y otros","Alquileres"))))</f>
        <v/>
      </c>
      <c r="M1081" s="6"/>
    </row>
    <row r="1082" customFormat="false" ht="16.5" hidden="false" customHeight="true" outlineLevel="0" collapsed="false">
      <c r="A1082" s="95" t="str">
        <f aca="false">IF(AND(B1082="",C1082=""),"",ROW()-6)</f>
        <v/>
      </c>
      <c r="B1082" s="83"/>
      <c r="C1082" s="15"/>
      <c r="D1082" s="15"/>
      <c r="E1082" s="85"/>
      <c r="F1082" s="15"/>
      <c r="G1082" s="15"/>
      <c r="H1082" s="96"/>
      <c r="I1082" s="16"/>
      <c r="J1082" s="37" t="str">
        <f aca="false">IF(I1082="","",IF(H1082="",1,H1082)*I1082)</f>
        <v/>
      </c>
      <c r="K1082" s="15"/>
      <c r="L1082" s="97" t="str">
        <f aca="false">IF(C1082="","",IF(OR(C1082="Material",C1082="Equipo",C1082="Suministro"),"Materiales y equipos",IF(C1082="Mano de obra contratista","Mano de obra contratista",IF(C1082="Transporte","Transporte y otros","Alquileres"))))</f>
        <v/>
      </c>
      <c r="M1082" s="6"/>
    </row>
    <row r="1083" customFormat="false" ht="16.5" hidden="false" customHeight="true" outlineLevel="0" collapsed="false">
      <c r="A1083" s="95" t="str">
        <f aca="false">IF(AND(B1083="",C1083=""),"",ROW()-6)</f>
        <v/>
      </c>
      <c r="B1083" s="83"/>
      <c r="C1083" s="15"/>
      <c r="D1083" s="15"/>
      <c r="E1083" s="85"/>
      <c r="F1083" s="15"/>
      <c r="G1083" s="15"/>
      <c r="H1083" s="96"/>
      <c r="I1083" s="16"/>
      <c r="J1083" s="37" t="str">
        <f aca="false">IF(I1083="","",IF(H1083="",1,H1083)*I1083)</f>
        <v/>
      </c>
      <c r="K1083" s="15"/>
      <c r="L1083" s="97" t="str">
        <f aca="false">IF(C1083="","",IF(OR(C1083="Material",C1083="Equipo",C1083="Suministro"),"Materiales y equipos",IF(C1083="Mano de obra contratista","Mano de obra contratista",IF(C1083="Transporte","Transporte y otros","Alquileres"))))</f>
        <v/>
      </c>
      <c r="M1083" s="6"/>
    </row>
    <row r="1084" customFormat="false" ht="16.5" hidden="false" customHeight="true" outlineLevel="0" collapsed="false">
      <c r="A1084" s="95" t="str">
        <f aca="false">IF(AND(B1084="",C1084=""),"",ROW()-6)</f>
        <v/>
      </c>
      <c r="B1084" s="83"/>
      <c r="C1084" s="15"/>
      <c r="D1084" s="15"/>
      <c r="E1084" s="85"/>
      <c r="F1084" s="15"/>
      <c r="G1084" s="15"/>
      <c r="H1084" s="96"/>
      <c r="I1084" s="16"/>
      <c r="J1084" s="37" t="str">
        <f aca="false">IF(I1084="","",IF(H1084="",1,H1084)*I1084)</f>
        <v/>
      </c>
      <c r="K1084" s="15"/>
      <c r="L1084" s="97" t="str">
        <f aca="false">IF(C1084="","",IF(OR(C1084="Material",C1084="Equipo",C1084="Suministro"),"Materiales y equipos",IF(C1084="Mano de obra contratista","Mano de obra contratista",IF(C1084="Transporte","Transporte y otros","Alquileres"))))</f>
        <v/>
      </c>
      <c r="M1084" s="6"/>
    </row>
    <row r="1085" customFormat="false" ht="16.5" hidden="false" customHeight="true" outlineLevel="0" collapsed="false">
      <c r="A1085" s="95" t="str">
        <f aca="false">IF(AND(B1085="",C1085=""),"",ROW()-6)</f>
        <v/>
      </c>
      <c r="B1085" s="83"/>
      <c r="C1085" s="15"/>
      <c r="D1085" s="15"/>
      <c r="E1085" s="85"/>
      <c r="F1085" s="15"/>
      <c r="G1085" s="15"/>
      <c r="H1085" s="96"/>
      <c r="I1085" s="16"/>
      <c r="J1085" s="37" t="str">
        <f aca="false">IF(I1085="","",IF(H1085="",1,H1085)*I1085)</f>
        <v/>
      </c>
      <c r="K1085" s="15"/>
      <c r="L1085" s="97" t="str">
        <f aca="false">IF(C1085="","",IF(OR(C1085="Material",C1085="Equipo",C1085="Suministro"),"Materiales y equipos",IF(C1085="Mano de obra contratista","Mano de obra contratista",IF(C1085="Transporte","Transporte y otros","Alquileres"))))</f>
        <v/>
      </c>
      <c r="M1085" s="6"/>
    </row>
    <row r="1086" customFormat="false" ht="16.5" hidden="false" customHeight="true" outlineLevel="0" collapsed="false">
      <c r="A1086" s="95" t="str">
        <f aca="false">IF(AND(B1086="",C1086=""),"",ROW()-6)</f>
        <v/>
      </c>
      <c r="B1086" s="83"/>
      <c r="C1086" s="15"/>
      <c r="D1086" s="15"/>
      <c r="E1086" s="85"/>
      <c r="F1086" s="15"/>
      <c r="G1086" s="15"/>
      <c r="H1086" s="96"/>
      <c r="I1086" s="16"/>
      <c r="J1086" s="37" t="str">
        <f aca="false">IF(I1086="","",IF(H1086="",1,H1086)*I1086)</f>
        <v/>
      </c>
      <c r="K1086" s="15"/>
      <c r="L1086" s="97" t="str">
        <f aca="false">IF(C1086="","",IF(OR(C1086="Material",C1086="Equipo",C1086="Suministro"),"Materiales y equipos",IF(C1086="Mano de obra contratista","Mano de obra contratista",IF(C1086="Transporte","Transporte y otros","Alquileres"))))</f>
        <v/>
      </c>
      <c r="M1086" s="6"/>
    </row>
    <row r="1087" customFormat="false" ht="16.5" hidden="false" customHeight="true" outlineLevel="0" collapsed="false">
      <c r="A1087" s="95" t="str">
        <f aca="false">IF(AND(B1087="",C1087=""),"",ROW()-6)</f>
        <v/>
      </c>
      <c r="B1087" s="83"/>
      <c r="C1087" s="15"/>
      <c r="D1087" s="15"/>
      <c r="E1087" s="85"/>
      <c r="F1087" s="15"/>
      <c r="G1087" s="15"/>
      <c r="H1087" s="96"/>
      <c r="I1087" s="16"/>
      <c r="J1087" s="37" t="str">
        <f aca="false">IF(I1087="","",IF(H1087="",1,H1087)*I1087)</f>
        <v/>
      </c>
      <c r="K1087" s="15"/>
      <c r="L1087" s="97" t="str">
        <f aca="false">IF(C1087="","",IF(OR(C1087="Material",C1087="Equipo",C1087="Suministro"),"Materiales y equipos",IF(C1087="Mano de obra contratista","Mano de obra contratista",IF(C1087="Transporte","Transporte y otros","Alquileres"))))</f>
        <v/>
      </c>
      <c r="M1087" s="6"/>
    </row>
    <row r="1088" customFormat="false" ht="16.5" hidden="false" customHeight="true" outlineLevel="0" collapsed="false">
      <c r="A1088" s="95" t="str">
        <f aca="false">IF(AND(B1088="",C1088=""),"",ROW()-6)</f>
        <v/>
      </c>
      <c r="B1088" s="83"/>
      <c r="C1088" s="15"/>
      <c r="D1088" s="15"/>
      <c r="E1088" s="85"/>
      <c r="F1088" s="15"/>
      <c r="G1088" s="15"/>
      <c r="H1088" s="96"/>
      <c r="I1088" s="16"/>
      <c r="J1088" s="37" t="str">
        <f aca="false">IF(I1088="","",IF(H1088="",1,H1088)*I1088)</f>
        <v/>
      </c>
      <c r="K1088" s="15"/>
      <c r="L1088" s="97" t="str">
        <f aca="false">IF(C1088="","",IF(OR(C1088="Material",C1088="Equipo",C1088="Suministro"),"Materiales y equipos",IF(C1088="Mano de obra contratista","Mano de obra contratista",IF(C1088="Transporte","Transporte y otros","Alquileres"))))</f>
        <v/>
      </c>
      <c r="M1088" s="6"/>
    </row>
    <row r="1089" customFormat="false" ht="16.5" hidden="false" customHeight="true" outlineLevel="0" collapsed="false">
      <c r="A1089" s="95" t="str">
        <f aca="false">IF(AND(B1089="",C1089=""),"",ROW()-6)</f>
        <v/>
      </c>
      <c r="B1089" s="83"/>
      <c r="C1089" s="15"/>
      <c r="D1089" s="15"/>
      <c r="E1089" s="85"/>
      <c r="F1089" s="15"/>
      <c r="G1089" s="15"/>
      <c r="H1089" s="96"/>
      <c r="I1089" s="16"/>
      <c r="J1089" s="37" t="str">
        <f aca="false">IF(I1089="","",IF(H1089="",1,H1089)*I1089)</f>
        <v/>
      </c>
      <c r="K1089" s="15"/>
      <c r="L1089" s="97" t="str">
        <f aca="false">IF(C1089="","",IF(OR(C1089="Material",C1089="Equipo",C1089="Suministro"),"Materiales y equipos",IF(C1089="Mano de obra contratista","Mano de obra contratista",IF(C1089="Transporte","Transporte y otros","Alquileres"))))</f>
        <v/>
      </c>
      <c r="M1089" s="6"/>
    </row>
    <row r="1090" customFormat="false" ht="16.5" hidden="false" customHeight="true" outlineLevel="0" collapsed="false">
      <c r="A1090" s="95" t="str">
        <f aca="false">IF(AND(B1090="",C1090=""),"",ROW()-6)</f>
        <v/>
      </c>
      <c r="B1090" s="83"/>
      <c r="C1090" s="15"/>
      <c r="D1090" s="15"/>
      <c r="E1090" s="85"/>
      <c r="F1090" s="15"/>
      <c r="G1090" s="15"/>
      <c r="H1090" s="96"/>
      <c r="I1090" s="16"/>
      <c r="J1090" s="37" t="str">
        <f aca="false">IF(I1090="","",IF(H1090="",1,H1090)*I1090)</f>
        <v/>
      </c>
      <c r="K1090" s="15"/>
      <c r="L1090" s="97" t="str">
        <f aca="false">IF(C1090="","",IF(OR(C1090="Material",C1090="Equipo",C1090="Suministro"),"Materiales y equipos",IF(C1090="Mano de obra contratista","Mano de obra contratista",IF(C1090="Transporte","Transporte y otros","Alquileres"))))</f>
        <v/>
      </c>
      <c r="M1090" s="6"/>
    </row>
    <row r="1091" customFormat="false" ht="16.5" hidden="false" customHeight="true" outlineLevel="0" collapsed="false">
      <c r="A1091" s="95" t="str">
        <f aca="false">IF(AND(B1091="",C1091=""),"",ROW()-6)</f>
        <v/>
      </c>
      <c r="B1091" s="83"/>
      <c r="C1091" s="15"/>
      <c r="D1091" s="15"/>
      <c r="E1091" s="85"/>
      <c r="F1091" s="15"/>
      <c r="G1091" s="15"/>
      <c r="H1091" s="96"/>
      <c r="I1091" s="16"/>
      <c r="J1091" s="37" t="str">
        <f aca="false">IF(I1091="","",IF(H1091="",1,H1091)*I1091)</f>
        <v/>
      </c>
      <c r="K1091" s="15"/>
      <c r="L1091" s="97" t="str">
        <f aca="false">IF(C1091="","",IF(OR(C1091="Material",C1091="Equipo",C1091="Suministro"),"Materiales y equipos",IF(C1091="Mano de obra contratista","Mano de obra contratista",IF(C1091="Transporte","Transporte y otros","Alquileres"))))</f>
        <v/>
      </c>
      <c r="M1091" s="6"/>
    </row>
    <row r="1092" customFormat="false" ht="16.5" hidden="false" customHeight="true" outlineLevel="0" collapsed="false">
      <c r="A1092" s="95" t="str">
        <f aca="false">IF(AND(B1092="",C1092=""),"",ROW()-6)</f>
        <v/>
      </c>
      <c r="B1092" s="83"/>
      <c r="C1092" s="15"/>
      <c r="D1092" s="15"/>
      <c r="E1092" s="85"/>
      <c r="F1092" s="15"/>
      <c r="G1092" s="15"/>
      <c r="H1092" s="96"/>
      <c r="I1092" s="16"/>
      <c r="J1092" s="37" t="str">
        <f aca="false">IF(I1092="","",IF(H1092="",1,H1092)*I1092)</f>
        <v/>
      </c>
      <c r="K1092" s="15"/>
      <c r="L1092" s="97" t="str">
        <f aca="false">IF(C1092="","",IF(OR(C1092="Material",C1092="Equipo",C1092="Suministro"),"Materiales y equipos",IF(C1092="Mano de obra contratista","Mano de obra contratista",IF(C1092="Transporte","Transporte y otros","Alquileres"))))</f>
        <v/>
      </c>
      <c r="M1092" s="6"/>
    </row>
    <row r="1093" customFormat="false" ht="16.5" hidden="false" customHeight="true" outlineLevel="0" collapsed="false">
      <c r="A1093" s="95" t="str">
        <f aca="false">IF(AND(B1093="",C1093=""),"",ROW()-6)</f>
        <v/>
      </c>
      <c r="B1093" s="83"/>
      <c r="C1093" s="15"/>
      <c r="D1093" s="15"/>
      <c r="E1093" s="85"/>
      <c r="F1093" s="15"/>
      <c r="G1093" s="15"/>
      <c r="H1093" s="96"/>
      <c r="I1093" s="16"/>
      <c r="J1093" s="37" t="str">
        <f aca="false">IF(I1093="","",IF(H1093="",1,H1093)*I1093)</f>
        <v/>
      </c>
      <c r="K1093" s="15"/>
      <c r="L1093" s="97" t="str">
        <f aca="false">IF(C1093="","",IF(OR(C1093="Material",C1093="Equipo",C1093="Suministro"),"Materiales y equipos",IF(C1093="Mano de obra contratista","Mano de obra contratista",IF(C1093="Transporte","Transporte y otros","Alquileres"))))</f>
        <v/>
      </c>
      <c r="M1093" s="6"/>
    </row>
    <row r="1094" customFormat="false" ht="16.5" hidden="false" customHeight="true" outlineLevel="0" collapsed="false">
      <c r="A1094" s="95" t="str">
        <f aca="false">IF(AND(B1094="",C1094=""),"",ROW()-6)</f>
        <v/>
      </c>
      <c r="B1094" s="83"/>
      <c r="C1094" s="15"/>
      <c r="D1094" s="15"/>
      <c r="E1094" s="85"/>
      <c r="F1094" s="15"/>
      <c r="G1094" s="15"/>
      <c r="H1094" s="96"/>
      <c r="I1094" s="16"/>
      <c r="J1094" s="37" t="str">
        <f aca="false">IF(I1094="","",IF(H1094="",1,H1094)*I1094)</f>
        <v/>
      </c>
      <c r="K1094" s="15"/>
      <c r="L1094" s="97" t="str">
        <f aca="false">IF(C1094="","",IF(OR(C1094="Material",C1094="Equipo",C1094="Suministro"),"Materiales y equipos",IF(C1094="Mano de obra contratista","Mano de obra contratista",IF(C1094="Transporte","Transporte y otros","Alquileres"))))</f>
        <v/>
      </c>
      <c r="M1094" s="6"/>
    </row>
    <row r="1095" customFormat="false" ht="16.5" hidden="false" customHeight="true" outlineLevel="0" collapsed="false">
      <c r="A1095" s="95" t="str">
        <f aca="false">IF(AND(B1095="",C1095=""),"",ROW()-6)</f>
        <v/>
      </c>
      <c r="B1095" s="83"/>
      <c r="C1095" s="15"/>
      <c r="D1095" s="15"/>
      <c r="E1095" s="85"/>
      <c r="F1095" s="15"/>
      <c r="G1095" s="15"/>
      <c r="H1095" s="96"/>
      <c r="I1095" s="16"/>
      <c r="J1095" s="37" t="str">
        <f aca="false">IF(I1095="","",IF(H1095="",1,H1095)*I1095)</f>
        <v/>
      </c>
      <c r="K1095" s="15"/>
      <c r="L1095" s="97" t="str">
        <f aca="false">IF(C1095="","",IF(OR(C1095="Material",C1095="Equipo",C1095="Suministro"),"Materiales y equipos",IF(C1095="Mano de obra contratista","Mano de obra contratista",IF(C1095="Transporte","Transporte y otros","Alquileres"))))</f>
        <v/>
      </c>
      <c r="M1095" s="6"/>
    </row>
    <row r="1096" customFormat="false" ht="16.5" hidden="false" customHeight="true" outlineLevel="0" collapsed="false">
      <c r="A1096" s="95" t="str">
        <f aca="false">IF(AND(B1096="",C1096=""),"",ROW()-6)</f>
        <v/>
      </c>
      <c r="B1096" s="83"/>
      <c r="C1096" s="15"/>
      <c r="D1096" s="15"/>
      <c r="E1096" s="85"/>
      <c r="F1096" s="15"/>
      <c r="G1096" s="15"/>
      <c r="H1096" s="96"/>
      <c r="I1096" s="16"/>
      <c r="J1096" s="37" t="str">
        <f aca="false">IF(I1096="","",IF(H1096="",1,H1096)*I1096)</f>
        <v/>
      </c>
      <c r="K1096" s="15"/>
      <c r="L1096" s="97" t="str">
        <f aca="false">IF(C1096="","",IF(OR(C1096="Material",C1096="Equipo",C1096="Suministro"),"Materiales y equipos",IF(C1096="Mano de obra contratista","Mano de obra contratista",IF(C1096="Transporte","Transporte y otros","Alquileres"))))</f>
        <v/>
      </c>
      <c r="M1096" s="6"/>
    </row>
    <row r="1097" customFormat="false" ht="16.5" hidden="false" customHeight="true" outlineLevel="0" collapsed="false">
      <c r="A1097" s="95" t="str">
        <f aca="false">IF(AND(B1097="",C1097=""),"",ROW()-6)</f>
        <v/>
      </c>
      <c r="B1097" s="83"/>
      <c r="C1097" s="15"/>
      <c r="D1097" s="15"/>
      <c r="E1097" s="85"/>
      <c r="F1097" s="15"/>
      <c r="G1097" s="15"/>
      <c r="H1097" s="96"/>
      <c r="I1097" s="16"/>
      <c r="J1097" s="37" t="str">
        <f aca="false">IF(I1097="","",IF(H1097="",1,H1097)*I1097)</f>
        <v/>
      </c>
      <c r="K1097" s="15"/>
      <c r="L1097" s="97" t="str">
        <f aca="false">IF(C1097="","",IF(OR(C1097="Material",C1097="Equipo",C1097="Suministro"),"Materiales y equipos",IF(C1097="Mano de obra contratista","Mano de obra contratista",IF(C1097="Transporte","Transporte y otros","Alquileres"))))</f>
        <v/>
      </c>
      <c r="M1097" s="6"/>
    </row>
    <row r="1098" customFormat="false" ht="16.5" hidden="false" customHeight="true" outlineLevel="0" collapsed="false">
      <c r="A1098" s="95" t="str">
        <f aca="false">IF(AND(B1098="",C1098=""),"",ROW()-6)</f>
        <v/>
      </c>
      <c r="B1098" s="83"/>
      <c r="C1098" s="15"/>
      <c r="D1098" s="15"/>
      <c r="E1098" s="85"/>
      <c r="F1098" s="15"/>
      <c r="G1098" s="15"/>
      <c r="H1098" s="96"/>
      <c r="I1098" s="16"/>
      <c r="J1098" s="37" t="str">
        <f aca="false">IF(I1098="","",IF(H1098="",1,H1098)*I1098)</f>
        <v/>
      </c>
      <c r="K1098" s="15"/>
      <c r="L1098" s="97" t="str">
        <f aca="false">IF(C1098="","",IF(OR(C1098="Material",C1098="Equipo",C1098="Suministro"),"Materiales y equipos",IF(C1098="Mano de obra contratista","Mano de obra contratista",IF(C1098="Transporte","Transporte y otros","Alquileres"))))</f>
        <v/>
      </c>
      <c r="M1098" s="6"/>
    </row>
    <row r="1099" customFormat="false" ht="16.5" hidden="false" customHeight="true" outlineLevel="0" collapsed="false">
      <c r="A1099" s="95" t="str">
        <f aca="false">IF(AND(B1099="",C1099=""),"",ROW()-6)</f>
        <v/>
      </c>
      <c r="B1099" s="83"/>
      <c r="C1099" s="15"/>
      <c r="D1099" s="15"/>
      <c r="E1099" s="85"/>
      <c r="F1099" s="15"/>
      <c r="G1099" s="15"/>
      <c r="H1099" s="96"/>
      <c r="I1099" s="16"/>
      <c r="J1099" s="37" t="str">
        <f aca="false">IF(I1099="","",IF(H1099="",1,H1099)*I1099)</f>
        <v/>
      </c>
      <c r="K1099" s="15"/>
      <c r="L1099" s="97" t="str">
        <f aca="false">IF(C1099="","",IF(OR(C1099="Material",C1099="Equipo",C1099="Suministro"),"Materiales y equipos",IF(C1099="Mano de obra contratista","Mano de obra contratista",IF(C1099="Transporte","Transporte y otros","Alquileres"))))</f>
        <v/>
      </c>
      <c r="M1099" s="6"/>
    </row>
    <row r="1100" customFormat="false" ht="16.5" hidden="false" customHeight="true" outlineLevel="0" collapsed="false">
      <c r="A1100" s="95" t="str">
        <f aca="false">IF(AND(B1100="",C1100=""),"",ROW()-6)</f>
        <v/>
      </c>
      <c r="B1100" s="83"/>
      <c r="C1100" s="15"/>
      <c r="D1100" s="15"/>
      <c r="E1100" s="85"/>
      <c r="F1100" s="15"/>
      <c r="G1100" s="15"/>
      <c r="H1100" s="96"/>
      <c r="I1100" s="16"/>
      <c r="J1100" s="37" t="str">
        <f aca="false">IF(I1100="","",IF(H1100="",1,H1100)*I1100)</f>
        <v/>
      </c>
      <c r="K1100" s="15"/>
      <c r="L1100" s="97" t="str">
        <f aca="false">IF(C1100="","",IF(OR(C1100="Material",C1100="Equipo",C1100="Suministro"),"Materiales y equipos",IF(C1100="Mano de obra contratista","Mano de obra contratista",IF(C1100="Transporte","Transporte y otros","Alquileres"))))</f>
        <v/>
      </c>
      <c r="M1100" s="6"/>
    </row>
    <row r="1101" customFormat="false" ht="16.5" hidden="false" customHeight="true" outlineLevel="0" collapsed="false">
      <c r="A1101" s="95" t="str">
        <f aca="false">IF(AND(B1101="",C1101=""),"",ROW()-6)</f>
        <v/>
      </c>
      <c r="B1101" s="83"/>
      <c r="C1101" s="15"/>
      <c r="D1101" s="15"/>
      <c r="E1101" s="85"/>
      <c r="F1101" s="15"/>
      <c r="G1101" s="15"/>
      <c r="H1101" s="96"/>
      <c r="I1101" s="16"/>
      <c r="J1101" s="37" t="str">
        <f aca="false">IF(I1101="","",IF(H1101="",1,H1101)*I1101)</f>
        <v/>
      </c>
      <c r="K1101" s="15"/>
      <c r="L1101" s="97" t="str">
        <f aca="false">IF(C1101="","",IF(OR(C1101="Material",C1101="Equipo",C1101="Suministro"),"Materiales y equipos",IF(C1101="Mano de obra contratista","Mano de obra contratista",IF(C1101="Transporte","Transporte y otros","Alquileres"))))</f>
        <v/>
      </c>
      <c r="M1101" s="6"/>
    </row>
    <row r="1102" customFormat="false" ht="16.5" hidden="false" customHeight="true" outlineLevel="0" collapsed="false">
      <c r="A1102" s="95" t="str">
        <f aca="false">IF(AND(B1102="",C1102=""),"",ROW()-6)</f>
        <v/>
      </c>
      <c r="B1102" s="83"/>
      <c r="C1102" s="15"/>
      <c r="D1102" s="15"/>
      <c r="E1102" s="85"/>
      <c r="F1102" s="15"/>
      <c r="G1102" s="15"/>
      <c r="H1102" s="96"/>
      <c r="I1102" s="16"/>
      <c r="J1102" s="37" t="str">
        <f aca="false">IF(I1102="","",IF(H1102="",1,H1102)*I1102)</f>
        <v/>
      </c>
      <c r="K1102" s="15"/>
      <c r="L1102" s="97" t="str">
        <f aca="false">IF(C1102="","",IF(OR(C1102="Material",C1102="Equipo",C1102="Suministro"),"Materiales y equipos",IF(C1102="Mano de obra contratista","Mano de obra contratista",IF(C1102="Transporte","Transporte y otros","Alquileres"))))</f>
        <v/>
      </c>
      <c r="M1102" s="6"/>
    </row>
    <row r="1103" customFormat="false" ht="16.5" hidden="false" customHeight="true" outlineLevel="0" collapsed="false">
      <c r="A1103" s="95" t="str">
        <f aca="false">IF(AND(B1103="",C1103=""),"",ROW()-6)</f>
        <v/>
      </c>
      <c r="B1103" s="83"/>
      <c r="C1103" s="15"/>
      <c r="D1103" s="15"/>
      <c r="E1103" s="85"/>
      <c r="F1103" s="15"/>
      <c r="G1103" s="15"/>
      <c r="H1103" s="96"/>
      <c r="I1103" s="16"/>
      <c r="J1103" s="37" t="str">
        <f aca="false">IF(I1103="","",IF(H1103="",1,H1103)*I1103)</f>
        <v/>
      </c>
      <c r="K1103" s="15"/>
      <c r="L1103" s="97" t="str">
        <f aca="false">IF(C1103="","",IF(OR(C1103="Material",C1103="Equipo",C1103="Suministro"),"Materiales y equipos",IF(C1103="Mano de obra contratista","Mano de obra contratista",IF(C1103="Transporte","Transporte y otros","Alquileres"))))</f>
        <v/>
      </c>
      <c r="M1103" s="6"/>
    </row>
    <row r="1104" customFormat="false" ht="16.5" hidden="false" customHeight="true" outlineLevel="0" collapsed="false">
      <c r="A1104" s="95" t="str">
        <f aca="false">IF(AND(B1104="",C1104=""),"",ROW()-6)</f>
        <v/>
      </c>
      <c r="B1104" s="83"/>
      <c r="C1104" s="15"/>
      <c r="D1104" s="15"/>
      <c r="E1104" s="85"/>
      <c r="F1104" s="15"/>
      <c r="G1104" s="15"/>
      <c r="H1104" s="96"/>
      <c r="I1104" s="16"/>
      <c r="J1104" s="37" t="str">
        <f aca="false">IF(I1104="","",IF(H1104="",1,H1104)*I1104)</f>
        <v/>
      </c>
      <c r="K1104" s="15"/>
      <c r="L1104" s="97" t="str">
        <f aca="false">IF(C1104="","",IF(OR(C1104="Material",C1104="Equipo",C1104="Suministro"),"Materiales y equipos",IF(C1104="Mano de obra contratista","Mano de obra contratista",IF(C1104="Transporte","Transporte y otros","Alquileres"))))</f>
        <v/>
      </c>
      <c r="M1104" s="6"/>
    </row>
    <row r="1105" customFormat="false" ht="16.5" hidden="false" customHeight="true" outlineLevel="0" collapsed="false">
      <c r="A1105" s="95" t="str">
        <f aca="false">IF(AND(B1105="",C1105=""),"",ROW()-6)</f>
        <v/>
      </c>
      <c r="B1105" s="83"/>
      <c r="C1105" s="15"/>
      <c r="D1105" s="15"/>
      <c r="E1105" s="85"/>
      <c r="F1105" s="15"/>
      <c r="G1105" s="15"/>
      <c r="H1105" s="96"/>
      <c r="I1105" s="16"/>
      <c r="J1105" s="37" t="str">
        <f aca="false">IF(I1105="","",IF(H1105="",1,H1105)*I1105)</f>
        <v/>
      </c>
      <c r="K1105" s="15"/>
      <c r="L1105" s="97" t="str">
        <f aca="false">IF(C1105="","",IF(OR(C1105="Material",C1105="Equipo",C1105="Suministro"),"Materiales y equipos",IF(C1105="Mano de obra contratista","Mano de obra contratista",IF(C1105="Transporte","Transporte y otros","Alquileres"))))</f>
        <v/>
      </c>
      <c r="M1105" s="6"/>
    </row>
    <row r="1106" customFormat="false" ht="16.5" hidden="false" customHeight="true" outlineLevel="0" collapsed="false">
      <c r="A1106" s="95" t="str">
        <f aca="false">IF(AND(B1106="",C1106=""),"",ROW()-6)</f>
        <v/>
      </c>
      <c r="B1106" s="83"/>
      <c r="C1106" s="15"/>
      <c r="D1106" s="15"/>
      <c r="E1106" s="85"/>
      <c r="F1106" s="15"/>
      <c r="G1106" s="15"/>
      <c r="H1106" s="96"/>
      <c r="I1106" s="16"/>
      <c r="J1106" s="37" t="str">
        <f aca="false">IF(I1106="","",IF(H1106="",1,H1106)*I1106)</f>
        <v/>
      </c>
      <c r="K1106" s="15"/>
      <c r="L1106" s="97" t="str">
        <f aca="false">IF(C1106="","",IF(OR(C1106="Material",C1106="Equipo",C1106="Suministro"),"Materiales y equipos",IF(C1106="Mano de obra contratista","Mano de obra contratista",IF(C1106="Transporte","Transporte y otros","Alquileres"))))</f>
        <v/>
      </c>
      <c r="M1106" s="6"/>
    </row>
    <row r="1107" customFormat="false" ht="16.5" hidden="false" customHeight="true" outlineLevel="0" collapsed="false">
      <c r="A1107" s="95" t="str">
        <f aca="false">IF(AND(B1107="",C1107=""),"",ROW()-6)</f>
        <v/>
      </c>
      <c r="B1107" s="83"/>
      <c r="C1107" s="15"/>
      <c r="D1107" s="15"/>
      <c r="E1107" s="85"/>
      <c r="F1107" s="15"/>
      <c r="G1107" s="15"/>
      <c r="H1107" s="96"/>
      <c r="I1107" s="16"/>
      <c r="J1107" s="37" t="str">
        <f aca="false">IF(I1107="","",IF(H1107="",1,H1107)*I1107)</f>
        <v/>
      </c>
      <c r="K1107" s="15"/>
      <c r="L1107" s="97" t="str">
        <f aca="false">IF(C1107="","",IF(OR(C1107="Material",C1107="Equipo",C1107="Suministro"),"Materiales y equipos",IF(C1107="Mano de obra contratista","Mano de obra contratista",IF(C1107="Transporte","Transporte y otros","Alquileres"))))</f>
        <v/>
      </c>
      <c r="M1107" s="6"/>
    </row>
    <row r="1108" customFormat="false" ht="16.5" hidden="false" customHeight="true" outlineLevel="0" collapsed="false">
      <c r="A1108" s="95" t="str">
        <f aca="false">IF(AND(B1108="",C1108=""),"",ROW()-6)</f>
        <v/>
      </c>
      <c r="B1108" s="83"/>
      <c r="C1108" s="15"/>
      <c r="D1108" s="15"/>
      <c r="E1108" s="85"/>
      <c r="F1108" s="15"/>
      <c r="G1108" s="15"/>
      <c r="H1108" s="96"/>
      <c r="I1108" s="16"/>
      <c r="J1108" s="37" t="str">
        <f aca="false">IF(I1108="","",IF(H1108="",1,H1108)*I1108)</f>
        <v/>
      </c>
      <c r="K1108" s="15"/>
      <c r="L1108" s="97" t="str">
        <f aca="false">IF(C1108="","",IF(OR(C1108="Material",C1108="Equipo",C1108="Suministro"),"Materiales y equipos",IF(C1108="Mano de obra contratista","Mano de obra contratista",IF(C1108="Transporte","Transporte y otros","Alquileres"))))</f>
        <v/>
      </c>
      <c r="M1108" s="6"/>
    </row>
    <row r="1109" customFormat="false" ht="16.5" hidden="false" customHeight="true" outlineLevel="0" collapsed="false">
      <c r="A1109" s="95" t="str">
        <f aca="false">IF(AND(B1109="",C1109=""),"",ROW()-6)</f>
        <v/>
      </c>
      <c r="B1109" s="83"/>
      <c r="C1109" s="15"/>
      <c r="D1109" s="15"/>
      <c r="E1109" s="85"/>
      <c r="F1109" s="15"/>
      <c r="G1109" s="15"/>
      <c r="H1109" s="96"/>
      <c r="I1109" s="16"/>
      <c r="J1109" s="37" t="str">
        <f aca="false">IF(I1109="","",IF(H1109="",1,H1109)*I1109)</f>
        <v/>
      </c>
      <c r="K1109" s="15"/>
      <c r="L1109" s="97" t="str">
        <f aca="false">IF(C1109="","",IF(OR(C1109="Material",C1109="Equipo",C1109="Suministro"),"Materiales y equipos",IF(C1109="Mano de obra contratista","Mano de obra contratista",IF(C1109="Transporte","Transporte y otros","Alquileres"))))</f>
        <v/>
      </c>
      <c r="M1109" s="6"/>
    </row>
    <row r="1110" customFormat="false" ht="16.5" hidden="false" customHeight="true" outlineLevel="0" collapsed="false">
      <c r="A1110" s="95" t="str">
        <f aca="false">IF(AND(B1110="",C1110=""),"",ROW()-6)</f>
        <v/>
      </c>
      <c r="B1110" s="83"/>
      <c r="C1110" s="15"/>
      <c r="D1110" s="15"/>
      <c r="E1110" s="85"/>
      <c r="F1110" s="15"/>
      <c r="G1110" s="15"/>
      <c r="H1110" s="96"/>
      <c r="I1110" s="16"/>
      <c r="J1110" s="37" t="str">
        <f aca="false">IF(I1110="","",IF(H1110="",1,H1110)*I1110)</f>
        <v/>
      </c>
      <c r="K1110" s="15"/>
      <c r="L1110" s="97" t="str">
        <f aca="false">IF(C1110="","",IF(OR(C1110="Material",C1110="Equipo",C1110="Suministro"),"Materiales y equipos",IF(C1110="Mano de obra contratista","Mano de obra contratista",IF(C1110="Transporte","Transporte y otros","Alquileres"))))</f>
        <v/>
      </c>
      <c r="M1110" s="6"/>
    </row>
    <row r="1111" customFormat="false" ht="16.5" hidden="false" customHeight="true" outlineLevel="0" collapsed="false">
      <c r="A1111" s="95" t="str">
        <f aca="false">IF(AND(B1111="",C1111=""),"",ROW()-6)</f>
        <v/>
      </c>
      <c r="B1111" s="83"/>
      <c r="C1111" s="15"/>
      <c r="D1111" s="15"/>
      <c r="E1111" s="85"/>
      <c r="F1111" s="15"/>
      <c r="G1111" s="15"/>
      <c r="H1111" s="96"/>
      <c r="I1111" s="16"/>
      <c r="J1111" s="37" t="str">
        <f aca="false">IF(I1111="","",IF(H1111="",1,H1111)*I1111)</f>
        <v/>
      </c>
      <c r="K1111" s="15"/>
      <c r="L1111" s="97" t="str">
        <f aca="false">IF(C1111="","",IF(OR(C1111="Material",C1111="Equipo",C1111="Suministro"),"Materiales y equipos",IF(C1111="Mano de obra contratista","Mano de obra contratista",IF(C1111="Transporte","Transporte y otros","Alquileres"))))</f>
        <v/>
      </c>
      <c r="M1111" s="6"/>
    </row>
    <row r="1112" customFormat="false" ht="16.5" hidden="false" customHeight="true" outlineLevel="0" collapsed="false">
      <c r="A1112" s="95" t="str">
        <f aca="false">IF(AND(B1112="",C1112=""),"",ROW()-6)</f>
        <v/>
      </c>
      <c r="B1112" s="83"/>
      <c r="C1112" s="15"/>
      <c r="D1112" s="15"/>
      <c r="E1112" s="85"/>
      <c r="F1112" s="15"/>
      <c r="G1112" s="15"/>
      <c r="H1112" s="96"/>
      <c r="I1112" s="16"/>
      <c r="J1112" s="37" t="str">
        <f aca="false">IF(I1112="","",IF(H1112="",1,H1112)*I1112)</f>
        <v/>
      </c>
      <c r="K1112" s="15"/>
      <c r="L1112" s="97" t="str">
        <f aca="false">IF(C1112="","",IF(OR(C1112="Material",C1112="Equipo",C1112="Suministro"),"Materiales y equipos",IF(C1112="Mano de obra contratista","Mano de obra contratista",IF(C1112="Transporte","Transporte y otros","Alquileres"))))</f>
        <v/>
      </c>
      <c r="M1112" s="6"/>
    </row>
    <row r="1113" customFormat="false" ht="16.5" hidden="false" customHeight="true" outlineLevel="0" collapsed="false">
      <c r="A1113" s="95" t="str">
        <f aca="false">IF(AND(B1113="",C1113=""),"",ROW()-6)</f>
        <v/>
      </c>
      <c r="B1113" s="83"/>
      <c r="C1113" s="15"/>
      <c r="D1113" s="15"/>
      <c r="E1113" s="85"/>
      <c r="F1113" s="15"/>
      <c r="G1113" s="15"/>
      <c r="H1113" s="96"/>
      <c r="I1113" s="16"/>
      <c r="J1113" s="37" t="str">
        <f aca="false">IF(I1113="","",IF(H1113="",1,H1113)*I1113)</f>
        <v/>
      </c>
      <c r="K1113" s="15"/>
      <c r="L1113" s="97" t="str">
        <f aca="false">IF(C1113="","",IF(OR(C1113="Material",C1113="Equipo",C1113="Suministro"),"Materiales y equipos",IF(C1113="Mano de obra contratista","Mano de obra contratista",IF(C1113="Transporte","Transporte y otros","Alquileres"))))</f>
        <v/>
      </c>
      <c r="M1113" s="6"/>
    </row>
    <row r="1114" customFormat="false" ht="16.5" hidden="false" customHeight="true" outlineLevel="0" collapsed="false">
      <c r="A1114" s="95" t="str">
        <f aca="false">IF(AND(B1114="",C1114=""),"",ROW()-6)</f>
        <v/>
      </c>
      <c r="B1114" s="83"/>
      <c r="C1114" s="15"/>
      <c r="D1114" s="15"/>
      <c r="E1114" s="85"/>
      <c r="F1114" s="15"/>
      <c r="G1114" s="15"/>
      <c r="H1114" s="96"/>
      <c r="I1114" s="16"/>
      <c r="J1114" s="37" t="str">
        <f aca="false">IF(I1114="","",IF(H1114="",1,H1114)*I1114)</f>
        <v/>
      </c>
      <c r="K1114" s="15"/>
      <c r="L1114" s="97" t="str">
        <f aca="false">IF(C1114="","",IF(OR(C1114="Material",C1114="Equipo",C1114="Suministro"),"Materiales y equipos",IF(C1114="Mano de obra contratista","Mano de obra contratista",IF(C1114="Transporte","Transporte y otros","Alquileres"))))</f>
        <v/>
      </c>
      <c r="M1114" s="6"/>
    </row>
    <row r="1115" customFormat="false" ht="16.5" hidden="false" customHeight="true" outlineLevel="0" collapsed="false">
      <c r="A1115" s="95" t="str">
        <f aca="false">IF(AND(B1115="",C1115=""),"",ROW()-6)</f>
        <v/>
      </c>
      <c r="B1115" s="83"/>
      <c r="C1115" s="15"/>
      <c r="D1115" s="15"/>
      <c r="E1115" s="85"/>
      <c r="F1115" s="15"/>
      <c r="G1115" s="15"/>
      <c r="H1115" s="96"/>
      <c r="I1115" s="16"/>
      <c r="J1115" s="37" t="str">
        <f aca="false">IF(I1115="","",IF(H1115="",1,H1115)*I1115)</f>
        <v/>
      </c>
      <c r="K1115" s="15"/>
      <c r="L1115" s="97" t="str">
        <f aca="false">IF(C1115="","",IF(OR(C1115="Material",C1115="Equipo",C1115="Suministro"),"Materiales y equipos",IF(C1115="Mano de obra contratista","Mano de obra contratista",IF(C1115="Transporte","Transporte y otros","Alquileres"))))</f>
        <v/>
      </c>
      <c r="M1115" s="6"/>
    </row>
    <row r="1116" customFormat="false" ht="16.5" hidden="false" customHeight="true" outlineLevel="0" collapsed="false">
      <c r="A1116" s="95" t="str">
        <f aca="false">IF(AND(B1116="",C1116=""),"",ROW()-6)</f>
        <v/>
      </c>
      <c r="B1116" s="83"/>
      <c r="C1116" s="15"/>
      <c r="D1116" s="15"/>
      <c r="E1116" s="85"/>
      <c r="F1116" s="15"/>
      <c r="G1116" s="15"/>
      <c r="H1116" s="96"/>
      <c r="I1116" s="16"/>
      <c r="J1116" s="37" t="str">
        <f aca="false">IF(I1116="","",IF(H1116="",1,H1116)*I1116)</f>
        <v/>
      </c>
      <c r="K1116" s="15"/>
      <c r="L1116" s="97" t="str">
        <f aca="false">IF(C1116="","",IF(OR(C1116="Material",C1116="Equipo",C1116="Suministro"),"Materiales y equipos",IF(C1116="Mano de obra contratista","Mano de obra contratista",IF(C1116="Transporte","Transporte y otros","Alquileres"))))</f>
        <v/>
      </c>
      <c r="M1116" s="6"/>
    </row>
    <row r="1117" customFormat="false" ht="16.5" hidden="false" customHeight="true" outlineLevel="0" collapsed="false">
      <c r="A1117" s="95" t="str">
        <f aca="false">IF(AND(B1117="",C1117=""),"",ROW()-6)</f>
        <v/>
      </c>
      <c r="B1117" s="83"/>
      <c r="C1117" s="15"/>
      <c r="D1117" s="15"/>
      <c r="E1117" s="85"/>
      <c r="F1117" s="15"/>
      <c r="G1117" s="15"/>
      <c r="H1117" s="96"/>
      <c r="I1117" s="16"/>
      <c r="J1117" s="37" t="str">
        <f aca="false">IF(I1117="","",IF(H1117="",1,H1117)*I1117)</f>
        <v/>
      </c>
      <c r="K1117" s="15"/>
      <c r="L1117" s="97" t="str">
        <f aca="false">IF(C1117="","",IF(OR(C1117="Material",C1117="Equipo",C1117="Suministro"),"Materiales y equipos",IF(C1117="Mano de obra contratista","Mano de obra contratista",IF(C1117="Transporte","Transporte y otros","Alquileres"))))</f>
        <v/>
      </c>
      <c r="M1117" s="6"/>
    </row>
    <row r="1118" customFormat="false" ht="16.5" hidden="false" customHeight="true" outlineLevel="0" collapsed="false">
      <c r="A1118" s="95" t="str">
        <f aca="false">IF(AND(B1118="",C1118=""),"",ROW()-6)</f>
        <v/>
      </c>
      <c r="B1118" s="83"/>
      <c r="C1118" s="15"/>
      <c r="D1118" s="15"/>
      <c r="E1118" s="85"/>
      <c r="F1118" s="15"/>
      <c r="G1118" s="15"/>
      <c r="H1118" s="96"/>
      <c r="I1118" s="16"/>
      <c r="J1118" s="37" t="str">
        <f aca="false">IF(I1118="","",IF(H1118="",1,H1118)*I1118)</f>
        <v/>
      </c>
      <c r="K1118" s="15"/>
      <c r="L1118" s="97" t="str">
        <f aca="false">IF(C1118="","",IF(OR(C1118="Material",C1118="Equipo",C1118="Suministro"),"Materiales y equipos",IF(C1118="Mano de obra contratista","Mano de obra contratista",IF(C1118="Transporte","Transporte y otros","Alquileres"))))</f>
        <v/>
      </c>
      <c r="M1118" s="6"/>
    </row>
    <row r="1119" customFormat="false" ht="16.5" hidden="false" customHeight="true" outlineLevel="0" collapsed="false">
      <c r="A1119" s="95" t="str">
        <f aca="false">IF(AND(B1119="",C1119=""),"",ROW()-6)</f>
        <v/>
      </c>
      <c r="B1119" s="83"/>
      <c r="C1119" s="15"/>
      <c r="D1119" s="15"/>
      <c r="E1119" s="85"/>
      <c r="F1119" s="15"/>
      <c r="G1119" s="15"/>
      <c r="H1119" s="96"/>
      <c r="I1119" s="16"/>
      <c r="J1119" s="37" t="str">
        <f aca="false">IF(I1119="","",IF(H1119="",1,H1119)*I1119)</f>
        <v/>
      </c>
      <c r="K1119" s="15"/>
      <c r="L1119" s="97" t="str">
        <f aca="false">IF(C1119="","",IF(OR(C1119="Material",C1119="Equipo",C1119="Suministro"),"Materiales y equipos",IF(C1119="Mano de obra contratista","Mano de obra contratista",IF(C1119="Transporte","Transporte y otros","Alquileres"))))</f>
        <v/>
      </c>
      <c r="M1119" s="6"/>
    </row>
    <row r="1120" customFormat="false" ht="16.5" hidden="false" customHeight="true" outlineLevel="0" collapsed="false">
      <c r="A1120" s="95" t="str">
        <f aca="false">IF(AND(B1120="",C1120=""),"",ROW()-6)</f>
        <v/>
      </c>
      <c r="B1120" s="83"/>
      <c r="C1120" s="15"/>
      <c r="D1120" s="15"/>
      <c r="E1120" s="85"/>
      <c r="F1120" s="15"/>
      <c r="G1120" s="15"/>
      <c r="H1120" s="96"/>
      <c r="I1120" s="16"/>
      <c r="J1120" s="37" t="str">
        <f aca="false">IF(I1120="","",IF(H1120="",1,H1120)*I1120)</f>
        <v/>
      </c>
      <c r="K1120" s="15"/>
      <c r="L1120" s="97" t="str">
        <f aca="false">IF(C1120="","",IF(OR(C1120="Material",C1120="Equipo",C1120="Suministro"),"Materiales y equipos",IF(C1120="Mano de obra contratista","Mano de obra contratista",IF(C1120="Transporte","Transporte y otros","Alquileres"))))</f>
        <v/>
      </c>
      <c r="M1120" s="6"/>
    </row>
    <row r="1121" customFormat="false" ht="16.5" hidden="false" customHeight="true" outlineLevel="0" collapsed="false">
      <c r="A1121" s="95" t="str">
        <f aca="false">IF(AND(B1121="",C1121=""),"",ROW()-6)</f>
        <v/>
      </c>
      <c r="B1121" s="83"/>
      <c r="C1121" s="15"/>
      <c r="D1121" s="15"/>
      <c r="E1121" s="85"/>
      <c r="F1121" s="15"/>
      <c r="G1121" s="15"/>
      <c r="H1121" s="96"/>
      <c r="I1121" s="16"/>
      <c r="J1121" s="37" t="str">
        <f aca="false">IF(I1121="","",IF(H1121="",1,H1121)*I1121)</f>
        <v/>
      </c>
      <c r="K1121" s="15"/>
      <c r="L1121" s="97" t="str">
        <f aca="false">IF(C1121="","",IF(OR(C1121="Material",C1121="Equipo",C1121="Suministro"),"Materiales y equipos",IF(C1121="Mano de obra contratista","Mano de obra contratista",IF(C1121="Transporte","Transporte y otros","Alquileres"))))</f>
        <v/>
      </c>
      <c r="M1121" s="6"/>
    </row>
    <row r="1122" customFormat="false" ht="16.5" hidden="false" customHeight="true" outlineLevel="0" collapsed="false">
      <c r="A1122" s="95" t="str">
        <f aca="false">IF(AND(B1122="",C1122=""),"",ROW()-6)</f>
        <v/>
      </c>
      <c r="B1122" s="83"/>
      <c r="C1122" s="15"/>
      <c r="D1122" s="15"/>
      <c r="E1122" s="85"/>
      <c r="F1122" s="15"/>
      <c r="G1122" s="15"/>
      <c r="H1122" s="96"/>
      <c r="I1122" s="16"/>
      <c r="J1122" s="37" t="str">
        <f aca="false">IF(I1122="","",IF(H1122="",1,H1122)*I1122)</f>
        <v/>
      </c>
      <c r="K1122" s="15"/>
      <c r="L1122" s="97" t="str">
        <f aca="false">IF(C1122="","",IF(OR(C1122="Material",C1122="Equipo",C1122="Suministro"),"Materiales y equipos",IF(C1122="Mano de obra contratista","Mano de obra contratista",IF(C1122="Transporte","Transporte y otros","Alquileres"))))</f>
        <v/>
      </c>
      <c r="M1122" s="6"/>
    </row>
    <row r="1123" customFormat="false" ht="16.5" hidden="false" customHeight="true" outlineLevel="0" collapsed="false">
      <c r="A1123" s="95" t="str">
        <f aca="false">IF(AND(B1123="",C1123=""),"",ROW()-6)</f>
        <v/>
      </c>
      <c r="B1123" s="83"/>
      <c r="C1123" s="15"/>
      <c r="D1123" s="15"/>
      <c r="E1123" s="85"/>
      <c r="F1123" s="15"/>
      <c r="G1123" s="15"/>
      <c r="H1123" s="96"/>
      <c r="I1123" s="16"/>
      <c r="J1123" s="37" t="str">
        <f aca="false">IF(I1123="","",IF(H1123="",1,H1123)*I1123)</f>
        <v/>
      </c>
      <c r="K1123" s="15"/>
      <c r="L1123" s="97" t="str">
        <f aca="false">IF(C1123="","",IF(OR(C1123="Material",C1123="Equipo",C1123="Suministro"),"Materiales y equipos",IF(C1123="Mano de obra contratista","Mano de obra contratista",IF(C1123="Transporte","Transporte y otros","Alquileres"))))</f>
        <v/>
      </c>
      <c r="M1123" s="6"/>
    </row>
    <row r="1124" customFormat="false" ht="16.5" hidden="false" customHeight="true" outlineLevel="0" collapsed="false">
      <c r="A1124" s="95" t="str">
        <f aca="false">IF(AND(B1124="",C1124=""),"",ROW()-6)</f>
        <v/>
      </c>
      <c r="B1124" s="83"/>
      <c r="C1124" s="15"/>
      <c r="D1124" s="15"/>
      <c r="E1124" s="85"/>
      <c r="F1124" s="15"/>
      <c r="G1124" s="15"/>
      <c r="H1124" s="96"/>
      <c r="I1124" s="16"/>
      <c r="J1124" s="37" t="str">
        <f aca="false">IF(I1124="","",IF(H1124="",1,H1124)*I1124)</f>
        <v/>
      </c>
      <c r="K1124" s="15"/>
      <c r="L1124" s="97" t="str">
        <f aca="false">IF(C1124="","",IF(OR(C1124="Material",C1124="Equipo",C1124="Suministro"),"Materiales y equipos",IF(C1124="Mano de obra contratista","Mano de obra contratista",IF(C1124="Transporte","Transporte y otros","Alquileres"))))</f>
        <v/>
      </c>
      <c r="M1124" s="6"/>
    </row>
    <row r="1125" customFormat="false" ht="16.5" hidden="false" customHeight="true" outlineLevel="0" collapsed="false">
      <c r="A1125" s="95" t="str">
        <f aca="false">IF(AND(B1125="",C1125=""),"",ROW()-6)</f>
        <v/>
      </c>
      <c r="B1125" s="83"/>
      <c r="C1125" s="15"/>
      <c r="D1125" s="15"/>
      <c r="E1125" s="85"/>
      <c r="F1125" s="15"/>
      <c r="G1125" s="15"/>
      <c r="H1125" s="96"/>
      <c r="I1125" s="16"/>
      <c r="J1125" s="37" t="str">
        <f aca="false">IF(I1125="","",IF(H1125="",1,H1125)*I1125)</f>
        <v/>
      </c>
      <c r="K1125" s="15"/>
      <c r="L1125" s="97" t="str">
        <f aca="false">IF(C1125="","",IF(OR(C1125="Material",C1125="Equipo",C1125="Suministro"),"Materiales y equipos",IF(C1125="Mano de obra contratista","Mano de obra contratista",IF(C1125="Transporte","Transporte y otros","Alquileres"))))</f>
        <v/>
      </c>
      <c r="M1125" s="6"/>
    </row>
    <row r="1126" customFormat="false" ht="16.5" hidden="false" customHeight="true" outlineLevel="0" collapsed="false">
      <c r="A1126" s="95" t="str">
        <f aca="false">IF(AND(B1126="",C1126=""),"",ROW()-6)</f>
        <v/>
      </c>
      <c r="B1126" s="83"/>
      <c r="C1126" s="15"/>
      <c r="D1126" s="15"/>
      <c r="E1126" s="85"/>
      <c r="F1126" s="15"/>
      <c r="G1126" s="15"/>
      <c r="H1126" s="96"/>
      <c r="I1126" s="16"/>
      <c r="J1126" s="37" t="str">
        <f aca="false">IF(I1126="","",IF(H1126="",1,H1126)*I1126)</f>
        <v/>
      </c>
      <c r="K1126" s="15"/>
      <c r="L1126" s="97" t="str">
        <f aca="false">IF(C1126="","",IF(OR(C1126="Material",C1126="Equipo",C1126="Suministro"),"Materiales y equipos",IF(C1126="Mano de obra contratista","Mano de obra contratista",IF(C1126="Transporte","Transporte y otros","Alquileres"))))</f>
        <v/>
      </c>
      <c r="M1126" s="6"/>
    </row>
    <row r="1127" customFormat="false" ht="16.5" hidden="false" customHeight="true" outlineLevel="0" collapsed="false">
      <c r="A1127" s="95" t="str">
        <f aca="false">IF(AND(B1127="",C1127=""),"",ROW()-6)</f>
        <v/>
      </c>
      <c r="B1127" s="83"/>
      <c r="C1127" s="15"/>
      <c r="D1127" s="15"/>
      <c r="E1127" s="85"/>
      <c r="F1127" s="15"/>
      <c r="G1127" s="15"/>
      <c r="H1127" s="96"/>
      <c r="I1127" s="16"/>
      <c r="J1127" s="37" t="str">
        <f aca="false">IF(I1127="","",IF(H1127="",1,H1127)*I1127)</f>
        <v/>
      </c>
      <c r="K1127" s="15"/>
      <c r="L1127" s="97" t="str">
        <f aca="false">IF(C1127="","",IF(OR(C1127="Material",C1127="Equipo",C1127="Suministro"),"Materiales y equipos",IF(C1127="Mano de obra contratista","Mano de obra contratista",IF(C1127="Transporte","Transporte y otros","Alquileres"))))</f>
        <v/>
      </c>
      <c r="M1127" s="6"/>
    </row>
    <row r="1128" customFormat="false" ht="16.5" hidden="false" customHeight="true" outlineLevel="0" collapsed="false">
      <c r="A1128" s="95" t="str">
        <f aca="false">IF(AND(B1128="",C1128=""),"",ROW()-6)</f>
        <v/>
      </c>
      <c r="B1128" s="83"/>
      <c r="C1128" s="15"/>
      <c r="D1128" s="15"/>
      <c r="E1128" s="85"/>
      <c r="F1128" s="15"/>
      <c r="G1128" s="15"/>
      <c r="H1128" s="96"/>
      <c r="I1128" s="16"/>
      <c r="J1128" s="37" t="str">
        <f aca="false">IF(I1128="","",IF(H1128="",1,H1128)*I1128)</f>
        <v/>
      </c>
      <c r="K1128" s="15"/>
      <c r="L1128" s="97" t="str">
        <f aca="false">IF(C1128="","",IF(OR(C1128="Material",C1128="Equipo",C1128="Suministro"),"Materiales y equipos",IF(C1128="Mano de obra contratista","Mano de obra contratista",IF(C1128="Transporte","Transporte y otros","Alquileres"))))</f>
        <v/>
      </c>
      <c r="M1128" s="6"/>
    </row>
    <row r="1129" customFormat="false" ht="16.5" hidden="false" customHeight="true" outlineLevel="0" collapsed="false">
      <c r="A1129" s="95" t="str">
        <f aca="false">IF(AND(B1129="",C1129=""),"",ROW()-6)</f>
        <v/>
      </c>
      <c r="B1129" s="83"/>
      <c r="C1129" s="15"/>
      <c r="D1129" s="15"/>
      <c r="E1129" s="85"/>
      <c r="F1129" s="15"/>
      <c r="G1129" s="15"/>
      <c r="H1129" s="96"/>
      <c r="I1129" s="16"/>
      <c r="J1129" s="37" t="str">
        <f aca="false">IF(I1129="","",IF(H1129="",1,H1129)*I1129)</f>
        <v/>
      </c>
      <c r="K1129" s="15"/>
      <c r="L1129" s="97" t="str">
        <f aca="false">IF(C1129="","",IF(OR(C1129="Material",C1129="Equipo",C1129="Suministro"),"Materiales y equipos",IF(C1129="Mano de obra contratista","Mano de obra contratista",IF(C1129="Transporte","Transporte y otros","Alquileres"))))</f>
        <v/>
      </c>
      <c r="M1129" s="6"/>
    </row>
    <row r="1130" customFormat="false" ht="16.5" hidden="false" customHeight="true" outlineLevel="0" collapsed="false">
      <c r="A1130" s="95" t="str">
        <f aca="false">IF(AND(B1130="",C1130=""),"",ROW()-6)</f>
        <v/>
      </c>
      <c r="B1130" s="83"/>
      <c r="C1130" s="15"/>
      <c r="D1130" s="15"/>
      <c r="E1130" s="85"/>
      <c r="F1130" s="15"/>
      <c r="G1130" s="15"/>
      <c r="H1130" s="96"/>
      <c r="I1130" s="16"/>
      <c r="J1130" s="37" t="str">
        <f aca="false">IF(I1130="","",IF(H1130="",1,H1130)*I1130)</f>
        <v/>
      </c>
      <c r="K1130" s="15"/>
      <c r="L1130" s="97" t="str">
        <f aca="false">IF(C1130="","",IF(OR(C1130="Material",C1130="Equipo",C1130="Suministro"),"Materiales y equipos",IF(C1130="Mano de obra contratista","Mano de obra contratista",IF(C1130="Transporte","Transporte y otros","Alquileres"))))</f>
        <v/>
      </c>
      <c r="M1130" s="6"/>
    </row>
    <row r="1131" customFormat="false" ht="16.5" hidden="false" customHeight="true" outlineLevel="0" collapsed="false">
      <c r="A1131" s="95" t="str">
        <f aca="false">IF(AND(B1131="",C1131=""),"",ROW()-6)</f>
        <v/>
      </c>
      <c r="B1131" s="83"/>
      <c r="C1131" s="15"/>
      <c r="D1131" s="15"/>
      <c r="E1131" s="85"/>
      <c r="F1131" s="15"/>
      <c r="G1131" s="15"/>
      <c r="H1131" s="96"/>
      <c r="I1131" s="16"/>
      <c r="J1131" s="37" t="str">
        <f aca="false">IF(I1131="","",IF(H1131="",1,H1131)*I1131)</f>
        <v/>
      </c>
      <c r="K1131" s="15"/>
      <c r="L1131" s="97" t="str">
        <f aca="false">IF(C1131="","",IF(OR(C1131="Material",C1131="Equipo",C1131="Suministro"),"Materiales y equipos",IF(C1131="Mano de obra contratista","Mano de obra contratista",IF(C1131="Transporte","Transporte y otros","Alquileres"))))</f>
        <v/>
      </c>
      <c r="M1131" s="6"/>
    </row>
    <row r="1132" customFormat="false" ht="16.5" hidden="false" customHeight="true" outlineLevel="0" collapsed="false">
      <c r="A1132" s="95" t="str">
        <f aca="false">IF(AND(B1132="",C1132=""),"",ROW()-6)</f>
        <v/>
      </c>
      <c r="B1132" s="83"/>
      <c r="C1132" s="15"/>
      <c r="D1132" s="15"/>
      <c r="E1132" s="85"/>
      <c r="F1132" s="15"/>
      <c r="G1132" s="15"/>
      <c r="H1132" s="96"/>
      <c r="I1132" s="16"/>
      <c r="J1132" s="37" t="str">
        <f aca="false">IF(I1132="","",IF(H1132="",1,H1132)*I1132)</f>
        <v/>
      </c>
      <c r="K1132" s="15"/>
      <c r="L1132" s="97" t="str">
        <f aca="false">IF(C1132="","",IF(OR(C1132="Material",C1132="Equipo",C1132="Suministro"),"Materiales y equipos",IF(C1132="Mano de obra contratista","Mano de obra contratista",IF(C1132="Transporte","Transporte y otros","Alquileres"))))</f>
        <v/>
      </c>
      <c r="M1132" s="6"/>
    </row>
    <row r="1133" customFormat="false" ht="16.5" hidden="false" customHeight="true" outlineLevel="0" collapsed="false">
      <c r="A1133" s="95" t="str">
        <f aca="false">IF(AND(B1133="",C1133=""),"",ROW()-6)</f>
        <v/>
      </c>
      <c r="B1133" s="83"/>
      <c r="C1133" s="15"/>
      <c r="D1133" s="15"/>
      <c r="E1133" s="85"/>
      <c r="F1133" s="15"/>
      <c r="G1133" s="15"/>
      <c r="H1133" s="96"/>
      <c r="I1133" s="16"/>
      <c r="J1133" s="37" t="str">
        <f aca="false">IF(I1133="","",IF(H1133="",1,H1133)*I1133)</f>
        <v/>
      </c>
      <c r="K1133" s="15"/>
      <c r="L1133" s="97" t="str">
        <f aca="false">IF(C1133="","",IF(OR(C1133="Material",C1133="Equipo",C1133="Suministro"),"Materiales y equipos",IF(C1133="Mano de obra contratista","Mano de obra contratista",IF(C1133="Transporte","Transporte y otros","Alquileres"))))</f>
        <v/>
      </c>
      <c r="M1133" s="6"/>
    </row>
    <row r="1134" customFormat="false" ht="16.5" hidden="false" customHeight="true" outlineLevel="0" collapsed="false">
      <c r="A1134" s="95" t="str">
        <f aca="false">IF(AND(B1134="",C1134=""),"",ROW()-6)</f>
        <v/>
      </c>
      <c r="B1134" s="83"/>
      <c r="C1134" s="15"/>
      <c r="D1134" s="15"/>
      <c r="E1134" s="85"/>
      <c r="F1134" s="15"/>
      <c r="G1134" s="15"/>
      <c r="H1134" s="96"/>
      <c r="I1134" s="16"/>
      <c r="J1134" s="37" t="str">
        <f aca="false">IF(I1134="","",IF(H1134="",1,H1134)*I1134)</f>
        <v/>
      </c>
      <c r="K1134" s="15"/>
      <c r="L1134" s="97" t="str">
        <f aca="false">IF(C1134="","",IF(OR(C1134="Material",C1134="Equipo",C1134="Suministro"),"Materiales y equipos",IF(C1134="Mano de obra contratista","Mano de obra contratista",IF(C1134="Transporte","Transporte y otros","Alquileres"))))</f>
        <v/>
      </c>
      <c r="M1134" s="6"/>
    </row>
    <row r="1135" customFormat="false" ht="16.5" hidden="false" customHeight="true" outlineLevel="0" collapsed="false">
      <c r="A1135" s="95" t="str">
        <f aca="false">IF(AND(B1135="",C1135=""),"",ROW()-6)</f>
        <v/>
      </c>
      <c r="B1135" s="83"/>
      <c r="C1135" s="15"/>
      <c r="D1135" s="15"/>
      <c r="E1135" s="85"/>
      <c r="F1135" s="15"/>
      <c r="G1135" s="15"/>
      <c r="H1135" s="96"/>
      <c r="I1135" s="16"/>
      <c r="J1135" s="37" t="str">
        <f aca="false">IF(I1135="","",IF(H1135="",1,H1135)*I1135)</f>
        <v/>
      </c>
      <c r="K1135" s="15"/>
      <c r="L1135" s="97" t="str">
        <f aca="false">IF(C1135="","",IF(OR(C1135="Material",C1135="Equipo",C1135="Suministro"),"Materiales y equipos",IF(C1135="Mano de obra contratista","Mano de obra contratista",IF(C1135="Transporte","Transporte y otros","Alquileres"))))</f>
        <v/>
      </c>
      <c r="M1135" s="6"/>
    </row>
    <row r="1136" customFormat="false" ht="16.5" hidden="false" customHeight="true" outlineLevel="0" collapsed="false">
      <c r="A1136" s="95" t="str">
        <f aca="false">IF(AND(B1136="",C1136=""),"",ROW()-6)</f>
        <v/>
      </c>
      <c r="B1136" s="83"/>
      <c r="C1136" s="15"/>
      <c r="D1136" s="15"/>
      <c r="E1136" s="85"/>
      <c r="F1136" s="15"/>
      <c r="G1136" s="15"/>
      <c r="H1136" s="96"/>
      <c r="I1136" s="16"/>
      <c r="J1136" s="37" t="str">
        <f aca="false">IF(I1136="","",IF(H1136="",1,H1136)*I1136)</f>
        <v/>
      </c>
      <c r="K1136" s="15"/>
      <c r="L1136" s="97" t="str">
        <f aca="false">IF(C1136="","",IF(OR(C1136="Material",C1136="Equipo",C1136="Suministro"),"Materiales y equipos",IF(C1136="Mano de obra contratista","Mano de obra contratista",IF(C1136="Transporte","Transporte y otros","Alquileres"))))</f>
        <v/>
      </c>
      <c r="M1136" s="6"/>
    </row>
    <row r="1137" customFormat="false" ht="16.5" hidden="false" customHeight="true" outlineLevel="0" collapsed="false">
      <c r="A1137" s="95" t="str">
        <f aca="false">IF(AND(B1137="",C1137=""),"",ROW()-6)</f>
        <v/>
      </c>
      <c r="B1137" s="83"/>
      <c r="C1137" s="15"/>
      <c r="D1137" s="15"/>
      <c r="E1137" s="85"/>
      <c r="F1137" s="15"/>
      <c r="G1137" s="15"/>
      <c r="H1137" s="96"/>
      <c r="I1137" s="16"/>
      <c r="J1137" s="37" t="str">
        <f aca="false">IF(I1137="","",IF(H1137="",1,H1137)*I1137)</f>
        <v/>
      </c>
      <c r="K1137" s="15"/>
      <c r="L1137" s="97" t="str">
        <f aca="false">IF(C1137="","",IF(OR(C1137="Material",C1137="Equipo",C1137="Suministro"),"Materiales y equipos",IF(C1137="Mano de obra contratista","Mano de obra contratista",IF(C1137="Transporte","Transporte y otros","Alquileres"))))</f>
        <v/>
      </c>
      <c r="M1137" s="6"/>
    </row>
    <row r="1138" customFormat="false" ht="16.5" hidden="false" customHeight="true" outlineLevel="0" collapsed="false">
      <c r="A1138" s="95" t="str">
        <f aca="false">IF(AND(B1138="",C1138=""),"",ROW()-6)</f>
        <v/>
      </c>
      <c r="B1138" s="83"/>
      <c r="C1138" s="15"/>
      <c r="D1138" s="15"/>
      <c r="E1138" s="85"/>
      <c r="F1138" s="15"/>
      <c r="G1138" s="15"/>
      <c r="H1138" s="96"/>
      <c r="I1138" s="16"/>
      <c r="J1138" s="37" t="str">
        <f aca="false">IF(I1138="","",IF(H1138="",1,H1138)*I1138)</f>
        <v/>
      </c>
      <c r="K1138" s="15"/>
      <c r="L1138" s="97" t="str">
        <f aca="false">IF(C1138="","",IF(OR(C1138="Material",C1138="Equipo",C1138="Suministro"),"Materiales y equipos",IF(C1138="Mano de obra contratista","Mano de obra contratista",IF(C1138="Transporte","Transporte y otros","Alquileres"))))</f>
        <v/>
      </c>
      <c r="M1138" s="6"/>
    </row>
    <row r="1139" customFormat="false" ht="16.5" hidden="false" customHeight="true" outlineLevel="0" collapsed="false">
      <c r="A1139" s="95" t="str">
        <f aca="false">IF(AND(B1139="",C1139=""),"",ROW()-6)</f>
        <v/>
      </c>
      <c r="B1139" s="83"/>
      <c r="C1139" s="15"/>
      <c r="D1139" s="15"/>
      <c r="E1139" s="85"/>
      <c r="F1139" s="15"/>
      <c r="G1139" s="15"/>
      <c r="H1139" s="96"/>
      <c r="I1139" s="16"/>
      <c r="J1139" s="37" t="str">
        <f aca="false">IF(I1139="","",IF(H1139="",1,H1139)*I1139)</f>
        <v/>
      </c>
      <c r="K1139" s="15"/>
      <c r="L1139" s="97" t="str">
        <f aca="false">IF(C1139="","",IF(OR(C1139="Material",C1139="Equipo",C1139="Suministro"),"Materiales y equipos",IF(C1139="Mano de obra contratista","Mano de obra contratista",IF(C1139="Transporte","Transporte y otros","Alquileres"))))</f>
        <v/>
      </c>
      <c r="M1139" s="6"/>
    </row>
    <row r="1140" customFormat="false" ht="16.5" hidden="false" customHeight="true" outlineLevel="0" collapsed="false">
      <c r="A1140" s="95" t="str">
        <f aca="false">IF(AND(B1140="",C1140=""),"",ROW()-6)</f>
        <v/>
      </c>
      <c r="B1140" s="83"/>
      <c r="C1140" s="15"/>
      <c r="D1140" s="15"/>
      <c r="E1140" s="85"/>
      <c r="F1140" s="15"/>
      <c r="G1140" s="15"/>
      <c r="H1140" s="96"/>
      <c r="I1140" s="16"/>
      <c r="J1140" s="37" t="str">
        <f aca="false">IF(I1140="","",IF(H1140="",1,H1140)*I1140)</f>
        <v/>
      </c>
      <c r="K1140" s="15"/>
      <c r="L1140" s="97" t="str">
        <f aca="false">IF(C1140="","",IF(OR(C1140="Material",C1140="Equipo",C1140="Suministro"),"Materiales y equipos",IF(C1140="Mano de obra contratista","Mano de obra contratista",IF(C1140="Transporte","Transporte y otros","Alquileres"))))</f>
        <v/>
      </c>
      <c r="M1140" s="6"/>
    </row>
    <row r="1141" customFormat="false" ht="16.5" hidden="false" customHeight="true" outlineLevel="0" collapsed="false">
      <c r="A1141" s="95" t="str">
        <f aca="false">IF(AND(B1141="",C1141=""),"",ROW()-6)</f>
        <v/>
      </c>
      <c r="B1141" s="83"/>
      <c r="C1141" s="15"/>
      <c r="D1141" s="15"/>
      <c r="E1141" s="85"/>
      <c r="F1141" s="15"/>
      <c r="G1141" s="15"/>
      <c r="H1141" s="96"/>
      <c r="I1141" s="16"/>
      <c r="J1141" s="37" t="str">
        <f aca="false">IF(I1141="","",IF(H1141="",1,H1141)*I1141)</f>
        <v/>
      </c>
      <c r="K1141" s="15"/>
      <c r="L1141" s="97" t="str">
        <f aca="false">IF(C1141="","",IF(OR(C1141="Material",C1141="Equipo",C1141="Suministro"),"Materiales y equipos",IF(C1141="Mano de obra contratista","Mano de obra contratista",IF(C1141="Transporte","Transporte y otros","Alquileres"))))</f>
        <v/>
      </c>
      <c r="M1141" s="6"/>
    </row>
    <row r="1142" customFormat="false" ht="16.5" hidden="false" customHeight="true" outlineLevel="0" collapsed="false">
      <c r="A1142" s="95" t="str">
        <f aca="false">IF(AND(B1142="",C1142=""),"",ROW()-6)</f>
        <v/>
      </c>
      <c r="B1142" s="83"/>
      <c r="C1142" s="15"/>
      <c r="D1142" s="15"/>
      <c r="E1142" s="85"/>
      <c r="F1142" s="15"/>
      <c r="G1142" s="15"/>
      <c r="H1142" s="96"/>
      <c r="I1142" s="16"/>
      <c r="J1142" s="37" t="str">
        <f aca="false">IF(I1142="","",IF(H1142="",1,H1142)*I1142)</f>
        <v/>
      </c>
      <c r="K1142" s="15"/>
      <c r="L1142" s="97" t="str">
        <f aca="false">IF(C1142="","",IF(OR(C1142="Material",C1142="Equipo",C1142="Suministro"),"Materiales y equipos",IF(C1142="Mano de obra contratista","Mano de obra contratista",IF(C1142="Transporte","Transporte y otros","Alquileres"))))</f>
        <v/>
      </c>
      <c r="M1142" s="6"/>
    </row>
    <row r="1143" customFormat="false" ht="16.5" hidden="false" customHeight="true" outlineLevel="0" collapsed="false">
      <c r="A1143" s="95" t="str">
        <f aca="false">IF(AND(B1143="",C1143=""),"",ROW()-6)</f>
        <v/>
      </c>
      <c r="B1143" s="83"/>
      <c r="C1143" s="15"/>
      <c r="D1143" s="15"/>
      <c r="E1143" s="85"/>
      <c r="F1143" s="15"/>
      <c r="G1143" s="15"/>
      <c r="H1143" s="96"/>
      <c r="I1143" s="16"/>
      <c r="J1143" s="37" t="str">
        <f aca="false">IF(I1143="","",IF(H1143="",1,H1143)*I1143)</f>
        <v/>
      </c>
      <c r="K1143" s="15"/>
      <c r="L1143" s="97" t="str">
        <f aca="false">IF(C1143="","",IF(OR(C1143="Material",C1143="Equipo",C1143="Suministro"),"Materiales y equipos",IF(C1143="Mano de obra contratista","Mano de obra contratista",IF(C1143="Transporte","Transporte y otros","Alquileres"))))</f>
        <v/>
      </c>
      <c r="M1143" s="6"/>
    </row>
    <row r="1144" customFormat="false" ht="16.5" hidden="false" customHeight="true" outlineLevel="0" collapsed="false">
      <c r="A1144" s="95" t="str">
        <f aca="false">IF(AND(B1144="",C1144=""),"",ROW()-6)</f>
        <v/>
      </c>
      <c r="B1144" s="83"/>
      <c r="C1144" s="15"/>
      <c r="D1144" s="15"/>
      <c r="E1144" s="85"/>
      <c r="F1144" s="15"/>
      <c r="G1144" s="15"/>
      <c r="H1144" s="96"/>
      <c r="I1144" s="16"/>
      <c r="J1144" s="37" t="str">
        <f aca="false">IF(I1144="","",IF(H1144="",1,H1144)*I1144)</f>
        <v/>
      </c>
      <c r="K1144" s="15"/>
      <c r="L1144" s="97" t="str">
        <f aca="false">IF(C1144="","",IF(OR(C1144="Material",C1144="Equipo",C1144="Suministro"),"Materiales y equipos",IF(C1144="Mano de obra contratista","Mano de obra contratista",IF(C1144="Transporte","Transporte y otros","Alquileres"))))</f>
        <v/>
      </c>
      <c r="M1144" s="6"/>
    </row>
    <row r="1145" customFormat="false" ht="16.5" hidden="false" customHeight="true" outlineLevel="0" collapsed="false">
      <c r="A1145" s="95" t="str">
        <f aca="false">IF(AND(B1145="",C1145=""),"",ROW()-6)</f>
        <v/>
      </c>
      <c r="B1145" s="83"/>
      <c r="C1145" s="15"/>
      <c r="D1145" s="15"/>
      <c r="E1145" s="85"/>
      <c r="F1145" s="15"/>
      <c r="G1145" s="15"/>
      <c r="H1145" s="96"/>
      <c r="I1145" s="16"/>
      <c r="J1145" s="37" t="str">
        <f aca="false">IF(I1145="","",IF(H1145="",1,H1145)*I1145)</f>
        <v/>
      </c>
      <c r="K1145" s="15"/>
      <c r="L1145" s="97" t="str">
        <f aca="false">IF(C1145="","",IF(OR(C1145="Material",C1145="Equipo",C1145="Suministro"),"Materiales y equipos",IF(C1145="Mano de obra contratista","Mano de obra contratista",IF(C1145="Transporte","Transporte y otros","Alquileres"))))</f>
        <v/>
      </c>
      <c r="M1145" s="6"/>
    </row>
    <row r="1146" customFormat="false" ht="16.5" hidden="false" customHeight="true" outlineLevel="0" collapsed="false">
      <c r="A1146" s="95" t="str">
        <f aca="false">IF(AND(B1146="",C1146=""),"",ROW()-6)</f>
        <v/>
      </c>
      <c r="B1146" s="83"/>
      <c r="C1146" s="15"/>
      <c r="D1146" s="15"/>
      <c r="E1146" s="85"/>
      <c r="F1146" s="15"/>
      <c r="G1146" s="15"/>
      <c r="H1146" s="96"/>
      <c r="I1146" s="16"/>
      <c r="J1146" s="37" t="str">
        <f aca="false">IF(I1146="","",IF(H1146="",1,H1146)*I1146)</f>
        <v/>
      </c>
      <c r="K1146" s="15"/>
      <c r="L1146" s="97" t="str">
        <f aca="false">IF(C1146="","",IF(OR(C1146="Material",C1146="Equipo",C1146="Suministro"),"Materiales y equipos",IF(C1146="Mano de obra contratista","Mano de obra contratista",IF(C1146="Transporte","Transporte y otros","Alquileres"))))</f>
        <v/>
      </c>
      <c r="M1146" s="6"/>
    </row>
    <row r="1147" customFormat="false" ht="16.5" hidden="false" customHeight="true" outlineLevel="0" collapsed="false">
      <c r="A1147" s="95" t="str">
        <f aca="false">IF(AND(B1147="",C1147=""),"",ROW()-6)</f>
        <v/>
      </c>
      <c r="B1147" s="83"/>
      <c r="C1147" s="15"/>
      <c r="D1147" s="15"/>
      <c r="E1147" s="85"/>
      <c r="F1147" s="15"/>
      <c r="G1147" s="15"/>
      <c r="H1147" s="96"/>
      <c r="I1147" s="16"/>
      <c r="J1147" s="37" t="str">
        <f aca="false">IF(I1147="","",IF(H1147="",1,H1147)*I1147)</f>
        <v/>
      </c>
      <c r="K1147" s="15"/>
      <c r="L1147" s="97" t="str">
        <f aca="false">IF(C1147="","",IF(OR(C1147="Material",C1147="Equipo",C1147="Suministro"),"Materiales y equipos",IF(C1147="Mano de obra contratista","Mano de obra contratista",IF(C1147="Transporte","Transporte y otros","Alquileres"))))</f>
        <v/>
      </c>
      <c r="M1147" s="6"/>
    </row>
    <row r="1148" customFormat="false" ht="16.5" hidden="false" customHeight="true" outlineLevel="0" collapsed="false">
      <c r="A1148" s="95" t="str">
        <f aca="false">IF(AND(B1148="",C1148=""),"",ROW()-6)</f>
        <v/>
      </c>
      <c r="B1148" s="83"/>
      <c r="C1148" s="15"/>
      <c r="D1148" s="15"/>
      <c r="E1148" s="85"/>
      <c r="F1148" s="15"/>
      <c r="G1148" s="15"/>
      <c r="H1148" s="96"/>
      <c r="I1148" s="16"/>
      <c r="J1148" s="37" t="str">
        <f aca="false">IF(I1148="","",IF(H1148="",1,H1148)*I1148)</f>
        <v/>
      </c>
      <c r="K1148" s="15"/>
      <c r="L1148" s="97" t="str">
        <f aca="false">IF(C1148="","",IF(OR(C1148="Material",C1148="Equipo",C1148="Suministro"),"Materiales y equipos",IF(C1148="Mano de obra contratista","Mano de obra contratista",IF(C1148="Transporte","Transporte y otros","Alquileres"))))</f>
        <v/>
      </c>
      <c r="M1148" s="6"/>
    </row>
    <row r="1149" customFormat="false" ht="16.5" hidden="false" customHeight="true" outlineLevel="0" collapsed="false">
      <c r="A1149" s="95" t="str">
        <f aca="false">IF(AND(B1149="",C1149=""),"",ROW()-6)</f>
        <v/>
      </c>
      <c r="B1149" s="83"/>
      <c r="C1149" s="15"/>
      <c r="D1149" s="15"/>
      <c r="E1149" s="85"/>
      <c r="F1149" s="15"/>
      <c r="G1149" s="15"/>
      <c r="H1149" s="96"/>
      <c r="I1149" s="16"/>
      <c r="J1149" s="37" t="str">
        <f aca="false">IF(I1149="","",IF(H1149="",1,H1149)*I1149)</f>
        <v/>
      </c>
      <c r="K1149" s="15"/>
      <c r="L1149" s="97" t="str">
        <f aca="false">IF(C1149="","",IF(OR(C1149="Material",C1149="Equipo",C1149="Suministro"),"Materiales y equipos",IF(C1149="Mano de obra contratista","Mano de obra contratista",IF(C1149="Transporte","Transporte y otros","Alquileres"))))</f>
        <v/>
      </c>
      <c r="M1149" s="6"/>
    </row>
    <row r="1150" customFormat="false" ht="16.5" hidden="false" customHeight="true" outlineLevel="0" collapsed="false">
      <c r="A1150" s="95" t="str">
        <f aca="false">IF(AND(B1150="",C1150=""),"",ROW()-6)</f>
        <v/>
      </c>
      <c r="B1150" s="83"/>
      <c r="C1150" s="15"/>
      <c r="D1150" s="15"/>
      <c r="E1150" s="85"/>
      <c r="F1150" s="15"/>
      <c r="G1150" s="15"/>
      <c r="H1150" s="96"/>
      <c r="I1150" s="16"/>
      <c r="J1150" s="37" t="str">
        <f aca="false">IF(I1150="","",IF(H1150="",1,H1150)*I1150)</f>
        <v/>
      </c>
      <c r="K1150" s="15"/>
      <c r="L1150" s="97" t="str">
        <f aca="false">IF(C1150="","",IF(OR(C1150="Material",C1150="Equipo",C1150="Suministro"),"Materiales y equipos",IF(C1150="Mano de obra contratista","Mano de obra contratista",IF(C1150="Transporte","Transporte y otros","Alquileres"))))</f>
        <v/>
      </c>
      <c r="M1150" s="6"/>
    </row>
    <row r="1151" customFormat="false" ht="16.5" hidden="false" customHeight="true" outlineLevel="0" collapsed="false">
      <c r="A1151" s="95" t="str">
        <f aca="false">IF(AND(B1151="",C1151=""),"",ROW()-6)</f>
        <v/>
      </c>
      <c r="B1151" s="83"/>
      <c r="C1151" s="15"/>
      <c r="D1151" s="15"/>
      <c r="E1151" s="85"/>
      <c r="F1151" s="15"/>
      <c r="G1151" s="15"/>
      <c r="H1151" s="96"/>
      <c r="I1151" s="16"/>
      <c r="J1151" s="37" t="str">
        <f aca="false">IF(I1151="","",IF(H1151="",1,H1151)*I1151)</f>
        <v/>
      </c>
      <c r="K1151" s="15"/>
      <c r="L1151" s="97" t="str">
        <f aca="false">IF(C1151="","",IF(OR(C1151="Material",C1151="Equipo",C1151="Suministro"),"Materiales y equipos",IF(C1151="Mano de obra contratista","Mano de obra contratista",IF(C1151="Transporte","Transporte y otros","Alquileres"))))</f>
        <v/>
      </c>
      <c r="M1151" s="6"/>
    </row>
    <row r="1152" customFormat="false" ht="16.5" hidden="false" customHeight="true" outlineLevel="0" collapsed="false">
      <c r="A1152" s="95" t="str">
        <f aca="false">IF(AND(B1152="",C1152=""),"",ROW()-6)</f>
        <v/>
      </c>
      <c r="B1152" s="83"/>
      <c r="C1152" s="15"/>
      <c r="D1152" s="15"/>
      <c r="E1152" s="85"/>
      <c r="F1152" s="15"/>
      <c r="G1152" s="15"/>
      <c r="H1152" s="96"/>
      <c r="I1152" s="16"/>
      <c r="J1152" s="37" t="str">
        <f aca="false">IF(I1152="","",IF(H1152="",1,H1152)*I1152)</f>
        <v/>
      </c>
      <c r="K1152" s="15"/>
      <c r="L1152" s="97" t="str">
        <f aca="false">IF(C1152="","",IF(OR(C1152="Material",C1152="Equipo",C1152="Suministro"),"Materiales y equipos",IF(C1152="Mano de obra contratista","Mano de obra contratista",IF(C1152="Transporte","Transporte y otros","Alquileres"))))</f>
        <v/>
      </c>
      <c r="M1152" s="6"/>
    </row>
    <row r="1153" customFormat="false" ht="16.5" hidden="false" customHeight="true" outlineLevel="0" collapsed="false">
      <c r="A1153" s="95" t="str">
        <f aca="false">IF(AND(B1153="",C1153=""),"",ROW()-6)</f>
        <v/>
      </c>
      <c r="B1153" s="83"/>
      <c r="C1153" s="15"/>
      <c r="D1153" s="15"/>
      <c r="E1153" s="85"/>
      <c r="F1153" s="15"/>
      <c r="G1153" s="15"/>
      <c r="H1153" s="96"/>
      <c r="I1153" s="16"/>
      <c r="J1153" s="37" t="str">
        <f aca="false">IF(I1153="","",IF(H1153="",1,H1153)*I1153)</f>
        <v/>
      </c>
      <c r="K1153" s="15"/>
      <c r="L1153" s="97" t="str">
        <f aca="false">IF(C1153="","",IF(OR(C1153="Material",C1153="Equipo",C1153="Suministro"),"Materiales y equipos",IF(C1153="Mano de obra contratista","Mano de obra contratista",IF(C1153="Transporte","Transporte y otros","Alquileres"))))</f>
        <v/>
      </c>
      <c r="M1153" s="6"/>
    </row>
    <row r="1154" customFormat="false" ht="16.5" hidden="false" customHeight="true" outlineLevel="0" collapsed="false">
      <c r="A1154" s="95" t="str">
        <f aca="false">IF(AND(B1154="",C1154=""),"",ROW()-6)</f>
        <v/>
      </c>
      <c r="B1154" s="83"/>
      <c r="C1154" s="15"/>
      <c r="D1154" s="15"/>
      <c r="E1154" s="85"/>
      <c r="F1154" s="15"/>
      <c r="G1154" s="15"/>
      <c r="H1154" s="96"/>
      <c r="I1154" s="16"/>
      <c r="J1154" s="37" t="str">
        <f aca="false">IF(I1154="","",IF(H1154="",1,H1154)*I1154)</f>
        <v/>
      </c>
      <c r="K1154" s="15"/>
      <c r="L1154" s="97" t="str">
        <f aca="false">IF(C1154="","",IF(OR(C1154="Material",C1154="Equipo",C1154="Suministro"),"Materiales y equipos",IF(C1154="Mano de obra contratista","Mano de obra contratista",IF(C1154="Transporte","Transporte y otros","Alquileres"))))</f>
        <v/>
      </c>
      <c r="M1154" s="6"/>
    </row>
    <row r="1155" customFormat="false" ht="16.5" hidden="false" customHeight="true" outlineLevel="0" collapsed="false">
      <c r="A1155" s="95" t="str">
        <f aca="false">IF(AND(B1155="",C1155=""),"",ROW()-6)</f>
        <v/>
      </c>
      <c r="B1155" s="83"/>
      <c r="C1155" s="15"/>
      <c r="D1155" s="15"/>
      <c r="E1155" s="85"/>
      <c r="F1155" s="15"/>
      <c r="G1155" s="15"/>
      <c r="H1155" s="96"/>
      <c r="I1155" s="16"/>
      <c r="J1155" s="37" t="str">
        <f aca="false">IF(I1155="","",IF(H1155="",1,H1155)*I1155)</f>
        <v/>
      </c>
      <c r="K1155" s="15"/>
      <c r="L1155" s="97" t="str">
        <f aca="false">IF(C1155="","",IF(OR(C1155="Material",C1155="Equipo",C1155="Suministro"),"Materiales y equipos",IF(C1155="Mano de obra contratista","Mano de obra contratista",IF(C1155="Transporte","Transporte y otros","Alquileres"))))</f>
        <v/>
      </c>
      <c r="M1155" s="6"/>
    </row>
    <row r="1156" customFormat="false" ht="16.5" hidden="false" customHeight="true" outlineLevel="0" collapsed="false">
      <c r="A1156" s="95" t="str">
        <f aca="false">IF(AND(B1156="",C1156=""),"",ROW()-6)</f>
        <v/>
      </c>
      <c r="B1156" s="83"/>
      <c r="C1156" s="15"/>
      <c r="D1156" s="15"/>
      <c r="E1156" s="85"/>
      <c r="F1156" s="15"/>
      <c r="G1156" s="15"/>
      <c r="H1156" s="96"/>
      <c r="I1156" s="16"/>
      <c r="J1156" s="37" t="str">
        <f aca="false">IF(I1156="","",IF(H1156="",1,H1156)*I1156)</f>
        <v/>
      </c>
      <c r="K1156" s="15"/>
      <c r="L1156" s="97" t="str">
        <f aca="false">IF(C1156="","",IF(OR(C1156="Material",C1156="Equipo",C1156="Suministro"),"Materiales y equipos",IF(C1156="Mano de obra contratista","Mano de obra contratista",IF(C1156="Transporte","Transporte y otros","Alquileres"))))</f>
        <v/>
      </c>
      <c r="M1156" s="6"/>
    </row>
    <row r="1157" customFormat="false" ht="16.5" hidden="false" customHeight="true" outlineLevel="0" collapsed="false">
      <c r="A1157" s="95" t="str">
        <f aca="false">IF(AND(B1157="",C1157=""),"",ROW()-6)</f>
        <v/>
      </c>
      <c r="B1157" s="83"/>
      <c r="C1157" s="15"/>
      <c r="D1157" s="15"/>
      <c r="E1157" s="85"/>
      <c r="F1157" s="15"/>
      <c r="G1157" s="15"/>
      <c r="H1157" s="96"/>
      <c r="I1157" s="16"/>
      <c r="J1157" s="37" t="str">
        <f aca="false">IF(I1157="","",IF(H1157="",1,H1157)*I1157)</f>
        <v/>
      </c>
      <c r="K1157" s="15"/>
      <c r="L1157" s="97" t="str">
        <f aca="false">IF(C1157="","",IF(OR(C1157="Material",C1157="Equipo",C1157="Suministro"),"Materiales y equipos",IF(C1157="Mano de obra contratista","Mano de obra contratista",IF(C1157="Transporte","Transporte y otros","Alquileres"))))</f>
        <v/>
      </c>
      <c r="M1157" s="6"/>
    </row>
    <row r="1158" customFormat="false" ht="16.5" hidden="false" customHeight="true" outlineLevel="0" collapsed="false">
      <c r="A1158" s="95" t="str">
        <f aca="false">IF(AND(B1158="",C1158=""),"",ROW()-6)</f>
        <v/>
      </c>
      <c r="B1158" s="83"/>
      <c r="C1158" s="15"/>
      <c r="D1158" s="15"/>
      <c r="E1158" s="85"/>
      <c r="F1158" s="15"/>
      <c r="G1158" s="15"/>
      <c r="H1158" s="96"/>
      <c r="I1158" s="16"/>
      <c r="J1158" s="37" t="str">
        <f aca="false">IF(I1158="","",IF(H1158="",1,H1158)*I1158)</f>
        <v/>
      </c>
      <c r="K1158" s="15"/>
      <c r="L1158" s="97" t="str">
        <f aca="false">IF(C1158="","",IF(OR(C1158="Material",C1158="Equipo",C1158="Suministro"),"Materiales y equipos",IF(C1158="Mano de obra contratista","Mano de obra contratista",IF(C1158="Transporte","Transporte y otros","Alquileres"))))</f>
        <v/>
      </c>
      <c r="M1158" s="6"/>
    </row>
    <row r="1159" customFormat="false" ht="16.5" hidden="false" customHeight="true" outlineLevel="0" collapsed="false">
      <c r="A1159" s="95" t="str">
        <f aca="false">IF(AND(B1159="",C1159=""),"",ROW()-6)</f>
        <v/>
      </c>
      <c r="B1159" s="83"/>
      <c r="C1159" s="15"/>
      <c r="D1159" s="15"/>
      <c r="E1159" s="85"/>
      <c r="F1159" s="15"/>
      <c r="G1159" s="15"/>
      <c r="H1159" s="96"/>
      <c r="I1159" s="16"/>
      <c r="J1159" s="37" t="str">
        <f aca="false">IF(I1159="","",IF(H1159="",1,H1159)*I1159)</f>
        <v/>
      </c>
      <c r="K1159" s="15"/>
      <c r="L1159" s="97" t="str">
        <f aca="false">IF(C1159="","",IF(OR(C1159="Material",C1159="Equipo",C1159="Suministro"),"Materiales y equipos",IF(C1159="Mano de obra contratista","Mano de obra contratista",IF(C1159="Transporte","Transporte y otros","Alquileres"))))</f>
        <v/>
      </c>
      <c r="M1159" s="6"/>
    </row>
    <row r="1160" customFormat="false" ht="16.5" hidden="false" customHeight="true" outlineLevel="0" collapsed="false">
      <c r="A1160" s="95" t="str">
        <f aca="false">IF(AND(B1160="",C1160=""),"",ROW()-6)</f>
        <v/>
      </c>
      <c r="B1160" s="83"/>
      <c r="C1160" s="15"/>
      <c r="D1160" s="15"/>
      <c r="E1160" s="85"/>
      <c r="F1160" s="15"/>
      <c r="G1160" s="15"/>
      <c r="H1160" s="96"/>
      <c r="I1160" s="16"/>
      <c r="J1160" s="37" t="str">
        <f aca="false">IF(I1160="","",IF(H1160="",1,H1160)*I1160)</f>
        <v/>
      </c>
      <c r="K1160" s="15"/>
      <c r="L1160" s="97" t="str">
        <f aca="false">IF(C1160="","",IF(OR(C1160="Material",C1160="Equipo",C1160="Suministro"),"Materiales y equipos",IF(C1160="Mano de obra contratista","Mano de obra contratista",IF(C1160="Transporte","Transporte y otros","Alquileres"))))</f>
        <v/>
      </c>
      <c r="M1160" s="6"/>
    </row>
    <row r="1161" customFormat="false" ht="16.5" hidden="false" customHeight="true" outlineLevel="0" collapsed="false">
      <c r="A1161" s="95" t="str">
        <f aca="false">IF(AND(B1161="",C1161=""),"",ROW()-6)</f>
        <v/>
      </c>
      <c r="B1161" s="83"/>
      <c r="C1161" s="15"/>
      <c r="D1161" s="15"/>
      <c r="E1161" s="85"/>
      <c r="F1161" s="15"/>
      <c r="G1161" s="15"/>
      <c r="H1161" s="96"/>
      <c r="I1161" s="16"/>
      <c r="J1161" s="37" t="str">
        <f aca="false">IF(I1161="","",IF(H1161="",1,H1161)*I1161)</f>
        <v/>
      </c>
      <c r="K1161" s="15"/>
      <c r="L1161" s="97" t="str">
        <f aca="false">IF(C1161="","",IF(OR(C1161="Material",C1161="Equipo",C1161="Suministro"),"Materiales y equipos",IF(C1161="Mano de obra contratista","Mano de obra contratista",IF(C1161="Transporte","Transporte y otros","Alquileres"))))</f>
        <v/>
      </c>
      <c r="M1161" s="6"/>
    </row>
    <row r="1162" customFormat="false" ht="16.5" hidden="false" customHeight="true" outlineLevel="0" collapsed="false">
      <c r="A1162" s="95" t="str">
        <f aca="false">IF(AND(B1162="",C1162=""),"",ROW()-6)</f>
        <v/>
      </c>
      <c r="B1162" s="83"/>
      <c r="C1162" s="15"/>
      <c r="D1162" s="15"/>
      <c r="E1162" s="85"/>
      <c r="F1162" s="15"/>
      <c r="G1162" s="15"/>
      <c r="H1162" s="96"/>
      <c r="I1162" s="16"/>
      <c r="J1162" s="37" t="str">
        <f aca="false">IF(I1162="","",IF(H1162="",1,H1162)*I1162)</f>
        <v/>
      </c>
      <c r="K1162" s="15"/>
      <c r="L1162" s="97" t="str">
        <f aca="false">IF(C1162="","",IF(OR(C1162="Material",C1162="Equipo",C1162="Suministro"),"Materiales y equipos",IF(C1162="Mano de obra contratista","Mano de obra contratista",IF(C1162="Transporte","Transporte y otros","Alquileres"))))</f>
        <v/>
      </c>
      <c r="M1162" s="6"/>
    </row>
    <row r="1163" customFormat="false" ht="16.5" hidden="false" customHeight="true" outlineLevel="0" collapsed="false">
      <c r="A1163" s="95" t="str">
        <f aca="false">IF(AND(B1163="",C1163=""),"",ROW()-6)</f>
        <v/>
      </c>
      <c r="B1163" s="83"/>
      <c r="C1163" s="15"/>
      <c r="D1163" s="15"/>
      <c r="E1163" s="85"/>
      <c r="F1163" s="15"/>
      <c r="G1163" s="15"/>
      <c r="H1163" s="96"/>
      <c r="I1163" s="16"/>
      <c r="J1163" s="37" t="str">
        <f aca="false">IF(I1163="","",IF(H1163="",1,H1163)*I1163)</f>
        <v/>
      </c>
      <c r="K1163" s="15"/>
      <c r="L1163" s="97" t="str">
        <f aca="false">IF(C1163="","",IF(OR(C1163="Material",C1163="Equipo",C1163="Suministro"),"Materiales y equipos",IF(C1163="Mano de obra contratista","Mano de obra contratista",IF(C1163="Transporte","Transporte y otros","Alquileres"))))</f>
        <v/>
      </c>
      <c r="M1163" s="6"/>
    </row>
    <row r="1164" customFormat="false" ht="16.5" hidden="false" customHeight="true" outlineLevel="0" collapsed="false">
      <c r="A1164" s="95" t="str">
        <f aca="false">IF(AND(B1164="",C1164=""),"",ROW()-6)</f>
        <v/>
      </c>
      <c r="B1164" s="83"/>
      <c r="C1164" s="15"/>
      <c r="D1164" s="15"/>
      <c r="E1164" s="85"/>
      <c r="F1164" s="15"/>
      <c r="G1164" s="15"/>
      <c r="H1164" s="96"/>
      <c r="I1164" s="16"/>
      <c r="J1164" s="37" t="str">
        <f aca="false">IF(I1164="","",IF(H1164="",1,H1164)*I1164)</f>
        <v/>
      </c>
      <c r="K1164" s="15"/>
      <c r="L1164" s="97" t="str">
        <f aca="false">IF(C1164="","",IF(OR(C1164="Material",C1164="Equipo",C1164="Suministro"),"Materiales y equipos",IF(C1164="Mano de obra contratista","Mano de obra contratista",IF(C1164="Transporte","Transporte y otros","Alquileres"))))</f>
        <v/>
      </c>
      <c r="M1164" s="6"/>
    </row>
    <row r="1165" customFormat="false" ht="16.5" hidden="false" customHeight="true" outlineLevel="0" collapsed="false">
      <c r="A1165" s="95" t="str">
        <f aca="false">IF(AND(B1165="",C1165=""),"",ROW()-6)</f>
        <v/>
      </c>
      <c r="B1165" s="83"/>
      <c r="C1165" s="15"/>
      <c r="D1165" s="15"/>
      <c r="E1165" s="85"/>
      <c r="F1165" s="15"/>
      <c r="G1165" s="15"/>
      <c r="H1165" s="96"/>
      <c r="I1165" s="16"/>
      <c r="J1165" s="37" t="str">
        <f aca="false">IF(I1165="","",IF(H1165="",1,H1165)*I1165)</f>
        <v/>
      </c>
      <c r="K1165" s="15"/>
      <c r="L1165" s="97" t="str">
        <f aca="false">IF(C1165="","",IF(OR(C1165="Material",C1165="Equipo",C1165="Suministro"),"Materiales y equipos",IF(C1165="Mano de obra contratista","Mano de obra contratista",IF(C1165="Transporte","Transporte y otros","Alquileres"))))</f>
        <v/>
      </c>
      <c r="M1165" s="6"/>
    </row>
    <row r="1166" customFormat="false" ht="16.5" hidden="false" customHeight="true" outlineLevel="0" collapsed="false">
      <c r="A1166" s="95" t="str">
        <f aca="false">IF(AND(B1166="",C1166=""),"",ROW()-6)</f>
        <v/>
      </c>
      <c r="B1166" s="83"/>
      <c r="C1166" s="15"/>
      <c r="D1166" s="15"/>
      <c r="E1166" s="85"/>
      <c r="F1166" s="15"/>
      <c r="G1166" s="15"/>
      <c r="H1166" s="96"/>
      <c r="I1166" s="16"/>
      <c r="J1166" s="37" t="str">
        <f aca="false">IF(I1166="","",IF(H1166="",1,H1166)*I1166)</f>
        <v/>
      </c>
      <c r="K1166" s="15"/>
      <c r="L1166" s="97" t="str">
        <f aca="false">IF(C1166="","",IF(OR(C1166="Material",C1166="Equipo",C1166="Suministro"),"Materiales y equipos",IF(C1166="Mano de obra contratista","Mano de obra contratista",IF(C1166="Transporte","Transporte y otros","Alquileres"))))</f>
        <v/>
      </c>
      <c r="M1166" s="6"/>
    </row>
    <row r="1167" customFormat="false" ht="16.5" hidden="false" customHeight="true" outlineLevel="0" collapsed="false">
      <c r="A1167" s="95" t="str">
        <f aca="false">IF(AND(B1167="",C1167=""),"",ROW()-6)</f>
        <v/>
      </c>
      <c r="B1167" s="83"/>
      <c r="C1167" s="15"/>
      <c r="D1167" s="15"/>
      <c r="E1167" s="85"/>
      <c r="F1167" s="15"/>
      <c r="G1167" s="15"/>
      <c r="H1167" s="96"/>
      <c r="I1167" s="16"/>
      <c r="J1167" s="37" t="str">
        <f aca="false">IF(I1167="","",IF(H1167="",1,H1167)*I1167)</f>
        <v/>
      </c>
      <c r="K1167" s="15"/>
      <c r="L1167" s="97" t="str">
        <f aca="false">IF(C1167="","",IF(OR(C1167="Material",C1167="Equipo",C1167="Suministro"),"Materiales y equipos",IF(C1167="Mano de obra contratista","Mano de obra contratista",IF(C1167="Transporte","Transporte y otros","Alquileres"))))</f>
        <v/>
      </c>
      <c r="M1167" s="6"/>
    </row>
    <row r="1168" customFormat="false" ht="16.5" hidden="false" customHeight="true" outlineLevel="0" collapsed="false">
      <c r="A1168" s="95" t="str">
        <f aca="false">IF(AND(B1168="",C1168=""),"",ROW()-6)</f>
        <v/>
      </c>
      <c r="B1168" s="83"/>
      <c r="C1168" s="15"/>
      <c r="D1168" s="15"/>
      <c r="E1168" s="85"/>
      <c r="F1168" s="15"/>
      <c r="G1168" s="15"/>
      <c r="H1168" s="96"/>
      <c r="I1168" s="16"/>
      <c r="J1168" s="37" t="str">
        <f aca="false">IF(I1168="","",IF(H1168="",1,H1168)*I1168)</f>
        <v/>
      </c>
      <c r="K1168" s="15"/>
      <c r="L1168" s="97" t="str">
        <f aca="false">IF(C1168="","",IF(OR(C1168="Material",C1168="Equipo",C1168="Suministro"),"Materiales y equipos",IF(C1168="Mano de obra contratista","Mano de obra contratista",IF(C1168="Transporte","Transporte y otros","Alquileres"))))</f>
        <v/>
      </c>
      <c r="M1168" s="6"/>
    </row>
    <row r="1169" customFormat="false" ht="16.5" hidden="false" customHeight="true" outlineLevel="0" collapsed="false">
      <c r="A1169" s="95" t="str">
        <f aca="false">IF(AND(B1169="",C1169=""),"",ROW()-6)</f>
        <v/>
      </c>
      <c r="B1169" s="83"/>
      <c r="C1169" s="15"/>
      <c r="D1169" s="15"/>
      <c r="E1169" s="85"/>
      <c r="F1169" s="15"/>
      <c r="G1169" s="15"/>
      <c r="H1169" s="96"/>
      <c r="I1169" s="16"/>
      <c r="J1169" s="37" t="str">
        <f aca="false">IF(I1169="","",IF(H1169="",1,H1169)*I1169)</f>
        <v/>
      </c>
      <c r="K1169" s="15"/>
      <c r="L1169" s="97" t="str">
        <f aca="false">IF(C1169="","",IF(OR(C1169="Material",C1169="Equipo",C1169="Suministro"),"Materiales y equipos",IF(C1169="Mano de obra contratista","Mano de obra contratista",IF(C1169="Transporte","Transporte y otros","Alquileres"))))</f>
        <v/>
      </c>
      <c r="M1169" s="6"/>
    </row>
    <row r="1170" customFormat="false" ht="16.5" hidden="false" customHeight="true" outlineLevel="0" collapsed="false">
      <c r="A1170" s="95" t="str">
        <f aca="false">IF(AND(B1170="",C1170=""),"",ROW()-6)</f>
        <v/>
      </c>
      <c r="B1170" s="83"/>
      <c r="C1170" s="15"/>
      <c r="D1170" s="15"/>
      <c r="E1170" s="85"/>
      <c r="F1170" s="15"/>
      <c r="G1170" s="15"/>
      <c r="H1170" s="96"/>
      <c r="I1170" s="16"/>
      <c r="J1170" s="37" t="str">
        <f aca="false">IF(I1170="","",IF(H1170="",1,H1170)*I1170)</f>
        <v/>
      </c>
      <c r="K1170" s="15"/>
      <c r="L1170" s="97" t="str">
        <f aca="false">IF(C1170="","",IF(OR(C1170="Material",C1170="Equipo",C1170="Suministro"),"Materiales y equipos",IF(C1170="Mano de obra contratista","Mano de obra contratista",IF(C1170="Transporte","Transporte y otros","Alquileres"))))</f>
        <v/>
      </c>
      <c r="M1170" s="6"/>
    </row>
    <row r="1171" customFormat="false" ht="16.5" hidden="false" customHeight="true" outlineLevel="0" collapsed="false">
      <c r="A1171" s="95" t="str">
        <f aca="false">IF(AND(B1171="",C1171=""),"",ROW()-6)</f>
        <v/>
      </c>
      <c r="B1171" s="83"/>
      <c r="C1171" s="15"/>
      <c r="D1171" s="15"/>
      <c r="E1171" s="85"/>
      <c r="F1171" s="15"/>
      <c r="G1171" s="15"/>
      <c r="H1171" s="96"/>
      <c r="I1171" s="16"/>
      <c r="J1171" s="37" t="str">
        <f aca="false">IF(I1171="","",IF(H1171="",1,H1171)*I1171)</f>
        <v/>
      </c>
      <c r="K1171" s="15"/>
      <c r="L1171" s="97" t="str">
        <f aca="false">IF(C1171="","",IF(OR(C1171="Material",C1171="Equipo",C1171="Suministro"),"Materiales y equipos",IF(C1171="Mano de obra contratista","Mano de obra contratista",IF(C1171="Transporte","Transporte y otros","Alquileres"))))</f>
        <v/>
      </c>
      <c r="M1171" s="6"/>
    </row>
    <row r="1172" customFormat="false" ht="16.5" hidden="false" customHeight="true" outlineLevel="0" collapsed="false">
      <c r="A1172" s="95" t="str">
        <f aca="false">IF(AND(B1172="",C1172=""),"",ROW()-6)</f>
        <v/>
      </c>
      <c r="B1172" s="83"/>
      <c r="C1172" s="15"/>
      <c r="D1172" s="15"/>
      <c r="E1172" s="85"/>
      <c r="F1172" s="15"/>
      <c r="G1172" s="15"/>
      <c r="H1172" s="96"/>
      <c r="I1172" s="16"/>
      <c r="J1172" s="37" t="str">
        <f aca="false">IF(I1172="","",IF(H1172="",1,H1172)*I1172)</f>
        <v/>
      </c>
      <c r="K1172" s="15"/>
      <c r="L1172" s="97" t="str">
        <f aca="false">IF(C1172="","",IF(OR(C1172="Material",C1172="Equipo",C1172="Suministro"),"Materiales y equipos",IF(C1172="Mano de obra contratista","Mano de obra contratista",IF(C1172="Transporte","Transporte y otros","Alquileres"))))</f>
        <v/>
      </c>
      <c r="M1172" s="6"/>
    </row>
    <row r="1173" customFormat="false" ht="16.5" hidden="false" customHeight="true" outlineLevel="0" collapsed="false">
      <c r="A1173" s="95" t="str">
        <f aca="false">IF(AND(B1173="",C1173=""),"",ROW()-6)</f>
        <v/>
      </c>
      <c r="B1173" s="83"/>
      <c r="C1173" s="15"/>
      <c r="D1173" s="15"/>
      <c r="E1173" s="85"/>
      <c r="F1173" s="15"/>
      <c r="G1173" s="15"/>
      <c r="H1173" s="96"/>
      <c r="I1173" s="16"/>
      <c r="J1173" s="37" t="str">
        <f aca="false">IF(I1173="","",IF(H1173="",1,H1173)*I1173)</f>
        <v/>
      </c>
      <c r="K1173" s="15"/>
      <c r="L1173" s="97" t="str">
        <f aca="false">IF(C1173="","",IF(OR(C1173="Material",C1173="Equipo",C1173="Suministro"),"Materiales y equipos",IF(C1173="Mano de obra contratista","Mano de obra contratista",IF(C1173="Transporte","Transporte y otros","Alquileres"))))</f>
        <v/>
      </c>
      <c r="M1173" s="6"/>
    </row>
    <row r="1174" customFormat="false" ht="16.5" hidden="false" customHeight="true" outlineLevel="0" collapsed="false">
      <c r="A1174" s="95" t="str">
        <f aca="false">IF(AND(B1174="",C1174=""),"",ROW()-6)</f>
        <v/>
      </c>
      <c r="B1174" s="83"/>
      <c r="C1174" s="15"/>
      <c r="D1174" s="15"/>
      <c r="E1174" s="85"/>
      <c r="F1174" s="15"/>
      <c r="G1174" s="15"/>
      <c r="H1174" s="96"/>
      <c r="I1174" s="16"/>
      <c r="J1174" s="37" t="str">
        <f aca="false">IF(I1174="","",IF(H1174="",1,H1174)*I1174)</f>
        <v/>
      </c>
      <c r="K1174" s="15"/>
      <c r="L1174" s="97" t="str">
        <f aca="false">IF(C1174="","",IF(OR(C1174="Material",C1174="Equipo",C1174="Suministro"),"Materiales y equipos",IF(C1174="Mano de obra contratista","Mano de obra contratista",IF(C1174="Transporte","Transporte y otros","Alquileres"))))</f>
        <v/>
      </c>
      <c r="M1174" s="6"/>
    </row>
    <row r="1175" customFormat="false" ht="16.5" hidden="false" customHeight="true" outlineLevel="0" collapsed="false">
      <c r="A1175" s="95" t="str">
        <f aca="false">IF(AND(B1175="",C1175=""),"",ROW()-6)</f>
        <v/>
      </c>
      <c r="B1175" s="83"/>
      <c r="C1175" s="15"/>
      <c r="D1175" s="15"/>
      <c r="E1175" s="85"/>
      <c r="F1175" s="15"/>
      <c r="G1175" s="15"/>
      <c r="H1175" s="96"/>
      <c r="I1175" s="16"/>
      <c r="J1175" s="37" t="str">
        <f aca="false">IF(I1175="","",IF(H1175="",1,H1175)*I1175)</f>
        <v/>
      </c>
      <c r="K1175" s="15"/>
      <c r="L1175" s="97" t="str">
        <f aca="false">IF(C1175="","",IF(OR(C1175="Material",C1175="Equipo",C1175="Suministro"),"Materiales y equipos",IF(C1175="Mano de obra contratista","Mano de obra contratista",IF(C1175="Transporte","Transporte y otros","Alquileres"))))</f>
        <v/>
      </c>
      <c r="M1175" s="6"/>
    </row>
    <row r="1176" customFormat="false" ht="16.5" hidden="false" customHeight="true" outlineLevel="0" collapsed="false">
      <c r="A1176" s="95" t="str">
        <f aca="false">IF(AND(B1176="",C1176=""),"",ROW()-6)</f>
        <v/>
      </c>
      <c r="B1176" s="83"/>
      <c r="C1176" s="15"/>
      <c r="D1176" s="15"/>
      <c r="E1176" s="85"/>
      <c r="F1176" s="15"/>
      <c r="G1176" s="15"/>
      <c r="H1176" s="96"/>
      <c r="I1176" s="16"/>
      <c r="J1176" s="37" t="str">
        <f aca="false">IF(I1176="","",IF(H1176="",1,H1176)*I1176)</f>
        <v/>
      </c>
      <c r="K1176" s="15"/>
      <c r="L1176" s="97" t="str">
        <f aca="false">IF(C1176="","",IF(OR(C1176="Material",C1176="Equipo",C1176="Suministro"),"Materiales y equipos",IF(C1176="Mano de obra contratista","Mano de obra contratista",IF(C1176="Transporte","Transporte y otros","Alquileres"))))</f>
        <v/>
      </c>
      <c r="M1176" s="6"/>
    </row>
    <row r="1177" customFormat="false" ht="16.5" hidden="false" customHeight="true" outlineLevel="0" collapsed="false">
      <c r="A1177" s="95" t="str">
        <f aca="false">IF(AND(B1177="",C1177=""),"",ROW()-6)</f>
        <v/>
      </c>
      <c r="B1177" s="83"/>
      <c r="C1177" s="15"/>
      <c r="D1177" s="15"/>
      <c r="E1177" s="85"/>
      <c r="F1177" s="15"/>
      <c r="G1177" s="15"/>
      <c r="H1177" s="96"/>
      <c r="I1177" s="16"/>
      <c r="J1177" s="37" t="str">
        <f aca="false">IF(I1177="","",IF(H1177="",1,H1177)*I1177)</f>
        <v/>
      </c>
      <c r="K1177" s="15"/>
      <c r="L1177" s="97" t="str">
        <f aca="false">IF(C1177="","",IF(OR(C1177="Material",C1177="Equipo",C1177="Suministro"),"Materiales y equipos",IF(C1177="Mano de obra contratista","Mano de obra contratista",IF(C1177="Transporte","Transporte y otros","Alquileres"))))</f>
        <v/>
      </c>
      <c r="M1177" s="6"/>
    </row>
    <row r="1178" customFormat="false" ht="16.5" hidden="false" customHeight="true" outlineLevel="0" collapsed="false">
      <c r="A1178" s="95" t="str">
        <f aca="false">IF(AND(B1178="",C1178=""),"",ROW()-6)</f>
        <v/>
      </c>
      <c r="B1178" s="83"/>
      <c r="C1178" s="15"/>
      <c r="D1178" s="15"/>
      <c r="E1178" s="85"/>
      <c r="F1178" s="15"/>
      <c r="G1178" s="15"/>
      <c r="H1178" s="96"/>
      <c r="I1178" s="16"/>
      <c r="J1178" s="37" t="str">
        <f aca="false">IF(I1178="","",IF(H1178="",1,H1178)*I1178)</f>
        <v/>
      </c>
      <c r="K1178" s="15"/>
      <c r="L1178" s="97" t="str">
        <f aca="false">IF(C1178="","",IF(OR(C1178="Material",C1178="Equipo",C1178="Suministro"),"Materiales y equipos",IF(C1178="Mano de obra contratista","Mano de obra contratista",IF(C1178="Transporte","Transporte y otros","Alquileres"))))</f>
        <v/>
      </c>
      <c r="M1178" s="6"/>
    </row>
    <row r="1179" customFormat="false" ht="16.5" hidden="false" customHeight="true" outlineLevel="0" collapsed="false">
      <c r="A1179" s="95" t="str">
        <f aca="false">IF(AND(B1179="",C1179=""),"",ROW()-6)</f>
        <v/>
      </c>
      <c r="B1179" s="83"/>
      <c r="C1179" s="15"/>
      <c r="D1179" s="15"/>
      <c r="E1179" s="85"/>
      <c r="F1179" s="15"/>
      <c r="G1179" s="15"/>
      <c r="H1179" s="96"/>
      <c r="I1179" s="16"/>
      <c r="J1179" s="37" t="str">
        <f aca="false">IF(I1179="","",IF(H1179="",1,H1179)*I1179)</f>
        <v/>
      </c>
      <c r="K1179" s="15"/>
      <c r="L1179" s="97" t="str">
        <f aca="false">IF(C1179="","",IF(OR(C1179="Material",C1179="Equipo",C1179="Suministro"),"Materiales y equipos",IF(C1179="Mano de obra contratista","Mano de obra contratista",IF(C1179="Transporte","Transporte y otros","Alquileres"))))</f>
        <v/>
      </c>
      <c r="M1179" s="6"/>
    </row>
    <row r="1180" customFormat="false" ht="16.5" hidden="false" customHeight="true" outlineLevel="0" collapsed="false">
      <c r="A1180" s="95" t="str">
        <f aca="false">IF(AND(B1180="",C1180=""),"",ROW()-6)</f>
        <v/>
      </c>
      <c r="B1180" s="83"/>
      <c r="C1180" s="15"/>
      <c r="D1180" s="15"/>
      <c r="E1180" s="85"/>
      <c r="F1180" s="15"/>
      <c r="G1180" s="15"/>
      <c r="H1180" s="96"/>
      <c r="I1180" s="16"/>
      <c r="J1180" s="37" t="str">
        <f aca="false">IF(I1180="","",IF(H1180="",1,H1180)*I1180)</f>
        <v/>
      </c>
      <c r="K1180" s="15"/>
      <c r="L1180" s="97" t="str">
        <f aca="false">IF(C1180="","",IF(OR(C1180="Material",C1180="Equipo",C1180="Suministro"),"Materiales y equipos",IF(C1180="Mano de obra contratista","Mano de obra contratista",IF(C1180="Transporte","Transporte y otros","Alquileres"))))</f>
        <v/>
      </c>
      <c r="M1180" s="6"/>
    </row>
    <row r="1181" customFormat="false" ht="16.5" hidden="false" customHeight="true" outlineLevel="0" collapsed="false">
      <c r="A1181" s="95" t="str">
        <f aca="false">IF(AND(B1181="",C1181=""),"",ROW()-6)</f>
        <v/>
      </c>
      <c r="B1181" s="83"/>
      <c r="C1181" s="15"/>
      <c r="D1181" s="15"/>
      <c r="E1181" s="85"/>
      <c r="F1181" s="15"/>
      <c r="G1181" s="15"/>
      <c r="H1181" s="96"/>
      <c r="I1181" s="16"/>
      <c r="J1181" s="37" t="str">
        <f aca="false">IF(I1181="","",IF(H1181="",1,H1181)*I1181)</f>
        <v/>
      </c>
      <c r="K1181" s="15"/>
      <c r="L1181" s="97" t="str">
        <f aca="false">IF(C1181="","",IF(OR(C1181="Material",C1181="Equipo",C1181="Suministro"),"Materiales y equipos",IF(C1181="Mano de obra contratista","Mano de obra contratista",IF(C1181="Transporte","Transporte y otros","Alquileres"))))</f>
        <v/>
      </c>
      <c r="M1181" s="6"/>
    </row>
    <row r="1182" customFormat="false" ht="16.5" hidden="false" customHeight="true" outlineLevel="0" collapsed="false">
      <c r="A1182" s="95" t="str">
        <f aca="false">IF(AND(B1182="",C1182=""),"",ROW()-6)</f>
        <v/>
      </c>
      <c r="B1182" s="83"/>
      <c r="C1182" s="15"/>
      <c r="D1182" s="15"/>
      <c r="E1182" s="85"/>
      <c r="F1182" s="15"/>
      <c r="G1182" s="15"/>
      <c r="H1182" s="96"/>
      <c r="I1182" s="16"/>
      <c r="J1182" s="37" t="str">
        <f aca="false">IF(I1182="","",IF(H1182="",1,H1182)*I1182)</f>
        <v/>
      </c>
      <c r="K1182" s="15"/>
      <c r="L1182" s="97" t="str">
        <f aca="false">IF(C1182="","",IF(OR(C1182="Material",C1182="Equipo",C1182="Suministro"),"Materiales y equipos",IF(C1182="Mano de obra contratista","Mano de obra contratista",IF(C1182="Transporte","Transporte y otros","Alquileres"))))</f>
        <v/>
      </c>
      <c r="M1182" s="6"/>
    </row>
    <row r="1183" customFormat="false" ht="16.5" hidden="false" customHeight="true" outlineLevel="0" collapsed="false">
      <c r="A1183" s="95" t="str">
        <f aca="false">IF(AND(B1183="",C1183=""),"",ROW()-6)</f>
        <v/>
      </c>
      <c r="B1183" s="83"/>
      <c r="C1183" s="15"/>
      <c r="D1183" s="15"/>
      <c r="E1183" s="85"/>
      <c r="F1183" s="15"/>
      <c r="G1183" s="15"/>
      <c r="H1183" s="96"/>
      <c r="I1183" s="16"/>
      <c r="J1183" s="37" t="str">
        <f aca="false">IF(I1183="","",IF(H1183="",1,H1183)*I1183)</f>
        <v/>
      </c>
      <c r="K1183" s="15"/>
      <c r="L1183" s="97" t="str">
        <f aca="false">IF(C1183="","",IF(OR(C1183="Material",C1183="Equipo",C1183="Suministro"),"Materiales y equipos",IF(C1183="Mano de obra contratista","Mano de obra contratista",IF(C1183="Transporte","Transporte y otros","Alquileres"))))</f>
        <v/>
      </c>
      <c r="M1183" s="6"/>
    </row>
    <row r="1184" customFormat="false" ht="16.5" hidden="false" customHeight="true" outlineLevel="0" collapsed="false">
      <c r="A1184" s="95" t="str">
        <f aca="false">IF(AND(B1184="",C1184=""),"",ROW()-6)</f>
        <v/>
      </c>
      <c r="B1184" s="83"/>
      <c r="C1184" s="15"/>
      <c r="D1184" s="15"/>
      <c r="E1184" s="85"/>
      <c r="F1184" s="15"/>
      <c r="G1184" s="15"/>
      <c r="H1184" s="96"/>
      <c r="I1184" s="16"/>
      <c r="J1184" s="37" t="str">
        <f aca="false">IF(I1184="","",IF(H1184="",1,H1184)*I1184)</f>
        <v/>
      </c>
      <c r="K1184" s="15"/>
      <c r="L1184" s="97" t="str">
        <f aca="false">IF(C1184="","",IF(OR(C1184="Material",C1184="Equipo",C1184="Suministro"),"Materiales y equipos",IF(C1184="Mano de obra contratista","Mano de obra contratista",IF(C1184="Transporte","Transporte y otros","Alquileres"))))</f>
        <v/>
      </c>
      <c r="M1184" s="6"/>
    </row>
    <row r="1185" customFormat="false" ht="16.5" hidden="false" customHeight="true" outlineLevel="0" collapsed="false">
      <c r="A1185" s="95" t="str">
        <f aca="false">IF(AND(B1185="",C1185=""),"",ROW()-6)</f>
        <v/>
      </c>
      <c r="B1185" s="83"/>
      <c r="C1185" s="15"/>
      <c r="D1185" s="15"/>
      <c r="E1185" s="85"/>
      <c r="F1185" s="15"/>
      <c r="G1185" s="15"/>
      <c r="H1185" s="96"/>
      <c r="I1185" s="16"/>
      <c r="J1185" s="37" t="str">
        <f aca="false">IF(I1185="","",IF(H1185="",1,H1185)*I1185)</f>
        <v/>
      </c>
      <c r="K1185" s="15"/>
      <c r="L1185" s="97" t="str">
        <f aca="false">IF(C1185="","",IF(OR(C1185="Material",C1185="Equipo",C1185="Suministro"),"Materiales y equipos",IF(C1185="Mano de obra contratista","Mano de obra contratista",IF(C1185="Transporte","Transporte y otros","Alquileres"))))</f>
        <v/>
      </c>
      <c r="M1185" s="6"/>
    </row>
    <row r="1186" customFormat="false" ht="16.5" hidden="false" customHeight="true" outlineLevel="0" collapsed="false">
      <c r="A1186" s="95" t="str">
        <f aca="false">IF(AND(B1186="",C1186=""),"",ROW()-6)</f>
        <v/>
      </c>
      <c r="B1186" s="83"/>
      <c r="C1186" s="15"/>
      <c r="D1186" s="15"/>
      <c r="E1186" s="85"/>
      <c r="F1186" s="15"/>
      <c r="G1186" s="15"/>
      <c r="H1186" s="96"/>
      <c r="I1186" s="16"/>
      <c r="J1186" s="37" t="str">
        <f aca="false">IF(I1186="","",IF(H1186="",1,H1186)*I1186)</f>
        <v/>
      </c>
      <c r="K1186" s="15"/>
      <c r="L1186" s="97" t="str">
        <f aca="false">IF(C1186="","",IF(OR(C1186="Material",C1186="Equipo",C1186="Suministro"),"Materiales y equipos",IF(C1186="Mano de obra contratista","Mano de obra contratista",IF(C1186="Transporte","Transporte y otros","Alquileres"))))</f>
        <v/>
      </c>
      <c r="M1186" s="6"/>
    </row>
    <row r="1187" customFormat="false" ht="16.5" hidden="false" customHeight="true" outlineLevel="0" collapsed="false">
      <c r="A1187" s="95" t="str">
        <f aca="false">IF(AND(B1187="",C1187=""),"",ROW()-6)</f>
        <v/>
      </c>
      <c r="B1187" s="83"/>
      <c r="C1187" s="15"/>
      <c r="D1187" s="15"/>
      <c r="E1187" s="85"/>
      <c r="F1187" s="15"/>
      <c r="G1187" s="15"/>
      <c r="H1187" s="96"/>
      <c r="I1187" s="16"/>
      <c r="J1187" s="37" t="str">
        <f aca="false">IF(I1187="","",IF(H1187="",1,H1187)*I1187)</f>
        <v/>
      </c>
      <c r="K1187" s="15"/>
      <c r="L1187" s="97" t="str">
        <f aca="false">IF(C1187="","",IF(OR(C1187="Material",C1187="Equipo",C1187="Suministro"),"Materiales y equipos",IF(C1187="Mano de obra contratista","Mano de obra contratista",IF(C1187="Transporte","Transporte y otros","Alquileres"))))</f>
        <v/>
      </c>
      <c r="M1187" s="6"/>
    </row>
    <row r="1188" customFormat="false" ht="16.5" hidden="false" customHeight="true" outlineLevel="0" collapsed="false">
      <c r="A1188" s="95" t="str">
        <f aca="false">IF(AND(B1188="",C1188=""),"",ROW()-6)</f>
        <v/>
      </c>
      <c r="B1188" s="83"/>
      <c r="C1188" s="15"/>
      <c r="D1188" s="15"/>
      <c r="E1188" s="85"/>
      <c r="F1188" s="15"/>
      <c r="G1188" s="15"/>
      <c r="H1188" s="96"/>
      <c r="I1188" s="16"/>
      <c r="J1188" s="37" t="str">
        <f aca="false">IF(I1188="","",IF(H1188="",1,H1188)*I1188)</f>
        <v/>
      </c>
      <c r="K1188" s="15"/>
      <c r="L1188" s="97" t="str">
        <f aca="false">IF(C1188="","",IF(OR(C1188="Material",C1188="Equipo",C1188="Suministro"),"Materiales y equipos",IF(C1188="Mano de obra contratista","Mano de obra contratista",IF(C1188="Transporte","Transporte y otros","Alquileres"))))</f>
        <v/>
      </c>
      <c r="M1188" s="6"/>
    </row>
    <row r="1189" customFormat="false" ht="16.5" hidden="false" customHeight="true" outlineLevel="0" collapsed="false">
      <c r="A1189" s="95" t="str">
        <f aca="false">IF(AND(B1189="",C1189=""),"",ROW()-6)</f>
        <v/>
      </c>
      <c r="B1189" s="83"/>
      <c r="C1189" s="15"/>
      <c r="D1189" s="15"/>
      <c r="E1189" s="85"/>
      <c r="F1189" s="15"/>
      <c r="G1189" s="15"/>
      <c r="H1189" s="96"/>
      <c r="I1189" s="16"/>
      <c r="J1189" s="37" t="str">
        <f aca="false">IF(I1189="","",IF(H1189="",1,H1189)*I1189)</f>
        <v/>
      </c>
      <c r="K1189" s="15"/>
      <c r="L1189" s="97" t="str">
        <f aca="false">IF(C1189="","",IF(OR(C1189="Material",C1189="Equipo",C1189="Suministro"),"Materiales y equipos",IF(C1189="Mano de obra contratista","Mano de obra contratista",IF(C1189="Transporte","Transporte y otros","Alquileres"))))</f>
        <v/>
      </c>
      <c r="M1189" s="6"/>
    </row>
    <row r="1190" customFormat="false" ht="16.5" hidden="false" customHeight="true" outlineLevel="0" collapsed="false">
      <c r="A1190" s="95" t="str">
        <f aca="false">IF(AND(B1190="",C1190=""),"",ROW()-6)</f>
        <v/>
      </c>
      <c r="B1190" s="83"/>
      <c r="C1190" s="15"/>
      <c r="D1190" s="15"/>
      <c r="E1190" s="85"/>
      <c r="F1190" s="15"/>
      <c r="G1190" s="15"/>
      <c r="H1190" s="96"/>
      <c r="I1190" s="16"/>
      <c r="J1190" s="37" t="str">
        <f aca="false">IF(I1190="","",IF(H1190="",1,H1190)*I1190)</f>
        <v/>
      </c>
      <c r="K1190" s="15"/>
      <c r="L1190" s="97" t="str">
        <f aca="false">IF(C1190="","",IF(OR(C1190="Material",C1190="Equipo",C1190="Suministro"),"Materiales y equipos",IF(C1190="Mano de obra contratista","Mano de obra contratista",IF(C1190="Transporte","Transporte y otros","Alquileres"))))</f>
        <v/>
      </c>
      <c r="M1190" s="6"/>
    </row>
    <row r="1191" customFormat="false" ht="16.5" hidden="false" customHeight="true" outlineLevel="0" collapsed="false">
      <c r="A1191" s="95" t="str">
        <f aca="false">IF(AND(B1191="",C1191=""),"",ROW()-6)</f>
        <v/>
      </c>
      <c r="B1191" s="83"/>
      <c r="C1191" s="15"/>
      <c r="D1191" s="15"/>
      <c r="E1191" s="85"/>
      <c r="F1191" s="15"/>
      <c r="G1191" s="15"/>
      <c r="H1191" s="96"/>
      <c r="I1191" s="16"/>
      <c r="J1191" s="37" t="str">
        <f aca="false">IF(I1191="","",IF(H1191="",1,H1191)*I1191)</f>
        <v/>
      </c>
      <c r="K1191" s="15"/>
      <c r="L1191" s="97" t="str">
        <f aca="false">IF(C1191="","",IF(OR(C1191="Material",C1191="Equipo",C1191="Suministro"),"Materiales y equipos",IF(C1191="Mano de obra contratista","Mano de obra contratista",IF(C1191="Transporte","Transporte y otros","Alquileres"))))</f>
        <v/>
      </c>
      <c r="M1191" s="6"/>
    </row>
    <row r="1192" customFormat="false" ht="16.5" hidden="false" customHeight="true" outlineLevel="0" collapsed="false">
      <c r="A1192" s="95" t="str">
        <f aca="false">IF(AND(B1192="",C1192=""),"",ROW()-6)</f>
        <v/>
      </c>
      <c r="B1192" s="83"/>
      <c r="C1192" s="15"/>
      <c r="D1192" s="15"/>
      <c r="E1192" s="85"/>
      <c r="F1192" s="15"/>
      <c r="G1192" s="15"/>
      <c r="H1192" s="96"/>
      <c r="I1192" s="16"/>
      <c r="J1192" s="37" t="str">
        <f aca="false">IF(I1192="","",IF(H1192="",1,H1192)*I1192)</f>
        <v/>
      </c>
      <c r="K1192" s="15"/>
      <c r="L1192" s="97" t="str">
        <f aca="false">IF(C1192="","",IF(OR(C1192="Material",C1192="Equipo",C1192="Suministro"),"Materiales y equipos",IF(C1192="Mano de obra contratista","Mano de obra contratista",IF(C1192="Transporte","Transporte y otros","Alquileres"))))</f>
        <v/>
      </c>
      <c r="M1192" s="6"/>
    </row>
    <row r="1193" customFormat="false" ht="16.5" hidden="false" customHeight="true" outlineLevel="0" collapsed="false">
      <c r="A1193" s="95" t="str">
        <f aca="false">IF(AND(B1193="",C1193=""),"",ROW()-6)</f>
        <v/>
      </c>
      <c r="B1193" s="83"/>
      <c r="C1193" s="15"/>
      <c r="D1193" s="15"/>
      <c r="E1193" s="85"/>
      <c r="F1193" s="15"/>
      <c r="G1193" s="15"/>
      <c r="H1193" s="96"/>
      <c r="I1193" s="16"/>
      <c r="J1193" s="37" t="str">
        <f aca="false">IF(I1193="","",IF(H1193="",1,H1193)*I1193)</f>
        <v/>
      </c>
      <c r="K1193" s="15"/>
      <c r="L1193" s="97" t="str">
        <f aca="false">IF(C1193="","",IF(OR(C1193="Material",C1193="Equipo",C1193="Suministro"),"Materiales y equipos",IF(C1193="Mano de obra contratista","Mano de obra contratista",IF(C1193="Transporte","Transporte y otros","Alquileres"))))</f>
        <v/>
      </c>
      <c r="M1193" s="6"/>
    </row>
    <row r="1194" customFormat="false" ht="16.5" hidden="false" customHeight="true" outlineLevel="0" collapsed="false">
      <c r="A1194" s="95" t="str">
        <f aca="false">IF(AND(B1194="",C1194=""),"",ROW()-6)</f>
        <v/>
      </c>
      <c r="B1194" s="83"/>
      <c r="C1194" s="15"/>
      <c r="D1194" s="15"/>
      <c r="E1194" s="85"/>
      <c r="F1194" s="15"/>
      <c r="G1194" s="15"/>
      <c r="H1194" s="96"/>
      <c r="I1194" s="16"/>
      <c r="J1194" s="37" t="str">
        <f aca="false">IF(I1194="","",IF(H1194="",1,H1194)*I1194)</f>
        <v/>
      </c>
      <c r="K1194" s="15"/>
      <c r="L1194" s="97" t="str">
        <f aca="false">IF(C1194="","",IF(OR(C1194="Material",C1194="Equipo",C1194="Suministro"),"Materiales y equipos",IF(C1194="Mano de obra contratista","Mano de obra contratista",IF(C1194="Transporte","Transporte y otros","Alquileres"))))</f>
        <v/>
      </c>
      <c r="M1194" s="6"/>
    </row>
    <row r="1195" customFormat="false" ht="16.5" hidden="false" customHeight="true" outlineLevel="0" collapsed="false">
      <c r="A1195" s="95" t="str">
        <f aca="false">IF(AND(B1195="",C1195=""),"",ROW()-6)</f>
        <v/>
      </c>
      <c r="B1195" s="83"/>
      <c r="C1195" s="15"/>
      <c r="D1195" s="15"/>
      <c r="E1195" s="85"/>
      <c r="F1195" s="15"/>
      <c r="G1195" s="15"/>
      <c r="H1195" s="96"/>
      <c r="I1195" s="16"/>
      <c r="J1195" s="37" t="str">
        <f aca="false">IF(I1195="","",IF(H1195="",1,H1195)*I1195)</f>
        <v/>
      </c>
      <c r="K1195" s="15"/>
      <c r="L1195" s="97" t="str">
        <f aca="false">IF(C1195="","",IF(OR(C1195="Material",C1195="Equipo",C1195="Suministro"),"Materiales y equipos",IF(C1195="Mano de obra contratista","Mano de obra contratista",IF(C1195="Transporte","Transporte y otros","Alquileres"))))</f>
        <v/>
      </c>
      <c r="M1195" s="6"/>
    </row>
    <row r="1196" customFormat="false" ht="16.5" hidden="false" customHeight="true" outlineLevel="0" collapsed="false">
      <c r="A1196" s="95" t="str">
        <f aca="false">IF(AND(B1196="",C1196=""),"",ROW()-6)</f>
        <v/>
      </c>
      <c r="B1196" s="83"/>
      <c r="C1196" s="15"/>
      <c r="D1196" s="15"/>
      <c r="E1196" s="85"/>
      <c r="F1196" s="15"/>
      <c r="G1196" s="15"/>
      <c r="H1196" s="96"/>
      <c r="I1196" s="16"/>
      <c r="J1196" s="37" t="str">
        <f aca="false">IF(I1196="","",IF(H1196="",1,H1196)*I1196)</f>
        <v/>
      </c>
      <c r="K1196" s="15"/>
      <c r="L1196" s="97" t="str">
        <f aca="false">IF(C1196="","",IF(OR(C1196="Material",C1196="Equipo",C1196="Suministro"),"Materiales y equipos",IF(C1196="Mano de obra contratista","Mano de obra contratista",IF(C1196="Transporte","Transporte y otros","Alquileres"))))</f>
        <v/>
      </c>
      <c r="M1196" s="6"/>
    </row>
    <row r="1197" customFormat="false" ht="16.5" hidden="false" customHeight="true" outlineLevel="0" collapsed="false">
      <c r="A1197" s="95" t="str">
        <f aca="false">IF(AND(B1197="",C1197=""),"",ROW()-6)</f>
        <v/>
      </c>
      <c r="B1197" s="83"/>
      <c r="C1197" s="15"/>
      <c r="D1197" s="15"/>
      <c r="E1197" s="85"/>
      <c r="F1197" s="15"/>
      <c r="G1197" s="15"/>
      <c r="H1197" s="96"/>
      <c r="I1197" s="16"/>
      <c r="J1197" s="37" t="str">
        <f aca="false">IF(I1197="","",IF(H1197="",1,H1197)*I1197)</f>
        <v/>
      </c>
      <c r="K1197" s="15"/>
      <c r="L1197" s="97" t="str">
        <f aca="false">IF(C1197="","",IF(OR(C1197="Material",C1197="Equipo",C1197="Suministro"),"Materiales y equipos",IF(C1197="Mano de obra contratista","Mano de obra contratista",IF(C1197="Transporte","Transporte y otros","Alquileres"))))</f>
        <v/>
      </c>
      <c r="M1197" s="6"/>
    </row>
    <row r="1198" customFormat="false" ht="16.5" hidden="false" customHeight="true" outlineLevel="0" collapsed="false">
      <c r="A1198" s="95" t="str">
        <f aca="false">IF(AND(B1198="",C1198=""),"",ROW()-6)</f>
        <v/>
      </c>
      <c r="B1198" s="83"/>
      <c r="C1198" s="15"/>
      <c r="D1198" s="15"/>
      <c r="E1198" s="85"/>
      <c r="F1198" s="15"/>
      <c r="G1198" s="15"/>
      <c r="H1198" s="96"/>
      <c r="I1198" s="16"/>
      <c r="J1198" s="37" t="str">
        <f aca="false">IF(I1198="","",IF(H1198="",1,H1198)*I1198)</f>
        <v/>
      </c>
      <c r="K1198" s="15"/>
      <c r="L1198" s="97" t="str">
        <f aca="false">IF(C1198="","",IF(OR(C1198="Material",C1198="Equipo",C1198="Suministro"),"Materiales y equipos",IF(C1198="Mano de obra contratista","Mano de obra contratista",IF(C1198="Transporte","Transporte y otros","Alquileres"))))</f>
        <v/>
      </c>
      <c r="M1198" s="6"/>
    </row>
    <row r="1199" customFormat="false" ht="16.5" hidden="false" customHeight="true" outlineLevel="0" collapsed="false">
      <c r="A1199" s="95" t="str">
        <f aca="false">IF(AND(B1199="",C1199=""),"",ROW()-6)</f>
        <v/>
      </c>
      <c r="B1199" s="83"/>
      <c r="C1199" s="15"/>
      <c r="D1199" s="15"/>
      <c r="E1199" s="85"/>
      <c r="F1199" s="15"/>
      <c r="G1199" s="15"/>
      <c r="H1199" s="96"/>
      <c r="I1199" s="16"/>
      <c r="J1199" s="37" t="str">
        <f aca="false">IF(I1199="","",IF(H1199="",1,H1199)*I1199)</f>
        <v/>
      </c>
      <c r="K1199" s="15"/>
      <c r="L1199" s="97" t="str">
        <f aca="false">IF(C1199="","",IF(OR(C1199="Material",C1199="Equipo",C1199="Suministro"),"Materiales y equipos",IF(C1199="Mano de obra contratista","Mano de obra contratista",IF(C1199="Transporte","Transporte y otros","Alquileres"))))</f>
        <v/>
      </c>
      <c r="M1199" s="6"/>
    </row>
    <row r="1200" customFormat="false" ht="16.5" hidden="false" customHeight="true" outlineLevel="0" collapsed="false">
      <c r="A1200" s="95" t="str">
        <f aca="false">IF(AND(B1200="",C1200=""),"",ROW()-6)</f>
        <v/>
      </c>
      <c r="B1200" s="83"/>
      <c r="C1200" s="15"/>
      <c r="D1200" s="15"/>
      <c r="E1200" s="85"/>
      <c r="F1200" s="15"/>
      <c r="G1200" s="15"/>
      <c r="H1200" s="96"/>
      <c r="I1200" s="16"/>
      <c r="J1200" s="37" t="str">
        <f aca="false">IF(I1200="","",IF(H1200="",1,H1200)*I1200)</f>
        <v/>
      </c>
      <c r="K1200" s="15"/>
      <c r="L1200" s="97" t="str">
        <f aca="false">IF(C1200="","",IF(OR(C1200="Material",C1200="Equipo",C1200="Suministro"),"Materiales y equipos",IF(C1200="Mano de obra contratista","Mano de obra contratista",IF(C1200="Transporte","Transporte y otros","Alquileres"))))</f>
        <v/>
      </c>
      <c r="M1200" s="6"/>
    </row>
    <row r="1201" customFormat="false" ht="16.5" hidden="false" customHeight="true" outlineLevel="0" collapsed="false">
      <c r="A1201" s="95" t="str">
        <f aca="false">IF(AND(B1201="",C1201=""),"",ROW()-6)</f>
        <v/>
      </c>
      <c r="B1201" s="83"/>
      <c r="C1201" s="15"/>
      <c r="D1201" s="15"/>
      <c r="E1201" s="85"/>
      <c r="F1201" s="15"/>
      <c r="G1201" s="15"/>
      <c r="H1201" s="96"/>
      <c r="I1201" s="16"/>
      <c r="J1201" s="37" t="str">
        <f aca="false">IF(I1201="","",IF(H1201="",1,H1201)*I1201)</f>
        <v/>
      </c>
      <c r="K1201" s="15"/>
      <c r="L1201" s="97" t="str">
        <f aca="false">IF(C1201="","",IF(OR(C1201="Material",C1201="Equipo",C1201="Suministro"),"Materiales y equipos",IF(C1201="Mano de obra contratista","Mano de obra contratista",IF(C1201="Transporte","Transporte y otros","Alquileres"))))</f>
        <v/>
      </c>
      <c r="M1201" s="6"/>
    </row>
    <row r="1202" customFormat="false" ht="16.5" hidden="false" customHeight="true" outlineLevel="0" collapsed="false">
      <c r="A1202" s="95" t="str">
        <f aca="false">IF(AND(B1202="",C1202=""),"",ROW()-6)</f>
        <v/>
      </c>
      <c r="B1202" s="83"/>
      <c r="C1202" s="15"/>
      <c r="D1202" s="15"/>
      <c r="E1202" s="85"/>
      <c r="F1202" s="15"/>
      <c r="G1202" s="15"/>
      <c r="H1202" s="96"/>
      <c r="I1202" s="16"/>
      <c r="J1202" s="37" t="str">
        <f aca="false">IF(I1202="","",IF(H1202="",1,H1202)*I1202)</f>
        <v/>
      </c>
      <c r="K1202" s="15"/>
      <c r="L1202" s="97" t="str">
        <f aca="false">IF(C1202="","",IF(OR(C1202="Material",C1202="Equipo",C1202="Suministro"),"Materiales y equipos",IF(C1202="Mano de obra contratista","Mano de obra contratista",IF(C1202="Transporte","Transporte y otros","Alquileres"))))</f>
        <v/>
      </c>
      <c r="M1202" s="6"/>
    </row>
    <row r="1203" customFormat="false" ht="16.5" hidden="false" customHeight="true" outlineLevel="0" collapsed="false">
      <c r="A1203" s="95" t="str">
        <f aca="false">IF(AND(B1203="",C1203=""),"",ROW()-6)</f>
        <v/>
      </c>
      <c r="B1203" s="83"/>
      <c r="C1203" s="15"/>
      <c r="D1203" s="15"/>
      <c r="E1203" s="85"/>
      <c r="F1203" s="15"/>
      <c r="G1203" s="15"/>
      <c r="H1203" s="96"/>
      <c r="I1203" s="16"/>
      <c r="J1203" s="37" t="str">
        <f aca="false">IF(I1203="","",IF(H1203="",1,H1203)*I1203)</f>
        <v/>
      </c>
      <c r="K1203" s="15"/>
      <c r="L1203" s="97" t="str">
        <f aca="false">IF(C1203="","",IF(OR(C1203="Material",C1203="Equipo",C1203="Suministro"),"Materiales y equipos",IF(C1203="Mano de obra contratista","Mano de obra contratista",IF(C1203="Transporte","Transporte y otros","Alquileres"))))</f>
        <v/>
      </c>
      <c r="M1203" s="6"/>
    </row>
    <row r="1204" customFormat="false" ht="16.5" hidden="false" customHeight="true" outlineLevel="0" collapsed="false">
      <c r="A1204" s="95" t="str">
        <f aca="false">IF(AND(B1204="",C1204=""),"",ROW()-6)</f>
        <v/>
      </c>
      <c r="B1204" s="83"/>
      <c r="C1204" s="15"/>
      <c r="D1204" s="15"/>
      <c r="E1204" s="85"/>
      <c r="F1204" s="15"/>
      <c r="G1204" s="15"/>
      <c r="H1204" s="96"/>
      <c r="I1204" s="16"/>
      <c r="J1204" s="37" t="str">
        <f aca="false">IF(I1204="","",IF(H1204="",1,H1204)*I1204)</f>
        <v/>
      </c>
      <c r="K1204" s="15"/>
      <c r="L1204" s="97" t="str">
        <f aca="false">IF(C1204="","",IF(OR(C1204="Material",C1204="Equipo",C1204="Suministro"),"Materiales y equipos",IF(C1204="Mano de obra contratista","Mano de obra contratista",IF(C1204="Transporte","Transporte y otros","Alquileres"))))</f>
        <v/>
      </c>
      <c r="M1204" s="6"/>
    </row>
    <row r="1205" customFormat="false" ht="16.5" hidden="false" customHeight="true" outlineLevel="0" collapsed="false">
      <c r="A1205" s="95" t="str">
        <f aca="false">IF(AND(B1205="",C1205=""),"",ROW()-6)</f>
        <v/>
      </c>
      <c r="B1205" s="83"/>
      <c r="C1205" s="15"/>
      <c r="D1205" s="15"/>
      <c r="E1205" s="85"/>
      <c r="F1205" s="15"/>
      <c r="G1205" s="15"/>
      <c r="H1205" s="96"/>
      <c r="I1205" s="16"/>
      <c r="J1205" s="37" t="str">
        <f aca="false">IF(I1205="","",IF(H1205="",1,H1205)*I1205)</f>
        <v/>
      </c>
      <c r="K1205" s="15"/>
      <c r="L1205" s="97" t="str">
        <f aca="false">IF(C1205="","",IF(OR(C1205="Material",C1205="Equipo",C1205="Suministro"),"Materiales y equipos",IF(C1205="Mano de obra contratista","Mano de obra contratista",IF(C1205="Transporte","Transporte y otros","Alquileres"))))</f>
        <v/>
      </c>
      <c r="M1205" s="6"/>
    </row>
    <row r="1206" customFormat="false" ht="16.5" hidden="false" customHeight="true" outlineLevel="0" collapsed="false">
      <c r="A1206" s="95" t="str">
        <f aca="false">IF(AND(B1206="",C1206=""),"",ROW()-6)</f>
        <v/>
      </c>
      <c r="B1206" s="83"/>
      <c r="C1206" s="15"/>
      <c r="D1206" s="15"/>
      <c r="E1206" s="85"/>
      <c r="F1206" s="15"/>
      <c r="G1206" s="15"/>
      <c r="H1206" s="96"/>
      <c r="I1206" s="16"/>
      <c r="J1206" s="37" t="str">
        <f aca="false">IF(I1206="","",IF(H1206="",1,H1206)*I1206)</f>
        <v/>
      </c>
      <c r="K1206" s="15"/>
      <c r="L1206" s="97" t="str">
        <f aca="false">IF(C1206="","",IF(OR(C1206="Material",C1206="Equipo",C1206="Suministro"),"Materiales y equipos",IF(C1206="Mano de obra contratista","Mano de obra contratista",IF(C1206="Transporte","Transporte y otros","Alquileres"))))</f>
        <v/>
      </c>
      <c r="M1206" s="6"/>
    </row>
    <row r="1207" customFormat="false" ht="16.5" hidden="false" customHeight="true" outlineLevel="0" collapsed="false">
      <c r="A1207" s="95" t="str">
        <f aca="false">IF(AND(B1207="",C1207=""),"",ROW()-6)</f>
        <v/>
      </c>
      <c r="B1207" s="83"/>
      <c r="C1207" s="15"/>
      <c r="D1207" s="15"/>
      <c r="E1207" s="85"/>
      <c r="F1207" s="15"/>
      <c r="G1207" s="15"/>
      <c r="H1207" s="96"/>
      <c r="I1207" s="16"/>
      <c r="J1207" s="37" t="str">
        <f aca="false">IF(I1207="","",IF(H1207="",1,H1207)*I1207)</f>
        <v/>
      </c>
      <c r="K1207" s="15"/>
      <c r="L1207" s="97" t="str">
        <f aca="false">IF(C1207="","",IF(OR(C1207="Material",C1207="Equipo",C1207="Suministro"),"Materiales y equipos",IF(C1207="Mano de obra contratista","Mano de obra contratista",IF(C1207="Transporte","Transporte y otros","Alquileres"))))</f>
        <v/>
      </c>
      <c r="M1207" s="6"/>
    </row>
    <row r="1208" customFormat="false" ht="16.5" hidden="false" customHeight="true" outlineLevel="0" collapsed="false">
      <c r="A1208" s="95" t="str">
        <f aca="false">IF(AND(B1208="",C1208=""),"",ROW()-6)</f>
        <v/>
      </c>
      <c r="B1208" s="83"/>
      <c r="C1208" s="15"/>
      <c r="D1208" s="15"/>
      <c r="E1208" s="85"/>
      <c r="F1208" s="15"/>
      <c r="G1208" s="15"/>
      <c r="H1208" s="96"/>
      <c r="I1208" s="16"/>
      <c r="J1208" s="37" t="str">
        <f aca="false">IF(I1208="","",IF(H1208="",1,H1208)*I1208)</f>
        <v/>
      </c>
      <c r="K1208" s="15"/>
      <c r="L1208" s="97" t="str">
        <f aca="false">IF(C1208="","",IF(OR(C1208="Material",C1208="Equipo",C1208="Suministro"),"Materiales y equipos",IF(C1208="Mano de obra contratista","Mano de obra contratista",IF(C1208="Transporte","Transporte y otros","Alquileres"))))</f>
        <v/>
      </c>
      <c r="M1208" s="6"/>
    </row>
    <row r="1209" customFormat="false" ht="16.5" hidden="false" customHeight="true" outlineLevel="0" collapsed="false">
      <c r="A1209" s="95" t="str">
        <f aca="false">IF(AND(B1209="",C1209=""),"",ROW()-6)</f>
        <v/>
      </c>
      <c r="B1209" s="83"/>
      <c r="C1209" s="15"/>
      <c r="D1209" s="15"/>
      <c r="E1209" s="85"/>
      <c r="F1209" s="15"/>
      <c r="G1209" s="15"/>
      <c r="H1209" s="96"/>
      <c r="I1209" s="16"/>
      <c r="J1209" s="37" t="str">
        <f aca="false">IF(I1209="","",IF(H1209="",1,H1209)*I1209)</f>
        <v/>
      </c>
      <c r="K1209" s="15"/>
      <c r="L1209" s="97" t="str">
        <f aca="false">IF(C1209="","",IF(OR(C1209="Material",C1209="Equipo",C1209="Suministro"),"Materiales y equipos",IF(C1209="Mano de obra contratista","Mano de obra contratista",IF(C1209="Transporte","Transporte y otros","Alquileres"))))</f>
        <v/>
      </c>
      <c r="M1209" s="6"/>
    </row>
    <row r="1210" customFormat="false" ht="16.5" hidden="false" customHeight="true" outlineLevel="0" collapsed="false">
      <c r="A1210" s="95" t="str">
        <f aca="false">IF(AND(B1210="",C1210=""),"",ROW()-6)</f>
        <v/>
      </c>
      <c r="B1210" s="83"/>
      <c r="C1210" s="15"/>
      <c r="D1210" s="15"/>
      <c r="E1210" s="85"/>
      <c r="F1210" s="15"/>
      <c r="G1210" s="15"/>
      <c r="H1210" s="96"/>
      <c r="I1210" s="16"/>
      <c r="J1210" s="37" t="str">
        <f aca="false">IF(I1210="","",IF(H1210="",1,H1210)*I1210)</f>
        <v/>
      </c>
      <c r="K1210" s="15"/>
      <c r="L1210" s="97" t="str">
        <f aca="false">IF(C1210="","",IF(OR(C1210="Material",C1210="Equipo",C1210="Suministro"),"Materiales y equipos",IF(C1210="Mano de obra contratista","Mano de obra contratista",IF(C1210="Transporte","Transporte y otros","Alquileres"))))</f>
        <v/>
      </c>
      <c r="M1210" s="6"/>
    </row>
    <row r="1211" customFormat="false" ht="16.5" hidden="false" customHeight="true" outlineLevel="0" collapsed="false">
      <c r="A1211" s="95" t="str">
        <f aca="false">IF(AND(B1211="",C1211=""),"",ROW()-6)</f>
        <v/>
      </c>
      <c r="B1211" s="83"/>
      <c r="C1211" s="15"/>
      <c r="D1211" s="15"/>
      <c r="E1211" s="85"/>
      <c r="F1211" s="15"/>
      <c r="G1211" s="15"/>
      <c r="H1211" s="96"/>
      <c r="I1211" s="16"/>
      <c r="J1211" s="37" t="str">
        <f aca="false">IF(I1211="","",IF(H1211="",1,H1211)*I1211)</f>
        <v/>
      </c>
      <c r="K1211" s="15"/>
      <c r="L1211" s="97" t="str">
        <f aca="false">IF(C1211="","",IF(OR(C1211="Material",C1211="Equipo",C1211="Suministro"),"Materiales y equipos",IF(C1211="Mano de obra contratista","Mano de obra contratista",IF(C1211="Transporte","Transporte y otros","Alquileres"))))</f>
        <v/>
      </c>
      <c r="M1211" s="6"/>
    </row>
    <row r="1212" customFormat="false" ht="16.5" hidden="false" customHeight="true" outlineLevel="0" collapsed="false">
      <c r="A1212" s="95" t="str">
        <f aca="false">IF(AND(B1212="",C1212=""),"",ROW()-6)</f>
        <v/>
      </c>
      <c r="B1212" s="83"/>
      <c r="C1212" s="15"/>
      <c r="D1212" s="15"/>
      <c r="E1212" s="85"/>
      <c r="F1212" s="15"/>
      <c r="G1212" s="15"/>
      <c r="H1212" s="96"/>
      <c r="I1212" s="16"/>
      <c r="J1212" s="37" t="str">
        <f aca="false">IF(I1212="","",IF(H1212="",1,H1212)*I1212)</f>
        <v/>
      </c>
      <c r="K1212" s="15"/>
      <c r="L1212" s="97" t="str">
        <f aca="false">IF(C1212="","",IF(OR(C1212="Material",C1212="Equipo",C1212="Suministro"),"Materiales y equipos",IF(C1212="Mano de obra contratista","Mano de obra contratista",IF(C1212="Transporte","Transporte y otros","Alquileres"))))</f>
        <v/>
      </c>
      <c r="M1212" s="6"/>
    </row>
    <row r="1213" customFormat="false" ht="16.5" hidden="false" customHeight="true" outlineLevel="0" collapsed="false">
      <c r="A1213" s="95" t="str">
        <f aca="false">IF(AND(B1213="",C1213=""),"",ROW()-6)</f>
        <v/>
      </c>
      <c r="B1213" s="83"/>
      <c r="C1213" s="15"/>
      <c r="D1213" s="15"/>
      <c r="E1213" s="85"/>
      <c r="F1213" s="15"/>
      <c r="G1213" s="15"/>
      <c r="H1213" s="96"/>
      <c r="I1213" s="16"/>
      <c r="J1213" s="37" t="str">
        <f aca="false">IF(I1213="","",IF(H1213="",1,H1213)*I1213)</f>
        <v/>
      </c>
      <c r="K1213" s="15"/>
      <c r="L1213" s="97" t="str">
        <f aca="false">IF(C1213="","",IF(OR(C1213="Material",C1213="Equipo",C1213="Suministro"),"Materiales y equipos",IF(C1213="Mano de obra contratista","Mano de obra contratista",IF(C1213="Transporte","Transporte y otros","Alquileres"))))</f>
        <v/>
      </c>
      <c r="M1213" s="6"/>
    </row>
    <row r="1214" customFormat="false" ht="16.5" hidden="false" customHeight="true" outlineLevel="0" collapsed="false">
      <c r="A1214" s="95" t="str">
        <f aca="false">IF(AND(B1214="",C1214=""),"",ROW()-6)</f>
        <v/>
      </c>
      <c r="B1214" s="83"/>
      <c r="C1214" s="15"/>
      <c r="D1214" s="15"/>
      <c r="E1214" s="85"/>
      <c r="F1214" s="15"/>
      <c r="G1214" s="15"/>
      <c r="H1214" s="96"/>
      <c r="I1214" s="16"/>
      <c r="J1214" s="37" t="str">
        <f aca="false">IF(I1214="","",IF(H1214="",1,H1214)*I1214)</f>
        <v/>
      </c>
      <c r="K1214" s="15"/>
      <c r="L1214" s="97" t="str">
        <f aca="false">IF(C1214="","",IF(OR(C1214="Material",C1214="Equipo",C1214="Suministro"),"Materiales y equipos",IF(C1214="Mano de obra contratista","Mano de obra contratista",IF(C1214="Transporte","Transporte y otros","Alquileres"))))</f>
        <v/>
      </c>
      <c r="M1214" s="6"/>
    </row>
    <row r="1215" customFormat="false" ht="16.5" hidden="false" customHeight="true" outlineLevel="0" collapsed="false">
      <c r="A1215" s="95" t="str">
        <f aca="false">IF(AND(B1215="",C1215=""),"",ROW()-6)</f>
        <v/>
      </c>
      <c r="B1215" s="83"/>
      <c r="C1215" s="15"/>
      <c r="D1215" s="15"/>
      <c r="E1215" s="85"/>
      <c r="F1215" s="15"/>
      <c r="G1215" s="15"/>
      <c r="H1215" s="96"/>
      <c r="I1215" s="16"/>
      <c r="J1215" s="37" t="str">
        <f aca="false">IF(I1215="","",IF(H1215="",1,H1215)*I1215)</f>
        <v/>
      </c>
      <c r="K1215" s="15"/>
      <c r="L1215" s="97" t="str">
        <f aca="false">IF(C1215="","",IF(OR(C1215="Material",C1215="Equipo",C1215="Suministro"),"Materiales y equipos",IF(C1215="Mano de obra contratista","Mano de obra contratista",IF(C1215="Transporte","Transporte y otros","Alquileres"))))</f>
        <v/>
      </c>
      <c r="M1215" s="6"/>
    </row>
    <row r="1216" customFormat="false" ht="16.5" hidden="false" customHeight="true" outlineLevel="0" collapsed="false">
      <c r="A1216" s="95" t="str">
        <f aca="false">IF(AND(B1216="",C1216=""),"",ROW()-6)</f>
        <v/>
      </c>
      <c r="B1216" s="83"/>
      <c r="C1216" s="15"/>
      <c r="D1216" s="15"/>
      <c r="E1216" s="85"/>
      <c r="F1216" s="15"/>
      <c r="G1216" s="15"/>
      <c r="H1216" s="96"/>
      <c r="I1216" s="16"/>
      <c r="J1216" s="37" t="str">
        <f aca="false">IF(I1216="","",IF(H1216="",1,H1216)*I1216)</f>
        <v/>
      </c>
      <c r="K1216" s="15"/>
      <c r="L1216" s="97" t="str">
        <f aca="false">IF(C1216="","",IF(OR(C1216="Material",C1216="Equipo",C1216="Suministro"),"Materiales y equipos",IF(C1216="Mano de obra contratista","Mano de obra contratista",IF(C1216="Transporte","Transporte y otros","Alquileres"))))</f>
        <v/>
      </c>
      <c r="M1216" s="6"/>
    </row>
    <row r="1217" customFormat="false" ht="16.5" hidden="false" customHeight="true" outlineLevel="0" collapsed="false">
      <c r="A1217" s="95" t="str">
        <f aca="false">IF(AND(B1217="",C1217=""),"",ROW()-6)</f>
        <v/>
      </c>
      <c r="B1217" s="83"/>
      <c r="C1217" s="15"/>
      <c r="D1217" s="15"/>
      <c r="E1217" s="85"/>
      <c r="F1217" s="15"/>
      <c r="G1217" s="15"/>
      <c r="H1217" s="96"/>
      <c r="I1217" s="16"/>
      <c r="J1217" s="37" t="str">
        <f aca="false">IF(I1217="","",IF(H1217="",1,H1217)*I1217)</f>
        <v/>
      </c>
      <c r="K1217" s="15"/>
      <c r="L1217" s="97" t="str">
        <f aca="false">IF(C1217="","",IF(OR(C1217="Material",C1217="Equipo",C1217="Suministro"),"Materiales y equipos",IF(C1217="Mano de obra contratista","Mano de obra contratista",IF(C1217="Transporte","Transporte y otros","Alquileres"))))</f>
        <v/>
      </c>
      <c r="M1217" s="6"/>
    </row>
    <row r="1218" customFormat="false" ht="16.5" hidden="false" customHeight="true" outlineLevel="0" collapsed="false">
      <c r="A1218" s="95" t="str">
        <f aca="false">IF(AND(B1218="",C1218=""),"",ROW()-6)</f>
        <v/>
      </c>
      <c r="B1218" s="83"/>
      <c r="C1218" s="15"/>
      <c r="D1218" s="15"/>
      <c r="E1218" s="85"/>
      <c r="F1218" s="15"/>
      <c r="G1218" s="15"/>
      <c r="H1218" s="96"/>
      <c r="I1218" s="16"/>
      <c r="J1218" s="37" t="str">
        <f aca="false">IF(I1218="","",IF(H1218="",1,H1218)*I1218)</f>
        <v/>
      </c>
      <c r="K1218" s="15"/>
      <c r="L1218" s="97" t="str">
        <f aca="false">IF(C1218="","",IF(OR(C1218="Material",C1218="Equipo",C1218="Suministro"),"Materiales y equipos",IF(C1218="Mano de obra contratista","Mano de obra contratista",IF(C1218="Transporte","Transporte y otros","Alquileres"))))</f>
        <v/>
      </c>
      <c r="M1218" s="6"/>
    </row>
    <row r="1219" customFormat="false" ht="16.5" hidden="false" customHeight="true" outlineLevel="0" collapsed="false">
      <c r="A1219" s="95" t="str">
        <f aca="false">IF(AND(B1219="",C1219=""),"",ROW()-6)</f>
        <v/>
      </c>
      <c r="B1219" s="83"/>
      <c r="C1219" s="15"/>
      <c r="D1219" s="15"/>
      <c r="E1219" s="85"/>
      <c r="F1219" s="15"/>
      <c r="G1219" s="15"/>
      <c r="H1219" s="96"/>
      <c r="I1219" s="16"/>
      <c r="J1219" s="37" t="str">
        <f aca="false">IF(I1219="","",IF(H1219="",1,H1219)*I1219)</f>
        <v/>
      </c>
      <c r="K1219" s="15"/>
      <c r="L1219" s="97" t="str">
        <f aca="false">IF(C1219="","",IF(OR(C1219="Material",C1219="Equipo",C1219="Suministro"),"Materiales y equipos",IF(C1219="Mano de obra contratista","Mano de obra contratista",IF(C1219="Transporte","Transporte y otros","Alquileres"))))</f>
        <v/>
      </c>
      <c r="M1219" s="6"/>
    </row>
    <row r="1220" customFormat="false" ht="16.5" hidden="false" customHeight="true" outlineLevel="0" collapsed="false">
      <c r="A1220" s="95" t="str">
        <f aca="false">IF(AND(B1220="",C1220=""),"",ROW()-6)</f>
        <v/>
      </c>
      <c r="B1220" s="83"/>
      <c r="C1220" s="15"/>
      <c r="D1220" s="15"/>
      <c r="E1220" s="85"/>
      <c r="F1220" s="15"/>
      <c r="G1220" s="15"/>
      <c r="H1220" s="96"/>
      <c r="I1220" s="16"/>
      <c r="J1220" s="37" t="str">
        <f aca="false">IF(I1220="","",IF(H1220="",1,H1220)*I1220)</f>
        <v/>
      </c>
      <c r="K1220" s="15"/>
      <c r="L1220" s="97" t="str">
        <f aca="false">IF(C1220="","",IF(OR(C1220="Material",C1220="Equipo",C1220="Suministro"),"Materiales y equipos",IF(C1220="Mano de obra contratista","Mano de obra contratista",IF(C1220="Transporte","Transporte y otros","Alquileres"))))</f>
        <v/>
      </c>
      <c r="M1220" s="6"/>
    </row>
    <row r="1221" customFormat="false" ht="16.5" hidden="false" customHeight="true" outlineLevel="0" collapsed="false">
      <c r="A1221" s="95" t="str">
        <f aca="false">IF(AND(B1221="",C1221=""),"",ROW()-6)</f>
        <v/>
      </c>
      <c r="B1221" s="83"/>
      <c r="C1221" s="15"/>
      <c r="D1221" s="15"/>
      <c r="E1221" s="85"/>
      <c r="F1221" s="15"/>
      <c r="G1221" s="15"/>
      <c r="H1221" s="96"/>
      <c r="I1221" s="16"/>
      <c r="J1221" s="37" t="str">
        <f aca="false">IF(I1221="","",IF(H1221="",1,H1221)*I1221)</f>
        <v/>
      </c>
      <c r="K1221" s="15"/>
      <c r="L1221" s="97" t="str">
        <f aca="false">IF(C1221="","",IF(OR(C1221="Material",C1221="Equipo",C1221="Suministro"),"Materiales y equipos",IF(C1221="Mano de obra contratista","Mano de obra contratista",IF(C1221="Transporte","Transporte y otros","Alquileres"))))</f>
        <v/>
      </c>
      <c r="M1221" s="6"/>
    </row>
    <row r="1222" customFormat="false" ht="16.5" hidden="false" customHeight="true" outlineLevel="0" collapsed="false">
      <c r="A1222" s="95" t="str">
        <f aca="false">IF(AND(B1222="",C1222=""),"",ROW()-6)</f>
        <v/>
      </c>
      <c r="B1222" s="83"/>
      <c r="C1222" s="15"/>
      <c r="D1222" s="15"/>
      <c r="E1222" s="85"/>
      <c r="F1222" s="15"/>
      <c r="G1222" s="15"/>
      <c r="H1222" s="96"/>
      <c r="I1222" s="16"/>
      <c r="J1222" s="37" t="str">
        <f aca="false">IF(I1222="","",IF(H1222="",1,H1222)*I1222)</f>
        <v/>
      </c>
      <c r="K1222" s="15"/>
      <c r="L1222" s="97" t="str">
        <f aca="false">IF(C1222="","",IF(OR(C1222="Material",C1222="Equipo",C1222="Suministro"),"Materiales y equipos",IF(C1222="Mano de obra contratista","Mano de obra contratista",IF(C1222="Transporte","Transporte y otros","Alquileres"))))</f>
        <v/>
      </c>
      <c r="M1222" s="6"/>
    </row>
    <row r="1223" customFormat="false" ht="16.5" hidden="false" customHeight="true" outlineLevel="0" collapsed="false">
      <c r="A1223" s="95" t="str">
        <f aca="false">IF(AND(B1223="",C1223=""),"",ROW()-6)</f>
        <v/>
      </c>
      <c r="B1223" s="83"/>
      <c r="C1223" s="15"/>
      <c r="D1223" s="15"/>
      <c r="E1223" s="85"/>
      <c r="F1223" s="15"/>
      <c r="G1223" s="15"/>
      <c r="H1223" s="96"/>
      <c r="I1223" s="16"/>
      <c r="J1223" s="37" t="str">
        <f aca="false">IF(I1223="","",IF(H1223="",1,H1223)*I1223)</f>
        <v/>
      </c>
      <c r="K1223" s="15"/>
      <c r="L1223" s="97" t="str">
        <f aca="false">IF(C1223="","",IF(OR(C1223="Material",C1223="Equipo",C1223="Suministro"),"Materiales y equipos",IF(C1223="Mano de obra contratista","Mano de obra contratista",IF(C1223="Transporte","Transporte y otros","Alquileres"))))</f>
        <v/>
      </c>
      <c r="M1223" s="6"/>
    </row>
    <row r="1224" customFormat="false" ht="16.5" hidden="false" customHeight="true" outlineLevel="0" collapsed="false">
      <c r="A1224" s="95" t="str">
        <f aca="false">IF(AND(B1224="",C1224=""),"",ROW()-6)</f>
        <v/>
      </c>
      <c r="B1224" s="83"/>
      <c r="C1224" s="15"/>
      <c r="D1224" s="15"/>
      <c r="E1224" s="85"/>
      <c r="F1224" s="15"/>
      <c r="G1224" s="15"/>
      <c r="H1224" s="96"/>
      <c r="I1224" s="16"/>
      <c r="J1224" s="37" t="str">
        <f aca="false">IF(I1224="","",IF(H1224="",1,H1224)*I1224)</f>
        <v/>
      </c>
      <c r="K1224" s="15"/>
      <c r="L1224" s="97" t="str">
        <f aca="false">IF(C1224="","",IF(OR(C1224="Material",C1224="Equipo",C1224="Suministro"),"Materiales y equipos",IF(C1224="Mano de obra contratista","Mano de obra contratista",IF(C1224="Transporte","Transporte y otros","Alquileres"))))</f>
        <v/>
      </c>
      <c r="M1224" s="6"/>
    </row>
    <row r="1225" customFormat="false" ht="16.5" hidden="false" customHeight="true" outlineLevel="0" collapsed="false">
      <c r="A1225" s="95" t="str">
        <f aca="false">IF(AND(B1225="",C1225=""),"",ROW()-6)</f>
        <v/>
      </c>
      <c r="B1225" s="83"/>
      <c r="C1225" s="15"/>
      <c r="D1225" s="15"/>
      <c r="E1225" s="85"/>
      <c r="F1225" s="15"/>
      <c r="G1225" s="15"/>
      <c r="H1225" s="96"/>
      <c r="I1225" s="16"/>
      <c r="J1225" s="37" t="str">
        <f aca="false">IF(I1225="","",IF(H1225="",1,H1225)*I1225)</f>
        <v/>
      </c>
      <c r="K1225" s="15"/>
      <c r="L1225" s="97" t="str">
        <f aca="false">IF(C1225="","",IF(OR(C1225="Material",C1225="Equipo",C1225="Suministro"),"Materiales y equipos",IF(C1225="Mano de obra contratista","Mano de obra contratista",IF(C1225="Transporte","Transporte y otros","Alquileres"))))</f>
        <v/>
      </c>
      <c r="M1225" s="6"/>
    </row>
    <row r="1226" customFormat="false" ht="16.5" hidden="false" customHeight="true" outlineLevel="0" collapsed="false">
      <c r="A1226" s="95" t="str">
        <f aca="false">IF(AND(B1226="",C1226=""),"",ROW()-6)</f>
        <v/>
      </c>
      <c r="B1226" s="83"/>
      <c r="C1226" s="15"/>
      <c r="D1226" s="15"/>
      <c r="E1226" s="85"/>
      <c r="F1226" s="15"/>
      <c r="G1226" s="15"/>
      <c r="H1226" s="96"/>
      <c r="I1226" s="16"/>
      <c r="J1226" s="37" t="str">
        <f aca="false">IF(I1226="","",IF(H1226="",1,H1226)*I1226)</f>
        <v/>
      </c>
      <c r="K1226" s="15"/>
      <c r="L1226" s="97" t="str">
        <f aca="false">IF(C1226="","",IF(OR(C1226="Material",C1226="Equipo",C1226="Suministro"),"Materiales y equipos",IF(C1226="Mano de obra contratista","Mano de obra contratista",IF(C1226="Transporte","Transporte y otros","Alquileres"))))</f>
        <v/>
      </c>
      <c r="M1226" s="6"/>
    </row>
    <row r="1227" customFormat="false" ht="16.5" hidden="false" customHeight="true" outlineLevel="0" collapsed="false">
      <c r="A1227" s="95" t="str">
        <f aca="false">IF(AND(B1227="",C1227=""),"",ROW()-6)</f>
        <v/>
      </c>
      <c r="B1227" s="83"/>
      <c r="C1227" s="15"/>
      <c r="D1227" s="15"/>
      <c r="E1227" s="85"/>
      <c r="F1227" s="15"/>
      <c r="G1227" s="15"/>
      <c r="H1227" s="96"/>
      <c r="I1227" s="16"/>
      <c r="J1227" s="37" t="str">
        <f aca="false">IF(I1227="","",IF(H1227="",1,H1227)*I1227)</f>
        <v/>
      </c>
      <c r="K1227" s="15"/>
      <c r="L1227" s="97" t="str">
        <f aca="false">IF(C1227="","",IF(OR(C1227="Material",C1227="Equipo",C1227="Suministro"),"Materiales y equipos",IF(C1227="Mano de obra contratista","Mano de obra contratista",IF(C1227="Transporte","Transporte y otros","Alquileres"))))</f>
        <v/>
      </c>
      <c r="M1227" s="6"/>
    </row>
    <row r="1228" customFormat="false" ht="16.5" hidden="false" customHeight="true" outlineLevel="0" collapsed="false">
      <c r="A1228" s="95" t="str">
        <f aca="false">IF(AND(B1228="",C1228=""),"",ROW()-6)</f>
        <v/>
      </c>
      <c r="B1228" s="83"/>
      <c r="C1228" s="15"/>
      <c r="D1228" s="15"/>
      <c r="E1228" s="85"/>
      <c r="F1228" s="15"/>
      <c r="G1228" s="15"/>
      <c r="H1228" s="96"/>
      <c r="I1228" s="16"/>
      <c r="J1228" s="37" t="str">
        <f aca="false">IF(I1228="","",IF(H1228="",1,H1228)*I1228)</f>
        <v/>
      </c>
      <c r="K1228" s="15"/>
      <c r="L1228" s="97" t="str">
        <f aca="false">IF(C1228="","",IF(OR(C1228="Material",C1228="Equipo",C1228="Suministro"),"Materiales y equipos",IF(C1228="Mano de obra contratista","Mano de obra contratista",IF(C1228="Transporte","Transporte y otros","Alquileres"))))</f>
        <v/>
      </c>
      <c r="M1228" s="6"/>
    </row>
    <row r="1229" customFormat="false" ht="16.5" hidden="false" customHeight="true" outlineLevel="0" collapsed="false">
      <c r="A1229" s="95" t="str">
        <f aca="false">IF(AND(B1229="",C1229=""),"",ROW()-6)</f>
        <v/>
      </c>
      <c r="B1229" s="83"/>
      <c r="C1229" s="15"/>
      <c r="D1229" s="15"/>
      <c r="E1229" s="85"/>
      <c r="F1229" s="15"/>
      <c r="G1229" s="15"/>
      <c r="H1229" s="96"/>
      <c r="I1229" s="16"/>
      <c r="J1229" s="37" t="str">
        <f aca="false">IF(I1229="","",IF(H1229="",1,H1229)*I1229)</f>
        <v/>
      </c>
      <c r="K1229" s="15"/>
      <c r="L1229" s="97" t="str">
        <f aca="false">IF(C1229="","",IF(OR(C1229="Material",C1229="Equipo",C1229="Suministro"),"Materiales y equipos",IF(C1229="Mano de obra contratista","Mano de obra contratista",IF(C1229="Transporte","Transporte y otros","Alquileres"))))</f>
        <v/>
      </c>
      <c r="M1229" s="6"/>
    </row>
    <row r="1230" customFormat="false" ht="16.5" hidden="false" customHeight="true" outlineLevel="0" collapsed="false">
      <c r="A1230" s="95" t="str">
        <f aca="false">IF(AND(B1230="",C1230=""),"",ROW()-6)</f>
        <v/>
      </c>
      <c r="B1230" s="83"/>
      <c r="C1230" s="15"/>
      <c r="D1230" s="15"/>
      <c r="E1230" s="85"/>
      <c r="F1230" s="15"/>
      <c r="G1230" s="15"/>
      <c r="H1230" s="96"/>
      <c r="I1230" s="16"/>
      <c r="J1230" s="37" t="str">
        <f aca="false">IF(I1230="","",IF(H1230="",1,H1230)*I1230)</f>
        <v/>
      </c>
      <c r="K1230" s="15"/>
      <c r="L1230" s="97" t="str">
        <f aca="false">IF(C1230="","",IF(OR(C1230="Material",C1230="Equipo",C1230="Suministro"),"Materiales y equipos",IF(C1230="Mano de obra contratista","Mano de obra contratista",IF(C1230="Transporte","Transporte y otros","Alquileres"))))</f>
        <v/>
      </c>
      <c r="M1230" s="6"/>
    </row>
    <row r="1231" customFormat="false" ht="16.5" hidden="false" customHeight="true" outlineLevel="0" collapsed="false">
      <c r="A1231" s="95" t="str">
        <f aca="false">IF(AND(B1231="",C1231=""),"",ROW()-6)</f>
        <v/>
      </c>
      <c r="B1231" s="83"/>
      <c r="C1231" s="15"/>
      <c r="D1231" s="15"/>
      <c r="E1231" s="85"/>
      <c r="F1231" s="15"/>
      <c r="G1231" s="15"/>
      <c r="H1231" s="96"/>
      <c r="I1231" s="16"/>
      <c r="J1231" s="37" t="str">
        <f aca="false">IF(I1231="","",IF(H1231="",1,H1231)*I1231)</f>
        <v/>
      </c>
      <c r="K1231" s="15"/>
      <c r="L1231" s="97" t="str">
        <f aca="false">IF(C1231="","",IF(OR(C1231="Material",C1231="Equipo",C1231="Suministro"),"Materiales y equipos",IF(C1231="Mano de obra contratista","Mano de obra contratista",IF(C1231="Transporte","Transporte y otros","Alquileres"))))</f>
        <v/>
      </c>
      <c r="M1231" s="6"/>
    </row>
    <row r="1232" customFormat="false" ht="16.5" hidden="false" customHeight="true" outlineLevel="0" collapsed="false">
      <c r="A1232" s="95" t="str">
        <f aca="false">IF(AND(B1232="",C1232=""),"",ROW()-6)</f>
        <v/>
      </c>
      <c r="B1232" s="83"/>
      <c r="C1232" s="15"/>
      <c r="D1232" s="15"/>
      <c r="E1232" s="85"/>
      <c r="F1232" s="15"/>
      <c r="G1232" s="15"/>
      <c r="H1232" s="96"/>
      <c r="I1232" s="16"/>
      <c r="J1232" s="37" t="str">
        <f aca="false">IF(I1232="","",IF(H1232="",1,H1232)*I1232)</f>
        <v/>
      </c>
      <c r="K1232" s="15"/>
      <c r="L1232" s="97" t="str">
        <f aca="false">IF(C1232="","",IF(OR(C1232="Material",C1232="Equipo",C1232="Suministro"),"Materiales y equipos",IF(C1232="Mano de obra contratista","Mano de obra contratista",IF(C1232="Transporte","Transporte y otros","Alquileres"))))</f>
        <v/>
      </c>
      <c r="M1232" s="6"/>
    </row>
    <row r="1233" customFormat="false" ht="16.5" hidden="false" customHeight="true" outlineLevel="0" collapsed="false">
      <c r="A1233" s="95" t="str">
        <f aca="false">IF(AND(B1233="",C1233=""),"",ROW()-6)</f>
        <v/>
      </c>
      <c r="B1233" s="83"/>
      <c r="C1233" s="15"/>
      <c r="D1233" s="15"/>
      <c r="E1233" s="85"/>
      <c r="F1233" s="15"/>
      <c r="G1233" s="15"/>
      <c r="H1233" s="96"/>
      <c r="I1233" s="16"/>
      <c r="J1233" s="37" t="str">
        <f aca="false">IF(I1233="","",IF(H1233="",1,H1233)*I1233)</f>
        <v/>
      </c>
      <c r="K1233" s="15"/>
      <c r="L1233" s="97" t="str">
        <f aca="false">IF(C1233="","",IF(OR(C1233="Material",C1233="Equipo",C1233="Suministro"),"Materiales y equipos",IF(C1233="Mano de obra contratista","Mano de obra contratista",IF(C1233="Transporte","Transporte y otros","Alquileres"))))</f>
        <v/>
      </c>
      <c r="M1233" s="6"/>
    </row>
    <row r="1234" customFormat="false" ht="16.5" hidden="false" customHeight="true" outlineLevel="0" collapsed="false">
      <c r="A1234" s="95" t="str">
        <f aca="false">IF(AND(B1234="",C1234=""),"",ROW()-6)</f>
        <v/>
      </c>
      <c r="B1234" s="83"/>
      <c r="C1234" s="15"/>
      <c r="D1234" s="15"/>
      <c r="E1234" s="85"/>
      <c r="F1234" s="15"/>
      <c r="G1234" s="15"/>
      <c r="H1234" s="96"/>
      <c r="I1234" s="16"/>
      <c r="J1234" s="37" t="str">
        <f aca="false">IF(I1234="","",IF(H1234="",1,H1234)*I1234)</f>
        <v/>
      </c>
      <c r="K1234" s="15"/>
      <c r="L1234" s="97" t="str">
        <f aca="false">IF(C1234="","",IF(OR(C1234="Material",C1234="Equipo",C1234="Suministro"),"Materiales y equipos",IF(C1234="Mano de obra contratista","Mano de obra contratista",IF(C1234="Transporte","Transporte y otros","Alquileres"))))</f>
        <v/>
      </c>
      <c r="M1234" s="6"/>
    </row>
    <row r="1235" customFormat="false" ht="16.5" hidden="false" customHeight="true" outlineLevel="0" collapsed="false">
      <c r="A1235" s="95" t="str">
        <f aca="false">IF(AND(B1235="",C1235=""),"",ROW()-6)</f>
        <v/>
      </c>
      <c r="B1235" s="83"/>
      <c r="C1235" s="15"/>
      <c r="D1235" s="15"/>
      <c r="E1235" s="85"/>
      <c r="F1235" s="15"/>
      <c r="G1235" s="15"/>
      <c r="H1235" s="96"/>
      <c r="I1235" s="16"/>
      <c r="J1235" s="37" t="str">
        <f aca="false">IF(I1235="","",IF(H1235="",1,H1235)*I1235)</f>
        <v/>
      </c>
      <c r="K1235" s="15"/>
      <c r="L1235" s="97" t="str">
        <f aca="false">IF(C1235="","",IF(OR(C1235="Material",C1235="Equipo",C1235="Suministro"),"Materiales y equipos",IF(C1235="Mano de obra contratista","Mano de obra contratista",IF(C1235="Transporte","Transporte y otros","Alquileres"))))</f>
        <v/>
      </c>
      <c r="M1235" s="6"/>
    </row>
    <row r="1236" customFormat="false" ht="16.5" hidden="false" customHeight="true" outlineLevel="0" collapsed="false">
      <c r="A1236" s="95" t="str">
        <f aca="false">IF(AND(B1236="",C1236=""),"",ROW()-6)</f>
        <v/>
      </c>
      <c r="B1236" s="83"/>
      <c r="C1236" s="15"/>
      <c r="D1236" s="15"/>
      <c r="E1236" s="85"/>
      <c r="F1236" s="15"/>
      <c r="G1236" s="15"/>
      <c r="H1236" s="96"/>
      <c r="I1236" s="16"/>
      <c r="J1236" s="37" t="str">
        <f aca="false">IF(I1236="","",IF(H1236="",1,H1236)*I1236)</f>
        <v/>
      </c>
      <c r="K1236" s="15"/>
      <c r="L1236" s="97" t="str">
        <f aca="false">IF(C1236="","",IF(OR(C1236="Material",C1236="Equipo",C1236="Suministro"),"Materiales y equipos",IF(C1236="Mano de obra contratista","Mano de obra contratista",IF(C1236="Transporte","Transporte y otros","Alquileres"))))</f>
        <v/>
      </c>
      <c r="M1236" s="6"/>
    </row>
    <row r="1237" customFormat="false" ht="16.5" hidden="false" customHeight="true" outlineLevel="0" collapsed="false">
      <c r="A1237" s="95" t="str">
        <f aca="false">IF(AND(B1237="",C1237=""),"",ROW()-6)</f>
        <v/>
      </c>
      <c r="B1237" s="83"/>
      <c r="C1237" s="15"/>
      <c r="D1237" s="15"/>
      <c r="E1237" s="85"/>
      <c r="F1237" s="15"/>
      <c r="G1237" s="15"/>
      <c r="H1237" s="96"/>
      <c r="I1237" s="16"/>
      <c r="J1237" s="37" t="str">
        <f aca="false">IF(I1237="","",IF(H1237="",1,H1237)*I1237)</f>
        <v/>
      </c>
      <c r="K1237" s="15"/>
      <c r="L1237" s="97" t="str">
        <f aca="false">IF(C1237="","",IF(OR(C1237="Material",C1237="Equipo",C1237="Suministro"),"Materiales y equipos",IF(C1237="Mano de obra contratista","Mano de obra contratista",IF(C1237="Transporte","Transporte y otros","Alquileres"))))</f>
        <v/>
      </c>
      <c r="M1237" s="6"/>
    </row>
    <row r="1238" customFormat="false" ht="16.5" hidden="false" customHeight="true" outlineLevel="0" collapsed="false">
      <c r="A1238" s="95" t="str">
        <f aca="false">IF(AND(B1238="",C1238=""),"",ROW()-6)</f>
        <v/>
      </c>
      <c r="B1238" s="83"/>
      <c r="C1238" s="15"/>
      <c r="D1238" s="15"/>
      <c r="E1238" s="85"/>
      <c r="F1238" s="15"/>
      <c r="G1238" s="15"/>
      <c r="H1238" s="96"/>
      <c r="I1238" s="16"/>
      <c r="J1238" s="37" t="str">
        <f aca="false">IF(I1238="","",IF(H1238="",1,H1238)*I1238)</f>
        <v/>
      </c>
      <c r="K1238" s="15"/>
      <c r="L1238" s="97" t="str">
        <f aca="false">IF(C1238="","",IF(OR(C1238="Material",C1238="Equipo",C1238="Suministro"),"Materiales y equipos",IF(C1238="Mano de obra contratista","Mano de obra contratista",IF(C1238="Transporte","Transporte y otros","Alquileres"))))</f>
        <v/>
      </c>
      <c r="M1238" s="6"/>
    </row>
    <row r="1239" customFormat="false" ht="16.5" hidden="false" customHeight="true" outlineLevel="0" collapsed="false">
      <c r="A1239" s="95" t="str">
        <f aca="false">IF(AND(B1239="",C1239=""),"",ROW()-6)</f>
        <v/>
      </c>
      <c r="B1239" s="83"/>
      <c r="C1239" s="15"/>
      <c r="D1239" s="15"/>
      <c r="E1239" s="85"/>
      <c r="F1239" s="15"/>
      <c r="G1239" s="15"/>
      <c r="H1239" s="96"/>
      <c r="I1239" s="16"/>
      <c r="J1239" s="37" t="str">
        <f aca="false">IF(I1239="","",IF(H1239="",1,H1239)*I1239)</f>
        <v/>
      </c>
      <c r="K1239" s="15"/>
      <c r="L1239" s="97" t="str">
        <f aca="false">IF(C1239="","",IF(OR(C1239="Material",C1239="Equipo",C1239="Suministro"),"Materiales y equipos",IF(C1239="Mano de obra contratista","Mano de obra contratista",IF(C1239="Transporte","Transporte y otros","Alquileres"))))</f>
        <v/>
      </c>
      <c r="M1239" s="6"/>
    </row>
    <row r="1240" customFormat="false" ht="16.5" hidden="false" customHeight="true" outlineLevel="0" collapsed="false">
      <c r="A1240" s="95" t="str">
        <f aca="false">IF(AND(B1240="",C1240=""),"",ROW()-6)</f>
        <v/>
      </c>
      <c r="B1240" s="83"/>
      <c r="C1240" s="15"/>
      <c r="D1240" s="15"/>
      <c r="E1240" s="85"/>
      <c r="F1240" s="15"/>
      <c r="G1240" s="15"/>
      <c r="H1240" s="96"/>
      <c r="I1240" s="16"/>
      <c r="J1240" s="37" t="str">
        <f aca="false">IF(I1240="","",IF(H1240="",1,H1240)*I1240)</f>
        <v/>
      </c>
      <c r="K1240" s="15"/>
      <c r="L1240" s="97" t="str">
        <f aca="false">IF(C1240="","",IF(OR(C1240="Material",C1240="Equipo",C1240="Suministro"),"Materiales y equipos",IF(C1240="Mano de obra contratista","Mano de obra contratista",IF(C1240="Transporte","Transporte y otros","Alquileres"))))</f>
        <v/>
      </c>
      <c r="M1240" s="6"/>
    </row>
    <row r="1241" customFormat="false" ht="16.5" hidden="false" customHeight="true" outlineLevel="0" collapsed="false">
      <c r="A1241" s="95" t="str">
        <f aca="false">IF(AND(B1241="",C1241=""),"",ROW()-6)</f>
        <v/>
      </c>
      <c r="B1241" s="83"/>
      <c r="C1241" s="15"/>
      <c r="D1241" s="15"/>
      <c r="E1241" s="85"/>
      <c r="F1241" s="15"/>
      <c r="G1241" s="15"/>
      <c r="H1241" s="96"/>
      <c r="I1241" s="16"/>
      <c r="J1241" s="37" t="str">
        <f aca="false">IF(I1241="","",IF(H1241="",1,H1241)*I1241)</f>
        <v/>
      </c>
      <c r="K1241" s="15"/>
      <c r="L1241" s="97" t="str">
        <f aca="false">IF(C1241="","",IF(OR(C1241="Material",C1241="Equipo",C1241="Suministro"),"Materiales y equipos",IF(C1241="Mano de obra contratista","Mano de obra contratista",IF(C1241="Transporte","Transporte y otros","Alquileres"))))</f>
        <v/>
      </c>
      <c r="M1241" s="6"/>
    </row>
    <row r="1242" customFormat="false" ht="16.5" hidden="false" customHeight="true" outlineLevel="0" collapsed="false">
      <c r="A1242" s="95" t="str">
        <f aca="false">IF(AND(B1242="",C1242=""),"",ROW()-6)</f>
        <v/>
      </c>
      <c r="B1242" s="83"/>
      <c r="C1242" s="15"/>
      <c r="D1242" s="15"/>
      <c r="E1242" s="85"/>
      <c r="F1242" s="15"/>
      <c r="G1242" s="15"/>
      <c r="H1242" s="96"/>
      <c r="I1242" s="16"/>
      <c r="J1242" s="37" t="str">
        <f aca="false">IF(I1242="","",IF(H1242="",1,H1242)*I1242)</f>
        <v/>
      </c>
      <c r="K1242" s="15"/>
      <c r="L1242" s="97" t="str">
        <f aca="false">IF(C1242="","",IF(OR(C1242="Material",C1242="Equipo",C1242="Suministro"),"Materiales y equipos",IF(C1242="Mano de obra contratista","Mano de obra contratista",IF(C1242="Transporte","Transporte y otros","Alquileres"))))</f>
        <v/>
      </c>
      <c r="M1242" s="6"/>
    </row>
    <row r="1243" customFormat="false" ht="16.5" hidden="false" customHeight="true" outlineLevel="0" collapsed="false">
      <c r="A1243" s="95" t="str">
        <f aca="false">IF(AND(B1243="",C1243=""),"",ROW()-6)</f>
        <v/>
      </c>
      <c r="B1243" s="83"/>
      <c r="C1243" s="15"/>
      <c r="D1243" s="15"/>
      <c r="E1243" s="85"/>
      <c r="F1243" s="15"/>
      <c r="G1243" s="15"/>
      <c r="H1243" s="96"/>
      <c r="I1243" s="16"/>
      <c r="J1243" s="37" t="str">
        <f aca="false">IF(I1243="","",IF(H1243="",1,H1243)*I1243)</f>
        <v/>
      </c>
      <c r="K1243" s="15"/>
      <c r="L1243" s="97" t="str">
        <f aca="false">IF(C1243="","",IF(OR(C1243="Material",C1243="Equipo",C1243="Suministro"),"Materiales y equipos",IF(C1243="Mano de obra contratista","Mano de obra contratista",IF(C1243="Transporte","Transporte y otros","Alquileres"))))</f>
        <v/>
      </c>
      <c r="M1243" s="6"/>
    </row>
    <row r="1244" customFormat="false" ht="16.5" hidden="false" customHeight="true" outlineLevel="0" collapsed="false">
      <c r="A1244" s="95" t="str">
        <f aca="false">IF(AND(B1244="",C1244=""),"",ROW()-6)</f>
        <v/>
      </c>
      <c r="B1244" s="83"/>
      <c r="C1244" s="15"/>
      <c r="D1244" s="15"/>
      <c r="E1244" s="85"/>
      <c r="F1244" s="15"/>
      <c r="G1244" s="15"/>
      <c r="H1244" s="96"/>
      <c r="I1244" s="16"/>
      <c r="J1244" s="37" t="str">
        <f aca="false">IF(I1244="","",IF(H1244="",1,H1244)*I1244)</f>
        <v/>
      </c>
      <c r="K1244" s="15"/>
      <c r="L1244" s="97" t="str">
        <f aca="false">IF(C1244="","",IF(OR(C1244="Material",C1244="Equipo",C1244="Suministro"),"Materiales y equipos",IF(C1244="Mano de obra contratista","Mano de obra contratista",IF(C1244="Transporte","Transporte y otros","Alquileres"))))</f>
        <v/>
      </c>
      <c r="M1244" s="6"/>
    </row>
    <row r="1245" customFormat="false" ht="16.5" hidden="false" customHeight="true" outlineLevel="0" collapsed="false">
      <c r="A1245" s="95" t="str">
        <f aca="false">IF(AND(B1245="",C1245=""),"",ROW()-6)</f>
        <v/>
      </c>
      <c r="B1245" s="83"/>
      <c r="C1245" s="15"/>
      <c r="D1245" s="15"/>
      <c r="E1245" s="85"/>
      <c r="F1245" s="15"/>
      <c r="G1245" s="15"/>
      <c r="H1245" s="96"/>
      <c r="I1245" s="16"/>
      <c r="J1245" s="37" t="str">
        <f aca="false">IF(I1245="","",IF(H1245="",1,H1245)*I1245)</f>
        <v/>
      </c>
      <c r="K1245" s="15"/>
      <c r="L1245" s="97" t="str">
        <f aca="false">IF(C1245="","",IF(OR(C1245="Material",C1245="Equipo",C1245="Suministro"),"Materiales y equipos",IF(C1245="Mano de obra contratista","Mano de obra contratista",IF(C1245="Transporte","Transporte y otros","Alquileres"))))</f>
        <v/>
      </c>
      <c r="M1245" s="6"/>
    </row>
    <row r="1246" customFormat="false" ht="16.5" hidden="false" customHeight="true" outlineLevel="0" collapsed="false">
      <c r="A1246" s="95" t="str">
        <f aca="false">IF(AND(B1246="",C1246=""),"",ROW()-6)</f>
        <v/>
      </c>
      <c r="B1246" s="83"/>
      <c r="C1246" s="15"/>
      <c r="D1246" s="15"/>
      <c r="E1246" s="85"/>
      <c r="F1246" s="15"/>
      <c r="G1246" s="15"/>
      <c r="H1246" s="96"/>
      <c r="I1246" s="16"/>
      <c r="J1246" s="37" t="str">
        <f aca="false">IF(I1246="","",IF(H1246="",1,H1246)*I1246)</f>
        <v/>
      </c>
      <c r="K1246" s="15"/>
      <c r="L1246" s="97" t="str">
        <f aca="false">IF(C1246="","",IF(OR(C1246="Material",C1246="Equipo",C1246="Suministro"),"Materiales y equipos",IF(C1246="Mano de obra contratista","Mano de obra contratista",IF(C1246="Transporte","Transporte y otros","Alquileres"))))</f>
        <v/>
      </c>
      <c r="M1246" s="6"/>
    </row>
    <row r="1247" customFormat="false" ht="16.5" hidden="false" customHeight="true" outlineLevel="0" collapsed="false">
      <c r="A1247" s="95" t="str">
        <f aca="false">IF(AND(B1247="",C1247=""),"",ROW()-6)</f>
        <v/>
      </c>
      <c r="B1247" s="83"/>
      <c r="C1247" s="15"/>
      <c r="D1247" s="15"/>
      <c r="E1247" s="85"/>
      <c r="F1247" s="15"/>
      <c r="G1247" s="15"/>
      <c r="H1247" s="96"/>
      <c r="I1247" s="16"/>
      <c r="J1247" s="37" t="str">
        <f aca="false">IF(I1247="","",IF(H1247="",1,H1247)*I1247)</f>
        <v/>
      </c>
      <c r="K1247" s="15"/>
      <c r="L1247" s="97" t="str">
        <f aca="false">IF(C1247="","",IF(OR(C1247="Material",C1247="Equipo",C1247="Suministro"),"Materiales y equipos",IF(C1247="Mano de obra contratista","Mano de obra contratista",IF(C1247="Transporte","Transporte y otros","Alquileres"))))</f>
        <v/>
      </c>
      <c r="M1247" s="6"/>
    </row>
    <row r="1248" customFormat="false" ht="16.5" hidden="false" customHeight="true" outlineLevel="0" collapsed="false">
      <c r="A1248" s="95" t="str">
        <f aca="false">IF(AND(B1248="",C1248=""),"",ROW()-6)</f>
        <v/>
      </c>
      <c r="B1248" s="83"/>
      <c r="C1248" s="15"/>
      <c r="D1248" s="15"/>
      <c r="E1248" s="85"/>
      <c r="F1248" s="15"/>
      <c r="G1248" s="15"/>
      <c r="H1248" s="96"/>
      <c r="I1248" s="16"/>
      <c r="J1248" s="37" t="str">
        <f aca="false">IF(I1248="","",IF(H1248="",1,H1248)*I1248)</f>
        <v/>
      </c>
      <c r="K1248" s="15"/>
      <c r="L1248" s="97" t="str">
        <f aca="false">IF(C1248="","",IF(OR(C1248="Material",C1248="Equipo",C1248="Suministro"),"Materiales y equipos",IF(C1248="Mano de obra contratista","Mano de obra contratista",IF(C1248="Transporte","Transporte y otros","Alquileres"))))</f>
        <v/>
      </c>
      <c r="M1248" s="6"/>
    </row>
    <row r="1249" customFormat="false" ht="16.5" hidden="false" customHeight="true" outlineLevel="0" collapsed="false">
      <c r="A1249" s="95" t="str">
        <f aca="false">IF(AND(B1249="",C1249=""),"",ROW()-6)</f>
        <v/>
      </c>
      <c r="B1249" s="83"/>
      <c r="C1249" s="15"/>
      <c r="D1249" s="15"/>
      <c r="E1249" s="85"/>
      <c r="F1249" s="15"/>
      <c r="G1249" s="15"/>
      <c r="H1249" s="96"/>
      <c r="I1249" s="16"/>
      <c r="J1249" s="37" t="str">
        <f aca="false">IF(I1249="","",IF(H1249="",1,H1249)*I1249)</f>
        <v/>
      </c>
      <c r="K1249" s="15"/>
      <c r="L1249" s="97" t="str">
        <f aca="false">IF(C1249="","",IF(OR(C1249="Material",C1249="Equipo",C1249="Suministro"),"Materiales y equipos",IF(C1249="Mano de obra contratista","Mano de obra contratista",IF(C1249="Transporte","Transporte y otros","Alquileres"))))</f>
        <v/>
      </c>
      <c r="M1249" s="6"/>
    </row>
    <row r="1250" customFormat="false" ht="16.5" hidden="false" customHeight="true" outlineLevel="0" collapsed="false">
      <c r="A1250" s="95" t="str">
        <f aca="false">IF(AND(B1250="",C1250=""),"",ROW()-6)</f>
        <v/>
      </c>
      <c r="B1250" s="83"/>
      <c r="C1250" s="15"/>
      <c r="D1250" s="15"/>
      <c r="E1250" s="85"/>
      <c r="F1250" s="15"/>
      <c r="G1250" s="15"/>
      <c r="H1250" s="96"/>
      <c r="I1250" s="16"/>
      <c r="J1250" s="37" t="str">
        <f aca="false">IF(I1250="","",IF(H1250="",1,H1250)*I1250)</f>
        <v/>
      </c>
      <c r="K1250" s="15"/>
      <c r="L1250" s="97" t="str">
        <f aca="false">IF(C1250="","",IF(OR(C1250="Material",C1250="Equipo",C1250="Suministro"),"Materiales y equipos",IF(C1250="Mano de obra contratista","Mano de obra contratista",IF(C1250="Transporte","Transporte y otros","Alquileres"))))</f>
        <v/>
      </c>
      <c r="M1250" s="6"/>
    </row>
    <row r="1251" customFormat="false" ht="16.5" hidden="false" customHeight="true" outlineLevel="0" collapsed="false">
      <c r="A1251" s="95" t="str">
        <f aca="false">IF(AND(B1251="",C1251=""),"",ROW()-6)</f>
        <v/>
      </c>
      <c r="B1251" s="83"/>
      <c r="C1251" s="15"/>
      <c r="D1251" s="15"/>
      <c r="E1251" s="85"/>
      <c r="F1251" s="15"/>
      <c r="G1251" s="15"/>
      <c r="H1251" s="96"/>
      <c r="I1251" s="16"/>
      <c r="J1251" s="37" t="str">
        <f aca="false">IF(I1251="","",IF(H1251="",1,H1251)*I1251)</f>
        <v/>
      </c>
      <c r="K1251" s="15"/>
      <c r="L1251" s="97" t="str">
        <f aca="false">IF(C1251="","",IF(OR(C1251="Material",C1251="Equipo",C1251="Suministro"),"Materiales y equipos",IF(C1251="Mano de obra contratista","Mano de obra contratista",IF(C1251="Transporte","Transporte y otros","Alquileres"))))</f>
        <v/>
      </c>
      <c r="M1251" s="6"/>
    </row>
    <row r="1252" customFormat="false" ht="16.5" hidden="false" customHeight="true" outlineLevel="0" collapsed="false">
      <c r="A1252" s="95" t="str">
        <f aca="false">IF(AND(B1252="",C1252=""),"",ROW()-6)</f>
        <v/>
      </c>
      <c r="B1252" s="83"/>
      <c r="C1252" s="15"/>
      <c r="D1252" s="15"/>
      <c r="E1252" s="85"/>
      <c r="F1252" s="15"/>
      <c r="G1252" s="15"/>
      <c r="H1252" s="96"/>
      <c r="I1252" s="16"/>
      <c r="J1252" s="37" t="str">
        <f aca="false">IF(I1252="","",IF(H1252="",1,H1252)*I1252)</f>
        <v/>
      </c>
      <c r="K1252" s="15"/>
      <c r="L1252" s="97" t="str">
        <f aca="false">IF(C1252="","",IF(OR(C1252="Material",C1252="Equipo",C1252="Suministro"),"Materiales y equipos",IF(C1252="Mano de obra contratista","Mano de obra contratista",IF(C1252="Transporte","Transporte y otros","Alquileres"))))</f>
        <v/>
      </c>
      <c r="M1252" s="6"/>
    </row>
    <row r="1253" customFormat="false" ht="16.5" hidden="false" customHeight="true" outlineLevel="0" collapsed="false">
      <c r="A1253" s="95" t="str">
        <f aca="false">IF(AND(B1253="",C1253=""),"",ROW()-6)</f>
        <v/>
      </c>
      <c r="B1253" s="83"/>
      <c r="C1253" s="15"/>
      <c r="D1253" s="15"/>
      <c r="E1253" s="85"/>
      <c r="F1253" s="15"/>
      <c r="G1253" s="15"/>
      <c r="H1253" s="96"/>
      <c r="I1253" s="16"/>
      <c r="J1253" s="37" t="str">
        <f aca="false">IF(I1253="","",IF(H1253="",1,H1253)*I1253)</f>
        <v/>
      </c>
      <c r="K1253" s="15"/>
      <c r="L1253" s="97" t="str">
        <f aca="false">IF(C1253="","",IF(OR(C1253="Material",C1253="Equipo",C1253="Suministro"),"Materiales y equipos",IF(C1253="Mano de obra contratista","Mano de obra contratista",IF(C1253="Transporte","Transporte y otros","Alquileres"))))</f>
        <v/>
      </c>
      <c r="M1253" s="6"/>
    </row>
    <row r="1254" customFormat="false" ht="16.5" hidden="false" customHeight="true" outlineLevel="0" collapsed="false">
      <c r="A1254" s="95" t="str">
        <f aca="false">IF(AND(B1254="",C1254=""),"",ROW()-6)</f>
        <v/>
      </c>
      <c r="B1254" s="83"/>
      <c r="C1254" s="15"/>
      <c r="D1254" s="15"/>
      <c r="E1254" s="85"/>
      <c r="F1254" s="15"/>
      <c r="G1254" s="15"/>
      <c r="H1254" s="96"/>
      <c r="I1254" s="16"/>
      <c r="J1254" s="37" t="str">
        <f aca="false">IF(I1254="","",IF(H1254="",1,H1254)*I1254)</f>
        <v/>
      </c>
      <c r="K1254" s="15"/>
      <c r="L1254" s="97" t="str">
        <f aca="false">IF(C1254="","",IF(OR(C1254="Material",C1254="Equipo",C1254="Suministro"),"Materiales y equipos",IF(C1254="Mano de obra contratista","Mano de obra contratista",IF(C1254="Transporte","Transporte y otros","Alquileres"))))</f>
        <v/>
      </c>
      <c r="M1254" s="6"/>
    </row>
    <row r="1255" customFormat="false" ht="16.5" hidden="false" customHeight="true" outlineLevel="0" collapsed="false">
      <c r="A1255" s="95" t="str">
        <f aca="false">IF(AND(B1255="",C1255=""),"",ROW()-6)</f>
        <v/>
      </c>
      <c r="B1255" s="83"/>
      <c r="C1255" s="15"/>
      <c r="D1255" s="15"/>
      <c r="E1255" s="85"/>
      <c r="F1255" s="15"/>
      <c r="G1255" s="15"/>
      <c r="H1255" s="96"/>
      <c r="I1255" s="16"/>
      <c r="J1255" s="37" t="str">
        <f aca="false">IF(I1255="","",IF(H1255="",1,H1255)*I1255)</f>
        <v/>
      </c>
      <c r="K1255" s="15"/>
      <c r="L1255" s="97" t="str">
        <f aca="false">IF(C1255="","",IF(OR(C1255="Material",C1255="Equipo",C1255="Suministro"),"Materiales y equipos",IF(C1255="Mano de obra contratista","Mano de obra contratista",IF(C1255="Transporte","Transporte y otros","Alquileres"))))</f>
        <v/>
      </c>
      <c r="M1255" s="6"/>
    </row>
    <row r="1256" customFormat="false" ht="16.5" hidden="false" customHeight="true" outlineLevel="0" collapsed="false">
      <c r="A1256" s="95" t="str">
        <f aca="false">IF(AND(B1256="",C1256=""),"",ROW()-6)</f>
        <v/>
      </c>
      <c r="B1256" s="83"/>
      <c r="C1256" s="15"/>
      <c r="D1256" s="15"/>
      <c r="E1256" s="85"/>
      <c r="F1256" s="15"/>
      <c r="G1256" s="15"/>
      <c r="H1256" s="96"/>
      <c r="I1256" s="16"/>
      <c r="J1256" s="37" t="str">
        <f aca="false">IF(I1256="","",IF(H1256="",1,H1256)*I1256)</f>
        <v/>
      </c>
      <c r="K1256" s="15"/>
      <c r="L1256" s="97" t="str">
        <f aca="false">IF(C1256="","",IF(OR(C1256="Material",C1256="Equipo",C1256="Suministro"),"Materiales y equipos",IF(C1256="Mano de obra contratista","Mano de obra contratista",IF(C1256="Transporte","Transporte y otros","Alquileres"))))</f>
        <v/>
      </c>
      <c r="M1256" s="6"/>
    </row>
    <row r="1257" customFormat="false" ht="16.5" hidden="false" customHeight="true" outlineLevel="0" collapsed="false">
      <c r="A1257" s="95" t="str">
        <f aca="false">IF(AND(B1257="",C1257=""),"",ROW()-6)</f>
        <v/>
      </c>
      <c r="B1257" s="83"/>
      <c r="C1257" s="15"/>
      <c r="D1257" s="15"/>
      <c r="E1257" s="85"/>
      <c r="F1257" s="15"/>
      <c r="G1257" s="15"/>
      <c r="H1257" s="96"/>
      <c r="I1257" s="16"/>
      <c r="J1257" s="37" t="str">
        <f aca="false">IF(I1257="","",IF(H1257="",1,H1257)*I1257)</f>
        <v/>
      </c>
      <c r="K1257" s="15"/>
      <c r="L1257" s="97" t="str">
        <f aca="false">IF(C1257="","",IF(OR(C1257="Material",C1257="Equipo",C1257="Suministro"),"Materiales y equipos",IF(C1257="Mano de obra contratista","Mano de obra contratista",IF(C1257="Transporte","Transporte y otros","Alquileres"))))</f>
        <v/>
      </c>
      <c r="M1257" s="6"/>
    </row>
    <row r="1258" customFormat="false" ht="16.5" hidden="false" customHeight="true" outlineLevel="0" collapsed="false">
      <c r="A1258" s="95" t="str">
        <f aca="false">IF(AND(B1258="",C1258=""),"",ROW()-6)</f>
        <v/>
      </c>
      <c r="B1258" s="83"/>
      <c r="C1258" s="15"/>
      <c r="D1258" s="15"/>
      <c r="E1258" s="85"/>
      <c r="F1258" s="15"/>
      <c r="G1258" s="15"/>
      <c r="H1258" s="96"/>
      <c r="I1258" s="16"/>
      <c r="J1258" s="37" t="str">
        <f aca="false">IF(I1258="","",IF(H1258="",1,H1258)*I1258)</f>
        <v/>
      </c>
      <c r="K1258" s="15"/>
      <c r="L1258" s="97" t="str">
        <f aca="false">IF(C1258="","",IF(OR(C1258="Material",C1258="Equipo",C1258="Suministro"),"Materiales y equipos",IF(C1258="Mano de obra contratista","Mano de obra contratista",IF(C1258="Transporte","Transporte y otros","Alquileres"))))</f>
        <v/>
      </c>
      <c r="M1258" s="6"/>
    </row>
    <row r="1259" customFormat="false" ht="16.5" hidden="false" customHeight="true" outlineLevel="0" collapsed="false">
      <c r="A1259" s="95" t="str">
        <f aca="false">IF(AND(B1259="",C1259=""),"",ROW()-6)</f>
        <v/>
      </c>
      <c r="B1259" s="83"/>
      <c r="C1259" s="15"/>
      <c r="D1259" s="15"/>
      <c r="E1259" s="85"/>
      <c r="F1259" s="15"/>
      <c r="G1259" s="15"/>
      <c r="H1259" s="96"/>
      <c r="I1259" s="16"/>
      <c r="J1259" s="37" t="str">
        <f aca="false">IF(I1259="","",IF(H1259="",1,H1259)*I1259)</f>
        <v/>
      </c>
      <c r="K1259" s="15"/>
      <c r="L1259" s="97" t="str">
        <f aca="false">IF(C1259="","",IF(OR(C1259="Material",C1259="Equipo",C1259="Suministro"),"Materiales y equipos",IF(C1259="Mano de obra contratista","Mano de obra contratista",IF(C1259="Transporte","Transporte y otros","Alquileres"))))</f>
        <v/>
      </c>
      <c r="M1259" s="6"/>
    </row>
    <row r="1260" customFormat="false" ht="16.5" hidden="false" customHeight="true" outlineLevel="0" collapsed="false">
      <c r="A1260" s="95" t="str">
        <f aca="false">IF(AND(B1260="",C1260=""),"",ROW()-6)</f>
        <v/>
      </c>
      <c r="B1260" s="83"/>
      <c r="C1260" s="15"/>
      <c r="D1260" s="15"/>
      <c r="E1260" s="85"/>
      <c r="F1260" s="15"/>
      <c r="G1260" s="15"/>
      <c r="H1260" s="96"/>
      <c r="I1260" s="16"/>
      <c r="J1260" s="37" t="str">
        <f aca="false">IF(I1260="","",IF(H1260="",1,H1260)*I1260)</f>
        <v/>
      </c>
      <c r="K1260" s="15"/>
      <c r="L1260" s="97" t="str">
        <f aca="false">IF(C1260="","",IF(OR(C1260="Material",C1260="Equipo",C1260="Suministro"),"Materiales y equipos",IF(C1260="Mano de obra contratista","Mano de obra contratista",IF(C1260="Transporte","Transporte y otros","Alquileres"))))</f>
        <v/>
      </c>
      <c r="M1260" s="6"/>
    </row>
    <row r="1261" customFormat="false" ht="16.5" hidden="false" customHeight="true" outlineLevel="0" collapsed="false">
      <c r="A1261" s="95" t="str">
        <f aca="false">IF(AND(B1261="",C1261=""),"",ROW()-6)</f>
        <v/>
      </c>
      <c r="B1261" s="83"/>
      <c r="C1261" s="15"/>
      <c r="D1261" s="15"/>
      <c r="E1261" s="85"/>
      <c r="F1261" s="15"/>
      <c r="G1261" s="15"/>
      <c r="H1261" s="96"/>
      <c r="I1261" s="16"/>
      <c r="J1261" s="37" t="str">
        <f aca="false">IF(I1261="","",IF(H1261="",1,H1261)*I1261)</f>
        <v/>
      </c>
      <c r="K1261" s="15"/>
      <c r="L1261" s="97" t="str">
        <f aca="false">IF(C1261="","",IF(OR(C1261="Material",C1261="Equipo",C1261="Suministro"),"Materiales y equipos",IF(C1261="Mano de obra contratista","Mano de obra contratista",IF(C1261="Transporte","Transporte y otros","Alquileres"))))</f>
        <v/>
      </c>
      <c r="M1261" s="6"/>
    </row>
    <row r="1262" customFormat="false" ht="16.5" hidden="false" customHeight="true" outlineLevel="0" collapsed="false">
      <c r="A1262" s="95" t="str">
        <f aca="false">IF(AND(B1262="",C1262=""),"",ROW()-6)</f>
        <v/>
      </c>
      <c r="B1262" s="83"/>
      <c r="C1262" s="15"/>
      <c r="D1262" s="15"/>
      <c r="E1262" s="85"/>
      <c r="F1262" s="15"/>
      <c r="G1262" s="15"/>
      <c r="H1262" s="96"/>
      <c r="I1262" s="16"/>
      <c r="J1262" s="37" t="str">
        <f aca="false">IF(I1262="","",IF(H1262="",1,H1262)*I1262)</f>
        <v/>
      </c>
      <c r="K1262" s="15"/>
      <c r="L1262" s="97" t="str">
        <f aca="false">IF(C1262="","",IF(OR(C1262="Material",C1262="Equipo",C1262="Suministro"),"Materiales y equipos",IF(C1262="Mano de obra contratista","Mano de obra contratista",IF(C1262="Transporte","Transporte y otros","Alquileres"))))</f>
        <v/>
      </c>
      <c r="M1262" s="6"/>
    </row>
    <row r="1263" customFormat="false" ht="16.5" hidden="false" customHeight="true" outlineLevel="0" collapsed="false">
      <c r="A1263" s="95" t="str">
        <f aca="false">IF(AND(B1263="",C1263=""),"",ROW()-6)</f>
        <v/>
      </c>
      <c r="B1263" s="83"/>
      <c r="C1263" s="15"/>
      <c r="D1263" s="15"/>
      <c r="E1263" s="85"/>
      <c r="F1263" s="15"/>
      <c r="G1263" s="15"/>
      <c r="H1263" s="96"/>
      <c r="I1263" s="16"/>
      <c r="J1263" s="37" t="str">
        <f aca="false">IF(I1263="","",IF(H1263="",1,H1263)*I1263)</f>
        <v/>
      </c>
      <c r="K1263" s="15"/>
      <c r="L1263" s="97" t="str">
        <f aca="false">IF(C1263="","",IF(OR(C1263="Material",C1263="Equipo",C1263="Suministro"),"Materiales y equipos",IF(C1263="Mano de obra contratista","Mano de obra contratista",IF(C1263="Transporte","Transporte y otros","Alquileres"))))</f>
        <v/>
      </c>
      <c r="M1263" s="6"/>
    </row>
    <row r="1264" customFormat="false" ht="16.5" hidden="false" customHeight="true" outlineLevel="0" collapsed="false">
      <c r="A1264" s="95" t="str">
        <f aca="false">IF(AND(B1264="",C1264=""),"",ROW()-6)</f>
        <v/>
      </c>
      <c r="B1264" s="83"/>
      <c r="C1264" s="15"/>
      <c r="D1264" s="15"/>
      <c r="E1264" s="85"/>
      <c r="F1264" s="15"/>
      <c r="G1264" s="15"/>
      <c r="H1264" s="96"/>
      <c r="I1264" s="16"/>
      <c r="J1264" s="37" t="str">
        <f aca="false">IF(I1264="","",IF(H1264="",1,H1264)*I1264)</f>
        <v/>
      </c>
      <c r="K1264" s="15"/>
      <c r="L1264" s="97" t="str">
        <f aca="false">IF(C1264="","",IF(OR(C1264="Material",C1264="Equipo",C1264="Suministro"),"Materiales y equipos",IF(C1264="Mano de obra contratista","Mano de obra contratista",IF(C1264="Transporte","Transporte y otros","Alquileres"))))</f>
        <v/>
      </c>
      <c r="M1264" s="6"/>
    </row>
    <row r="1265" customFormat="false" ht="16.5" hidden="false" customHeight="true" outlineLevel="0" collapsed="false">
      <c r="A1265" s="95" t="str">
        <f aca="false">IF(AND(B1265="",C1265=""),"",ROW()-6)</f>
        <v/>
      </c>
      <c r="B1265" s="83"/>
      <c r="C1265" s="15"/>
      <c r="D1265" s="15"/>
      <c r="E1265" s="85"/>
      <c r="F1265" s="15"/>
      <c r="G1265" s="15"/>
      <c r="H1265" s="96"/>
      <c r="I1265" s="16"/>
      <c r="J1265" s="37" t="str">
        <f aca="false">IF(I1265="","",IF(H1265="",1,H1265)*I1265)</f>
        <v/>
      </c>
      <c r="K1265" s="15"/>
      <c r="L1265" s="97" t="str">
        <f aca="false">IF(C1265="","",IF(OR(C1265="Material",C1265="Equipo",C1265="Suministro"),"Materiales y equipos",IF(C1265="Mano de obra contratista","Mano de obra contratista",IF(C1265="Transporte","Transporte y otros","Alquileres"))))</f>
        <v/>
      </c>
      <c r="M1265" s="6"/>
    </row>
    <row r="1266" customFormat="false" ht="16.5" hidden="false" customHeight="true" outlineLevel="0" collapsed="false">
      <c r="A1266" s="95" t="str">
        <f aca="false">IF(AND(B1266="",C1266=""),"",ROW()-6)</f>
        <v/>
      </c>
      <c r="B1266" s="83"/>
      <c r="C1266" s="15"/>
      <c r="D1266" s="15"/>
      <c r="E1266" s="85"/>
      <c r="F1266" s="15"/>
      <c r="G1266" s="15"/>
      <c r="H1266" s="96"/>
      <c r="I1266" s="16"/>
      <c r="J1266" s="37" t="str">
        <f aca="false">IF(I1266="","",IF(H1266="",1,H1266)*I1266)</f>
        <v/>
      </c>
      <c r="K1266" s="15"/>
      <c r="L1266" s="97" t="str">
        <f aca="false">IF(C1266="","",IF(OR(C1266="Material",C1266="Equipo",C1266="Suministro"),"Materiales y equipos",IF(C1266="Mano de obra contratista","Mano de obra contratista",IF(C1266="Transporte","Transporte y otros","Alquileres"))))</f>
        <v/>
      </c>
      <c r="M1266" s="6"/>
    </row>
    <row r="1267" customFormat="false" ht="16.5" hidden="false" customHeight="true" outlineLevel="0" collapsed="false">
      <c r="A1267" s="95" t="str">
        <f aca="false">IF(AND(B1267="",C1267=""),"",ROW()-6)</f>
        <v/>
      </c>
      <c r="B1267" s="83"/>
      <c r="C1267" s="15"/>
      <c r="D1267" s="15"/>
      <c r="E1267" s="85"/>
      <c r="F1267" s="15"/>
      <c r="G1267" s="15"/>
      <c r="H1267" s="96"/>
      <c r="I1267" s="16"/>
      <c r="J1267" s="37" t="str">
        <f aca="false">IF(I1267="","",IF(H1267="",1,H1267)*I1267)</f>
        <v/>
      </c>
      <c r="K1267" s="15"/>
      <c r="L1267" s="97" t="str">
        <f aca="false">IF(C1267="","",IF(OR(C1267="Material",C1267="Equipo",C1267="Suministro"),"Materiales y equipos",IF(C1267="Mano de obra contratista","Mano de obra contratista",IF(C1267="Transporte","Transporte y otros","Alquileres"))))</f>
        <v/>
      </c>
      <c r="M1267" s="6"/>
    </row>
    <row r="1268" customFormat="false" ht="16.5" hidden="false" customHeight="true" outlineLevel="0" collapsed="false">
      <c r="A1268" s="95" t="str">
        <f aca="false">IF(AND(B1268="",C1268=""),"",ROW()-6)</f>
        <v/>
      </c>
      <c r="B1268" s="83"/>
      <c r="C1268" s="15"/>
      <c r="D1268" s="15"/>
      <c r="E1268" s="85"/>
      <c r="F1268" s="15"/>
      <c r="G1268" s="15"/>
      <c r="H1268" s="96"/>
      <c r="I1268" s="16"/>
      <c r="J1268" s="37" t="str">
        <f aca="false">IF(I1268="","",IF(H1268="",1,H1268)*I1268)</f>
        <v/>
      </c>
      <c r="K1268" s="15"/>
      <c r="L1268" s="97" t="str">
        <f aca="false">IF(C1268="","",IF(OR(C1268="Material",C1268="Equipo",C1268="Suministro"),"Materiales y equipos",IF(C1268="Mano de obra contratista","Mano de obra contratista",IF(C1268="Transporte","Transporte y otros","Alquileres"))))</f>
        <v/>
      </c>
      <c r="M1268" s="6"/>
    </row>
    <row r="1269" customFormat="false" ht="16.5" hidden="false" customHeight="true" outlineLevel="0" collapsed="false">
      <c r="A1269" s="95" t="str">
        <f aca="false">IF(AND(B1269="",C1269=""),"",ROW()-6)</f>
        <v/>
      </c>
      <c r="B1269" s="83"/>
      <c r="C1269" s="15"/>
      <c r="D1269" s="15"/>
      <c r="E1269" s="85"/>
      <c r="F1269" s="15"/>
      <c r="G1269" s="15"/>
      <c r="H1269" s="96"/>
      <c r="I1269" s="16"/>
      <c r="J1269" s="37" t="str">
        <f aca="false">IF(I1269="","",IF(H1269="",1,H1269)*I1269)</f>
        <v/>
      </c>
      <c r="K1269" s="15"/>
      <c r="L1269" s="97" t="str">
        <f aca="false">IF(C1269="","",IF(OR(C1269="Material",C1269="Equipo",C1269="Suministro"),"Materiales y equipos",IF(C1269="Mano de obra contratista","Mano de obra contratista",IF(C1269="Transporte","Transporte y otros","Alquileres"))))</f>
        <v/>
      </c>
      <c r="M1269" s="6"/>
    </row>
    <row r="1270" customFormat="false" ht="16.5" hidden="false" customHeight="true" outlineLevel="0" collapsed="false">
      <c r="A1270" s="95" t="str">
        <f aca="false">IF(AND(B1270="",C1270=""),"",ROW()-6)</f>
        <v/>
      </c>
      <c r="B1270" s="83"/>
      <c r="C1270" s="15"/>
      <c r="D1270" s="15"/>
      <c r="E1270" s="85"/>
      <c r="F1270" s="15"/>
      <c r="G1270" s="15"/>
      <c r="H1270" s="96"/>
      <c r="I1270" s="16"/>
      <c r="J1270" s="37" t="str">
        <f aca="false">IF(I1270="","",IF(H1270="",1,H1270)*I1270)</f>
        <v/>
      </c>
      <c r="K1270" s="15"/>
      <c r="L1270" s="97" t="str">
        <f aca="false">IF(C1270="","",IF(OR(C1270="Material",C1270="Equipo",C1270="Suministro"),"Materiales y equipos",IF(C1270="Mano de obra contratista","Mano de obra contratista",IF(C1270="Transporte","Transporte y otros","Alquileres"))))</f>
        <v/>
      </c>
      <c r="M1270" s="6"/>
    </row>
    <row r="1271" customFormat="false" ht="16.5" hidden="false" customHeight="true" outlineLevel="0" collapsed="false">
      <c r="A1271" s="95" t="str">
        <f aca="false">IF(AND(B1271="",C1271=""),"",ROW()-6)</f>
        <v/>
      </c>
      <c r="B1271" s="83"/>
      <c r="C1271" s="15"/>
      <c r="D1271" s="15"/>
      <c r="E1271" s="85"/>
      <c r="F1271" s="15"/>
      <c r="G1271" s="15"/>
      <c r="H1271" s="96"/>
      <c r="I1271" s="16"/>
      <c r="J1271" s="37" t="str">
        <f aca="false">IF(I1271="","",IF(H1271="",1,H1271)*I1271)</f>
        <v/>
      </c>
      <c r="K1271" s="15"/>
      <c r="L1271" s="97" t="str">
        <f aca="false">IF(C1271="","",IF(OR(C1271="Material",C1271="Equipo",C1271="Suministro"),"Materiales y equipos",IF(C1271="Mano de obra contratista","Mano de obra contratista",IF(C1271="Transporte","Transporte y otros","Alquileres"))))</f>
        <v/>
      </c>
      <c r="M1271" s="6"/>
    </row>
    <row r="1272" customFormat="false" ht="16.5" hidden="false" customHeight="true" outlineLevel="0" collapsed="false">
      <c r="A1272" s="95" t="str">
        <f aca="false">IF(AND(B1272="",C1272=""),"",ROW()-6)</f>
        <v/>
      </c>
      <c r="B1272" s="83"/>
      <c r="C1272" s="15"/>
      <c r="D1272" s="15"/>
      <c r="E1272" s="85"/>
      <c r="F1272" s="15"/>
      <c r="G1272" s="15"/>
      <c r="H1272" s="96"/>
      <c r="I1272" s="16"/>
      <c r="J1272" s="37" t="str">
        <f aca="false">IF(I1272="","",IF(H1272="",1,H1272)*I1272)</f>
        <v/>
      </c>
      <c r="K1272" s="15"/>
      <c r="L1272" s="97" t="str">
        <f aca="false">IF(C1272="","",IF(OR(C1272="Material",C1272="Equipo",C1272="Suministro"),"Materiales y equipos",IF(C1272="Mano de obra contratista","Mano de obra contratista",IF(C1272="Transporte","Transporte y otros","Alquileres"))))</f>
        <v/>
      </c>
      <c r="M1272" s="6"/>
    </row>
    <row r="1273" customFormat="false" ht="16.5" hidden="false" customHeight="true" outlineLevel="0" collapsed="false">
      <c r="A1273" s="95" t="str">
        <f aca="false">IF(AND(B1273="",C1273=""),"",ROW()-6)</f>
        <v/>
      </c>
      <c r="B1273" s="83"/>
      <c r="C1273" s="15"/>
      <c r="D1273" s="15"/>
      <c r="E1273" s="85"/>
      <c r="F1273" s="15"/>
      <c r="G1273" s="15"/>
      <c r="H1273" s="96"/>
      <c r="I1273" s="16"/>
      <c r="J1273" s="37" t="str">
        <f aca="false">IF(I1273="","",IF(H1273="",1,H1273)*I1273)</f>
        <v/>
      </c>
      <c r="K1273" s="15"/>
      <c r="L1273" s="97" t="str">
        <f aca="false">IF(C1273="","",IF(OR(C1273="Material",C1273="Equipo",C1273="Suministro"),"Materiales y equipos",IF(C1273="Mano de obra contratista","Mano de obra contratista",IF(C1273="Transporte","Transporte y otros","Alquileres"))))</f>
        <v/>
      </c>
      <c r="M1273" s="6"/>
    </row>
    <row r="1274" customFormat="false" ht="16.5" hidden="false" customHeight="true" outlineLevel="0" collapsed="false">
      <c r="A1274" s="95" t="str">
        <f aca="false">IF(AND(B1274="",C1274=""),"",ROW()-6)</f>
        <v/>
      </c>
      <c r="B1274" s="83"/>
      <c r="C1274" s="15"/>
      <c r="D1274" s="15"/>
      <c r="E1274" s="85"/>
      <c r="F1274" s="15"/>
      <c r="G1274" s="15"/>
      <c r="H1274" s="96"/>
      <c r="I1274" s="16"/>
      <c r="J1274" s="37" t="str">
        <f aca="false">IF(I1274="","",IF(H1274="",1,H1274)*I1274)</f>
        <v/>
      </c>
      <c r="K1274" s="15"/>
      <c r="L1274" s="97" t="str">
        <f aca="false">IF(C1274="","",IF(OR(C1274="Material",C1274="Equipo",C1274="Suministro"),"Materiales y equipos",IF(C1274="Mano de obra contratista","Mano de obra contratista",IF(C1274="Transporte","Transporte y otros","Alquileres"))))</f>
        <v/>
      </c>
      <c r="M1274" s="6"/>
    </row>
    <row r="1275" customFormat="false" ht="16.5" hidden="false" customHeight="true" outlineLevel="0" collapsed="false">
      <c r="A1275" s="95" t="str">
        <f aca="false">IF(AND(B1275="",C1275=""),"",ROW()-6)</f>
        <v/>
      </c>
      <c r="B1275" s="83"/>
      <c r="C1275" s="15"/>
      <c r="D1275" s="15"/>
      <c r="E1275" s="85"/>
      <c r="F1275" s="15"/>
      <c r="G1275" s="15"/>
      <c r="H1275" s="96"/>
      <c r="I1275" s="16"/>
      <c r="J1275" s="37" t="str">
        <f aca="false">IF(I1275="","",IF(H1275="",1,H1275)*I1275)</f>
        <v/>
      </c>
      <c r="K1275" s="15"/>
      <c r="L1275" s="97" t="str">
        <f aca="false">IF(C1275="","",IF(OR(C1275="Material",C1275="Equipo",C1275="Suministro"),"Materiales y equipos",IF(C1275="Mano de obra contratista","Mano de obra contratista",IF(C1275="Transporte","Transporte y otros","Alquileres"))))</f>
        <v/>
      </c>
      <c r="M1275" s="6"/>
    </row>
    <row r="1276" customFormat="false" ht="16.5" hidden="false" customHeight="true" outlineLevel="0" collapsed="false">
      <c r="A1276" s="95" t="str">
        <f aca="false">IF(AND(B1276="",C1276=""),"",ROW()-6)</f>
        <v/>
      </c>
      <c r="B1276" s="83"/>
      <c r="C1276" s="15"/>
      <c r="D1276" s="15"/>
      <c r="E1276" s="85"/>
      <c r="F1276" s="15"/>
      <c r="G1276" s="15"/>
      <c r="H1276" s="96"/>
      <c r="I1276" s="16"/>
      <c r="J1276" s="37" t="str">
        <f aca="false">IF(I1276="","",IF(H1276="",1,H1276)*I1276)</f>
        <v/>
      </c>
      <c r="K1276" s="15"/>
      <c r="L1276" s="97" t="str">
        <f aca="false">IF(C1276="","",IF(OR(C1276="Material",C1276="Equipo",C1276="Suministro"),"Materiales y equipos",IF(C1276="Mano de obra contratista","Mano de obra contratista",IF(C1276="Transporte","Transporte y otros","Alquileres"))))</f>
        <v/>
      </c>
      <c r="M1276" s="6"/>
    </row>
    <row r="1277" customFormat="false" ht="16.5" hidden="false" customHeight="true" outlineLevel="0" collapsed="false">
      <c r="A1277" s="95" t="str">
        <f aca="false">IF(AND(B1277="",C1277=""),"",ROW()-6)</f>
        <v/>
      </c>
      <c r="B1277" s="83"/>
      <c r="C1277" s="15"/>
      <c r="D1277" s="15"/>
      <c r="E1277" s="85"/>
      <c r="F1277" s="15"/>
      <c r="G1277" s="15"/>
      <c r="H1277" s="96"/>
      <c r="I1277" s="16"/>
      <c r="J1277" s="37" t="str">
        <f aca="false">IF(I1277="","",IF(H1277="",1,H1277)*I1277)</f>
        <v/>
      </c>
      <c r="K1277" s="15"/>
      <c r="L1277" s="97" t="str">
        <f aca="false">IF(C1277="","",IF(OR(C1277="Material",C1277="Equipo",C1277="Suministro"),"Materiales y equipos",IF(C1277="Mano de obra contratista","Mano de obra contratista",IF(C1277="Transporte","Transporte y otros","Alquileres"))))</f>
        <v/>
      </c>
      <c r="M1277" s="6"/>
    </row>
    <row r="1278" customFormat="false" ht="16.5" hidden="false" customHeight="true" outlineLevel="0" collapsed="false">
      <c r="A1278" s="95" t="str">
        <f aca="false">IF(AND(B1278="",C1278=""),"",ROW()-6)</f>
        <v/>
      </c>
      <c r="B1278" s="83"/>
      <c r="C1278" s="15"/>
      <c r="D1278" s="15"/>
      <c r="E1278" s="85"/>
      <c r="F1278" s="15"/>
      <c r="G1278" s="15"/>
      <c r="H1278" s="96"/>
      <c r="I1278" s="16"/>
      <c r="J1278" s="37" t="str">
        <f aca="false">IF(I1278="","",IF(H1278="",1,H1278)*I1278)</f>
        <v/>
      </c>
      <c r="K1278" s="15"/>
      <c r="L1278" s="97" t="str">
        <f aca="false">IF(C1278="","",IF(OR(C1278="Material",C1278="Equipo",C1278="Suministro"),"Materiales y equipos",IF(C1278="Mano de obra contratista","Mano de obra contratista",IF(C1278="Transporte","Transporte y otros","Alquileres"))))</f>
        <v/>
      </c>
      <c r="M1278" s="6"/>
    </row>
    <row r="1279" customFormat="false" ht="16.5" hidden="false" customHeight="true" outlineLevel="0" collapsed="false">
      <c r="A1279" s="95" t="str">
        <f aca="false">IF(AND(B1279="",C1279=""),"",ROW()-6)</f>
        <v/>
      </c>
      <c r="B1279" s="83"/>
      <c r="C1279" s="15"/>
      <c r="D1279" s="15"/>
      <c r="E1279" s="85"/>
      <c r="F1279" s="15"/>
      <c r="G1279" s="15"/>
      <c r="H1279" s="96"/>
      <c r="I1279" s="16"/>
      <c r="J1279" s="37" t="str">
        <f aca="false">IF(I1279="","",IF(H1279="",1,H1279)*I1279)</f>
        <v/>
      </c>
      <c r="K1279" s="15"/>
      <c r="L1279" s="97" t="str">
        <f aca="false">IF(C1279="","",IF(OR(C1279="Material",C1279="Equipo",C1279="Suministro"),"Materiales y equipos",IF(C1279="Mano de obra contratista","Mano de obra contratista",IF(C1279="Transporte","Transporte y otros","Alquileres"))))</f>
        <v/>
      </c>
      <c r="M1279" s="6"/>
    </row>
    <row r="1280" customFormat="false" ht="16.5" hidden="false" customHeight="true" outlineLevel="0" collapsed="false">
      <c r="A1280" s="95" t="str">
        <f aca="false">IF(AND(B1280="",C1280=""),"",ROW()-6)</f>
        <v/>
      </c>
      <c r="B1280" s="83"/>
      <c r="C1280" s="15"/>
      <c r="D1280" s="15"/>
      <c r="E1280" s="85"/>
      <c r="F1280" s="15"/>
      <c r="G1280" s="15"/>
      <c r="H1280" s="96"/>
      <c r="I1280" s="16"/>
      <c r="J1280" s="37" t="str">
        <f aca="false">IF(I1280="","",IF(H1280="",1,H1280)*I1280)</f>
        <v/>
      </c>
      <c r="K1280" s="15"/>
      <c r="L1280" s="97" t="str">
        <f aca="false">IF(C1280="","",IF(OR(C1280="Material",C1280="Equipo",C1280="Suministro"),"Materiales y equipos",IF(C1280="Mano de obra contratista","Mano de obra contratista",IF(C1280="Transporte","Transporte y otros","Alquileres"))))</f>
        <v/>
      </c>
      <c r="M1280" s="6"/>
    </row>
    <row r="1281" customFormat="false" ht="16.5" hidden="false" customHeight="true" outlineLevel="0" collapsed="false">
      <c r="A1281" s="95" t="str">
        <f aca="false">IF(AND(B1281="",C1281=""),"",ROW()-6)</f>
        <v/>
      </c>
      <c r="B1281" s="83"/>
      <c r="C1281" s="15"/>
      <c r="D1281" s="15"/>
      <c r="E1281" s="85"/>
      <c r="F1281" s="15"/>
      <c r="G1281" s="15"/>
      <c r="H1281" s="96"/>
      <c r="I1281" s="16"/>
      <c r="J1281" s="37" t="str">
        <f aca="false">IF(I1281="","",IF(H1281="",1,H1281)*I1281)</f>
        <v/>
      </c>
      <c r="K1281" s="15"/>
      <c r="L1281" s="97" t="str">
        <f aca="false">IF(C1281="","",IF(OR(C1281="Material",C1281="Equipo",C1281="Suministro"),"Materiales y equipos",IF(C1281="Mano de obra contratista","Mano de obra contratista",IF(C1281="Transporte","Transporte y otros","Alquileres"))))</f>
        <v/>
      </c>
      <c r="M1281" s="6"/>
    </row>
    <row r="1282" customFormat="false" ht="16.5" hidden="false" customHeight="true" outlineLevel="0" collapsed="false">
      <c r="A1282" s="95" t="str">
        <f aca="false">IF(AND(B1282="",C1282=""),"",ROW()-6)</f>
        <v/>
      </c>
      <c r="B1282" s="83"/>
      <c r="C1282" s="15"/>
      <c r="D1282" s="15"/>
      <c r="E1282" s="85"/>
      <c r="F1282" s="15"/>
      <c r="G1282" s="15"/>
      <c r="H1282" s="96"/>
      <c r="I1282" s="16"/>
      <c r="J1282" s="37" t="str">
        <f aca="false">IF(I1282="","",IF(H1282="",1,H1282)*I1282)</f>
        <v/>
      </c>
      <c r="K1282" s="15"/>
      <c r="L1282" s="97" t="str">
        <f aca="false">IF(C1282="","",IF(OR(C1282="Material",C1282="Equipo",C1282="Suministro"),"Materiales y equipos",IF(C1282="Mano de obra contratista","Mano de obra contratista",IF(C1282="Transporte","Transporte y otros","Alquileres"))))</f>
        <v/>
      </c>
      <c r="M1282" s="6"/>
    </row>
    <row r="1283" customFormat="false" ht="16.5" hidden="false" customHeight="true" outlineLevel="0" collapsed="false">
      <c r="A1283" s="95" t="str">
        <f aca="false">IF(AND(B1283="",C1283=""),"",ROW()-6)</f>
        <v/>
      </c>
      <c r="B1283" s="83"/>
      <c r="C1283" s="15"/>
      <c r="D1283" s="15"/>
      <c r="E1283" s="85"/>
      <c r="F1283" s="15"/>
      <c r="G1283" s="15"/>
      <c r="H1283" s="96"/>
      <c r="I1283" s="16"/>
      <c r="J1283" s="37" t="str">
        <f aca="false">IF(I1283="","",IF(H1283="",1,H1283)*I1283)</f>
        <v/>
      </c>
      <c r="K1283" s="15"/>
      <c r="L1283" s="97" t="str">
        <f aca="false">IF(C1283="","",IF(OR(C1283="Material",C1283="Equipo",C1283="Suministro"),"Materiales y equipos",IF(C1283="Mano de obra contratista","Mano de obra contratista",IF(C1283="Transporte","Transporte y otros","Alquileres"))))</f>
        <v/>
      </c>
      <c r="M1283" s="6"/>
    </row>
    <row r="1284" customFormat="false" ht="16.5" hidden="false" customHeight="true" outlineLevel="0" collapsed="false">
      <c r="A1284" s="95" t="str">
        <f aca="false">IF(AND(B1284="",C1284=""),"",ROW()-6)</f>
        <v/>
      </c>
      <c r="B1284" s="83"/>
      <c r="C1284" s="15"/>
      <c r="D1284" s="15"/>
      <c r="E1284" s="85"/>
      <c r="F1284" s="15"/>
      <c r="G1284" s="15"/>
      <c r="H1284" s="96"/>
      <c r="I1284" s="16"/>
      <c r="J1284" s="37" t="str">
        <f aca="false">IF(I1284="","",IF(H1284="",1,H1284)*I1284)</f>
        <v/>
      </c>
      <c r="K1284" s="15"/>
      <c r="L1284" s="97" t="str">
        <f aca="false">IF(C1284="","",IF(OR(C1284="Material",C1284="Equipo",C1284="Suministro"),"Materiales y equipos",IF(C1284="Mano de obra contratista","Mano de obra contratista",IF(C1284="Transporte","Transporte y otros","Alquileres"))))</f>
        <v/>
      </c>
      <c r="M1284" s="6"/>
    </row>
    <row r="1285" customFormat="false" ht="16.5" hidden="false" customHeight="true" outlineLevel="0" collapsed="false">
      <c r="A1285" s="95" t="str">
        <f aca="false">IF(AND(B1285="",C1285=""),"",ROW()-6)</f>
        <v/>
      </c>
      <c r="B1285" s="83"/>
      <c r="C1285" s="15"/>
      <c r="D1285" s="15"/>
      <c r="E1285" s="85"/>
      <c r="F1285" s="15"/>
      <c r="G1285" s="15"/>
      <c r="H1285" s="96"/>
      <c r="I1285" s="16"/>
      <c r="J1285" s="37" t="str">
        <f aca="false">IF(I1285="","",IF(H1285="",1,H1285)*I1285)</f>
        <v/>
      </c>
      <c r="K1285" s="15"/>
      <c r="L1285" s="97" t="str">
        <f aca="false">IF(C1285="","",IF(OR(C1285="Material",C1285="Equipo",C1285="Suministro"),"Materiales y equipos",IF(C1285="Mano de obra contratista","Mano de obra contratista",IF(C1285="Transporte","Transporte y otros","Alquileres"))))</f>
        <v/>
      </c>
      <c r="M1285" s="6"/>
    </row>
    <row r="1286" customFormat="false" ht="16.5" hidden="false" customHeight="true" outlineLevel="0" collapsed="false">
      <c r="A1286" s="95" t="str">
        <f aca="false">IF(AND(B1286="",C1286=""),"",ROW()-6)</f>
        <v/>
      </c>
      <c r="B1286" s="83"/>
      <c r="C1286" s="15"/>
      <c r="D1286" s="15"/>
      <c r="E1286" s="85"/>
      <c r="F1286" s="15"/>
      <c r="G1286" s="15"/>
      <c r="H1286" s="96"/>
      <c r="I1286" s="16"/>
      <c r="J1286" s="37" t="str">
        <f aca="false">IF(I1286="","",IF(H1286="",1,H1286)*I1286)</f>
        <v/>
      </c>
      <c r="K1286" s="15"/>
      <c r="L1286" s="97" t="str">
        <f aca="false">IF(C1286="","",IF(OR(C1286="Material",C1286="Equipo",C1286="Suministro"),"Materiales y equipos",IF(C1286="Mano de obra contratista","Mano de obra contratista",IF(C1286="Transporte","Transporte y otros","Alquileres"))))</f>
        <v/>
      </c>
      <c r="M1286" s="6"/>
    </row>
    <row r="1287" customFormat="false" ht="16.5" hidden="false" customHeight="true" outlineLevel="0" collapsed="false">
      <c r="A1287" s="95" t="str">
        <f aca="false">IF(AND(B1287="",C1287=""),"",ROW()-6)</f>
        <v/>
      </c>
      <c r="B1287" s="83"/>
      <c r="C1287" s="15"/>
      <c r="D1287" s="15"/>
      <c r="E1287" s="85"/>
      <c r="F1287" s="15"/>
      <c r="G1287" s="15"/>
      <c r="H1287" s="96"/>
      <c r="I1287" s="16"/>
      <c r="J1287" s="37" t="str">
        <f aca="false">IF(I1287="","",IF(H1287="",1,H1287)*I1287)</f>
        <v/>
      </c>
      <c r="K1287" s="15"/>
      <c r="L1287" s="97" t="str">
        <f aca="false">IF(C1287="","",IF(OR(C1287="Material",C1287="Equipo",C1287="Suministro"),"Materiales y equipos",IF(C1287="Mano de obra contratista","Mano de obra contratista",IF(C1287="Transporte","Transporte y otros","Alquileres"))))</f>
        <v/>
      </c>
      <c r="M1287" s="6"/>
    </row>
    <row r="1288" customFormat="false" ht="16.5" hidden="false" customHeight="true" outlineLevel="0" collapsed="false">
      <c r="A1288" s="95" t="str">
        <f aca="false">IF(AND(B1288="",C1288=""),"",ROW()-6)</f>
        <v/>
      </c>
      <c r="B1288" s="83"/>
      <c r="C1288" s="15"/>
      <c r="D1288" s="15"/>
      <c r="E1288" s="85"/>
      <c r="F1288" s="15"/>
      <c r="G1288" s="15"/>
      <c r="H1288" s="96"/>
      <c r="I1288" s="16"/>
      <c r="J1288" s="37" t="str">
        <f aca="false">IF(I1288="","",IF(H1288="",1,H1288)*I1288)</f>
        <v/>
      </c>
      <c r="K1288" s="15"/>
      <c r="L1288" s="97" t="str">
        <f aca="false">IF(C1288="","",IF(OR(C1288="Material",C1288="Equipo",C1288="Suministro"),"Materiales y equipos",IF(C1288="Mano de obra contratista","Mano de obra contratista",IF(C1288="Transporte","Transporte y otros","Alquileres"))))</f>
        <v/>
      </c>
      <c r="M1288" s="6"/>
    </row>
    <row r="1289" customFormat="false" ht="16.5" hidden="false" customHeight="true" outlineLevel="0" collapsed="false">
      <c r="A1289" s="95" t="str">
        <f aca="false">IF(AND(B1289="",C1289=""),"",ROW()-6)</f>
        <v/>
      </c>
      <c r="B1289" s="83"/>
      <c r="C1289" s="15"/>
      <c r="D1289" s="15"/>
      <c r="E1289" s="85"/>
      <c r="F1289" s="15"/>
      <c r="G1289" s="15"/>
      <c r="H1289" s="96"/>
      <c r="I1289" s="16"/>
      <c r="J1289" s="37" t="str">
        <f aca="false">IF(I1289="","",IF(H1289="",1,H1289)*I1289)</f>
        <v/>
      </c>
      <c r="K1289" s="15"/>
      <c r="L1289" s="97" t="str">
        <f aca="false">IF(C1289="","",IF(OR(C1289="Material",C1289="Equipo",C1289="Suministro"),"Materiales y equipos",IF(C1289="Mano de obra contratista","Mano de obra contratista",IF(C1289="Transporte","Transporte y otros","Alquileres"))))</f>
        <v/>
      </c>
      <c r="M1289" s="6"/>
    </row>
    <row r="1290" customFormat="false" ht="16.5" hidden="false" customHeight="true" outlineLevel="0" collapsed="false">
      <c r="A1290" s="95" t="str">
        <f aca="false">IF(AND(B1290="",C1290=""),"",ROW()-6)</f>
        <v/>
      </c>
      <c r="B1290" s="83"/>
      <c r="C1290" s="15"/>
      <c r="D1290" s="15"/>
      <c r="E1290" s="85"/>
      <c r="F1290" s="15"/>
      <c r="G1290" s="15"/>
      <c r="H1290" s="96"/>
      <c r="I1290" s="16"/>
      <c r="J1290" s="37" t="str">
        <f aca="false">IF(I1290="","",IF(H1290="",1,H1290)*I1290)</f>
        <v/>
      </c>
      <c r="K1290" s="15"/>
      <c r="L1290" s="97" t="str">
        <f aca="false">IF(C1290="","",IF(OR(C1290="Material",C1290="Equipo",C1290="Suministro"),"Materiales y equipos",IF(C1290="Mano de obra contratista","Mano de obra contratista",IF(C1290="Transporte","Transporte y otros","Alquileres"))))</f>
        <v/>
      </c>
      <c r="M1290" s="6"/>
    </row>
    <row r="1291" customFormat="false" ht="16.5" hidden="false" customHeight="true" outlineLevel="0" collapsed="false">
      <c r="A1291" s="95" t="str">
        <f aca="false">IF(AND(B1291="",C1291=""),"",ROW()-6)</f>
        <v/>
      </c>
      <c r="B1291" s="83"/>
      <c r="C1291" s="15"/>
      <c r="D1291" s="15"/>
      <c r="E1291" s="85"/>
      <c r="F1291" s="15"/>
      <c r="G1291" s="15"/>
      <c r="H1291" s="96"/>
      <c r="I1291" s="16"/>
      <c r="J1291" s="37" t="str">
        <f aca="false">IF(I1291="","",IF(H1291="",1,H1291)*I1291)</f>
        <v/>
      </c>
      <c r="K1291" s="15"/>
      <c r="L1291" s="97" t="str">
        <f aca="false">IF(C1291="","",IF(OR(C1291="Material",C1291="Equipo",C1291="Suministro"),"Materiales y equipos",IF(C1291="Mano de obra contratista","Mano de obra contratista",IF(C1291="Transporte","Transporte y otros","Alquileres"))))</f>
        <v/>
      </c>
      <c r="M1291" s="6"/>
    </row>
    <row r="1292" customFormat="false" ht="16.5" hidden="false" customHeight="true" outlineLevel="0" collapsed="false">
      <c r="A1292" s="95" t="str">
        <f aca="false">IF(AND(B1292="",C1292=""),"",ROW()-6)</f>
        <v/>
      </c>
      <c r="B1292" s="83"/>
      <c r="C1292" s="15"/>
      <c r="D1292" s="15"/>
      <c r="E1292" s="85"/>
      <c r="F1292" s="15"/>
      <c r="G1292" s="15"/>
      <c r="H1292" s="96"/>
      <c r="I1292" s="16"/>
      <c r="J1292" s="37" t="str">
        <f aca="false">IF(I1292="","",IF(H1292="",1,H1292)*I1292)</f>
        <v/>
      </c>
      <c r="K1292" s="15"/>
      <c r="L1292" s="97" t="str">
        <f aca="false">IF(C1292="","",IF(OR(C1292="Material",C1292="Equipo",C1292="Suministro"),"Materiales y equipos",IF(C1292="Mano de obra contratista","Mano de obra contratista",IF(C1292="Transporte","Transporte y otros","Alquileres"))))</f>
        <v/>
      </c>
      <c r="M1292" s="6"/>
    </row>
    <row r="1293" customFormat="false" ht="16.5" hidden="false" customHeight="true" outlineLevel="0" collapsed="false">
      <c r="A1293" s="95" t="str">
        <f aca="false">IF(AND(B1293="",C1293=""),"",ROW()-6)</f>
        <v/>
      </c>
      <c r="B1293" s="83"/>
      <c r="C1293" s="15"/>
      <c r="D1293" s="15"/>
      <c r="E1293" s="85"/>
      <c r="F1293" s="15"/>
      <c r="G1293" s="15"/>
      <c r="H1293" s="96"/>
      <c r="I1293" s="16"/>
      <c r="J1293" s="37" t="str">
        <f aca="false">IF(I1293="","",IF(H1293="",1,H1293)*I1293)</f>
        <v/>
      </c>
      <c r="K1293" s="15"/>
      <c r="L1293" s="97" t="str">
        <f aca="false">IF(C1293="","",IF(OR(C1293="Material",C1293="Equipo",C1293="Suministro"),"Materiales y equipos",IF(C1293="Mano de obra contratista","Mano de obra contratista",IF(C1293="Transporte","Transporte y otros","Alquileres"))))</f>
        <v/>
      </c>
      <c r="M1293" s="6"/>
    </row>
    <row r="1294" customFormat="false" ht="16.5" hidden="false" customHeight="true" outlineLevel="0" collapsed="false">
      <c r="A1294" s="95" t="str">
        <f aca="false">IF(AND(B1294="",C1294=""),"",ROW()-6)</f>
        <v/>
      </c>
      <c r="B1294" s="83"/>
      <c r="C1294" s="15"/>
      <c r="D1294" s="15"/>
      <c r="E1294" s="85"/>
      <c r="F1294" s="15"/>
      <c r="G1294" s="15"/>
      <c r="H1294" s="96"/>
      <c r="I1294" s="16"/>
      <c r="J1294" s="37" t="str">
        <f aca="false">IF(I1294="","",IF(H1294="",1,H1294)*I1294)</f>
        <v/>
      </c>
      <c r="K1294" s="15"/>
      <c r="L1294" s="97" t="str">
        <f aca="false">IF(C1294="","",IF(OR(C1294="Material",C1294="Equipo",C1294="Suministro"),"Materiales y equipos",IF(C1294="Mano de obra contratista","Mano de obra contratista",IF(C1294="Transporte","Transporte y otros","Alquileres"))))</f>
        <v/>
      </c>
      <c r="M1294" s="6"/>
    </row>
    <row r="1295" customFormat="false" ht="16.5" hidden="false" customHeight="true" outlineLevel="0" collapsed="false">
      <c r="A1295" s="95" t="str">
        <f aca="false">IF(AND(B1295="",C1295=""),"",ROW()-6)</f>
        <v/>
      </c>
      <c r="B1295" s="83"/>
      <c r="C1295" s="15"/>
      <c r="D1295" s="15"/>
      <c r="E1295" s="85"/>
      <c r="F1295" s="15"/>
      <c r="G1295" s="15"/>
      <c r="H1295" s="96"/>
      <c r="I1295" s="16"/>
      <c r="J1295" s="37" t="str">
        <f aca="false">IF(I1295="","",IF(H1295="",1,H1295)*I1295)</f>
        <v/>
      </c>
      <c r="K1295" s="15"/>
      <c r="L1295" s="97" t="str">
        <f aca="false">IF(C1295="","",IF(OR(C1295="Material",C1295="Equipo",C1295="Suministro"),"Materiales y equipos",IF(C1295="Mano de obra contratista","Mano de obra contratista",IF(C1295="Transporte","Transporte y otros","Alquileres"))))</f>
        <v/>
      </c>
      <c r="M1295" s="6"/>
    </row>
    <row r="1296" customFormat="false" ht="16.5" hidden="false" customHeight="true" outlineLevel="0" collapsed="false">
      <c r="A1296" s="95" t="str">
        <f aca="false">IF(AND(B1296="",C1296=""),"",ROW()-6)</f>
        <v/>
      </c>
      <c r="B1296" s="83"/>
      <c r="C1296" s="15"/>
      <c r="D1296" s="15"/>
      <c r="E1296" s="85"/>
      <c r="F1296" s="15"/>
      <c r="G1296" s="15"/>
      <c r="H1296" s="96"/>
      <c r="I1296" s="16"/>
      <c r="J1296" s="37" t="str">
        <f aca="false">IF(I1296="","",IF(H1296="",1,H1296)*I1296)</f>
        <v/>
      </c>
      <c r="K1296" s="15"/>
      <c r="L1296" s="97" t="str">
        <f aca="false">IF(C1296="","",IF(OR(C1296="Material",C1296="Equipo",C1296="Suministro"),"Materiales y equipos",IF(C1296="Mano de obra contratista","Mano de obra contratista",IF(C1296="Transporte","Transporte y otros","Alquileres"))))</f>
        <v/>
      </c>
      <c r="M1296" s="6"/>
    </row>
    <row r="1297" customFormat="false" ht="16.5" hidden="false" customHeight="true" outlineLevel="0" collapsed="false">
      <c r="A1297" s="95" t="str">
        <f aca="false">IF(AND(B1297="",C1297=""),"",ROW()-6)</f>
        <v/>
      </c>
      <c r="B1297" s="83"/>
      <c r="C1297" s="15"/>
      <c r="D1297" s="15"/>
      <c r="E1297" s="85"/>
      <c r="F1297" s="15"/>
      <c r="G1297" s="15"/>
      <c r="H1297" s="96"/>
      <c r="I1297" s="16"/>
      <c r="J1297" s="37" t="str">
        <f aca="false">IF(I1297="","",IF(H1297="",1,H1297)*I1297)</f>
        <v/>
      </c>
      <c r="K1297" s="15"/>
      <c r="L1297" s="97" t="str">
        <f aca="false">IF(C1297="","",IF(OR(C1297="Material",C1297="Equipo",C1297="Suministro"),"Materiales y equipos",IF(C1297="Mano de obra contratista","Mano de obra contratista",IF(C1297="Transporte","Transporte y otros","Alquileres"))))</f>
        <v/>
      </c>
      <c r="M1297" s="6"/>
    </row>
    <row r="1298" customFormat="false" ht="16.5" hidden="false" customHeight="true" outlineLevel="0" collapsed="false">
      <c r="A1298" s="95" t="str">
        <f aca="false">IF(AND(B1298="",C1298=""),"",ROW()-6)</f>
        <v/>
      </c>
      <c r="B1298" s="83"/>
      <c r="C1298" s="15"/>
      <c r="D1298" s="15"/>
      <c r="E1298" s="85"/>
      <c r="F1298" s="15"/>
      <c r="G1298" s="15"/>
      <c r="H1298" s="96"/>
      <c r="I1298" s="16"/>
      <c r="J1298" s="37" t="str">
        <f aca="false">IF(I1298="","",IF(H1298="",1,H1298)*I1298)</f>
        <v/>
      </c>
      <c r="K1298" s="15"/>
      <c r="L1298" s="97" t="str">
        <f aca="false">IF(C1298="","",IF(OR(C1298="Material",C1298="Equipo",C1298="Suministro"),"Materiales y equipos",IF(C1298="Mano de obra contratista","Mano de obra contratista",IF(C1298="Transporte","Transporte y otros","Alquileres"))))</f>
        <v/>
      </c>
      <c r="M1298" s="6"/>
    </row>
    <row r="1299" customFormat="false" ht="16.5" hidden="false" customHeight="true" outlineLevel="0" collapsed="false">
      <c r="A1299" s="95" t="str">
        <f aca="false">IF(AND(B1299="",C1299=""),"",ROW()-6)</f>
        <v/>
      </c>
      <c r="B1299" s="83"/>
      <c r="C1299" s="15"/>
      <c r="D1299" s="15"/>
      <c r="E1299" s="85"/>
      <c r="F1299" s="15"/>
      <c r="G1299" s="15"/>
      <c r="H1299" s="96"/>
      <c r="I1299" s="16"/>
      <c r="J1299" s="37" t="str">
        <f aca="false">IF(I1299="","",IF(H1299="",1,H1299)*I1299)</f>
        <v/>
      </c>
      <c r="K1299" s="15"/>
      <c r="L1299" s="97" t="str">
        <f aca="false">IF(C1299="","",IF(OR(C1299="Material",C1299="Equipo",C1299="Suministro"),"Materiales y equipos",IF(C1299="Mano de obra contratista","Mano de obra contratista",IF(C1299="Transporte","Transporte y otros","Alquileres"))))</f>
        <v/>
      </c>
      <c r="M1299" s="6"/>
    </row>
    <row r="1300" customFormat="false" ht="16.5" hidden="false" customHeight="true" outlineLevel="0" collapsed="false">
      <c r="A1300" s="95" t="str">
        <f aca="false">IF(AND(B1300="",C1300=""),"",ROW()-6)</f>
        <v/>
      </c>
      <c r="B1300" s="83"/>
      <c r="C1300" s="15"/>
      <c r="D1300" s="15"/>
      <c r="E1300" s="85"/>
      <c r="F1300" s="15"/>
      <c r="G1300" s="15"/>
      <c r="H1300" s="96"/>
      <c r="I1300" s="16"/>
      <c r="J1300" s="37" t="str">
        <f aca="false">IF(I1300="","",IF(H1300="",1,H1300)*I1300)</f>
        <v/>
      </c>
      <c r="K1300" s="15"/>
      <c r="L1300" s="97" t="str">
        <f aca="false">IF(C1300="","",IF(OR(C1300="Material",C1300="Equipo",C1300="Suministro"),"Materiales y equipos",IF(C1300="Mano de obra contratista","Mano de obra contratista",IF(C1300="Transporte","Transporte y otros","Alquileres"))))</f>
        <v/>
      </c>
      <c r="M1300" s="6"/>
    </row>
    <row r="1301" customFormat="false" ht="16.5" hidden="false" customHeight="true" outlineLevel="0" collapsed="false">
      <c r="A1301" s="95" t="str">
        <f aca="false">IF(AND(B1301="",C1301=""),"",ROW()-6)</f>
        <v/>
      </c>
      <c r="B1301" s="83"/>
      <c r="C1301" s="15"/>
      <c r="D1301" s="15"/>
      <c r="E1301" s="85"/>
      <c r="F1301" s="15"/>
      <c r="G1301" s="15"/>
      <c r="H1301" s="96"/>
      <c r="I1301" s="16"/>
      <c r="J1301" s="37" t="str">
        <f aca="false">IF(I1301="","",IF(H1301="",1,H1301)*I1301)</f>
        <v/>
      </c>
      <c r="K1301" s="15"/>
      <c r="L1301" s="97" t="str">
        <f aca="false">IF(C1301="","",IF(OR(C1301="Material",C1301="Equipo",C1301="Suministro"),"Materiales y equipos",IF(C1301="Mano de obra contratista","Mano de obra contratista",IF(C1301="Transporte","Transporte y otros","Alquileres"))))</f>
        <v/>
      </c>
      <c r="M1301" s="6"/>
    </row>
    <row r="1302" customFormat="false" ht="16.5" hidden="false" customHeight="true" outlineLevel="0" collapsed="false">
      <c r="A1302" s="95" t="str">
        <f aca="false">IF(AND(B1302="",C1302=""),"",ROW()-6)</f>
        <v/>
      </c>
      <c r="B1302" s="83"/>
      <c r="C1302" s="15"/>
      <c r="D1302" s="15"/>
      <c r="E1302" s="85"/>
      <c r="F1302" s="15"/>
      <c r="G1302" s="15"/>
      <c r="H1302" s="96"/>
      <c r="I1302" s="16"/>
      <c r="J1302" s="37" t="str">
        <f aca="false">IF(I1302="","",IF(H1302="",1,H1302)*I1302)</f>
        <v/>
      </c>
      <c r="K1302" s="15"/>
      <c r="L1302" s="97" t="str">
        <f aca="false">IF(C1302="","",IF(OR(C1302="Material",C1302="Equipo",C1302="Suministro"),"Materiales y equipos",IF(C1302="Mano de obra contratista","Mano de obra contratista",IF(C1302="Transporte","Transporte y otros","Alquileres"))))</f>
        <v/>
      </c>
      <c r="M1302" s="6"/>
    </row>
    <row r="1303" customFormat="false" ht="16.5" hidden="false" customHeight="true" outlineLevel="0" collapsed="false">
      <c r="A1303" s="95" t="str">
        <f aca="false">IF(AND(B1303="",C1303=""),"",ROW()-6)</f>
        <v/>
      </c>
      <c r="B1303" s="83"/>
      <c r="C1303" s="15"/>
      <c r="D1303" s="15"/>
      <c r="E1303" s="85"/>
      <c r="F1303" s="15"/>
      <c r="G1303" s="15"/>
      <c r="H1303" s="96"/>
      <c r="I1303" s="16"/>
      <c r="J1303" s="37" t="str">
        <f aca="false">IF(I1303="","",IF(H1303="",1,H1303)*I1303)</f>
        <v/>
      </c>
      <c r="K1303" s="15"/>
      <c r="L1303" s="97" t="str">
        <f aca="false">IF(C1303="","",IF(OR(C1303="Material",C1303="Equipo",C1303="Suministro"),"Materiales y equipos",IF(C1303="Mano de obra contratista","Mano de obra contratista",IF(C1303="Transporte","Transporte y otros","Alquileres"))))</f>
        <v/>
      </c>
      <c r="M1303" s="6"/>
    </row>
    <row r="1304" customFormat="false" ht="16.5" hidden="false" customHeight="true" outlineLevel="0" collapsed="false">
      <c r="A1304" s="95" t="str">
        <f aca="false">IF(AND(B1304="",C1304=""),"",ROW()-6)</f>
        <v/>
      </c>
      <c r="B1304" s="83"/>
      <c r="C1304" s="15"/>
      <c r="D1304" s="15"/>
      <c r="E1304" s="85"/>
      <c r="F1304" s="15"/>
      <c r="G1304" s="15"/>
      <c r="H1304" s="96"/>
      <c r="I1304" s="16"/>
      <c r="J1304" s="37" t="str">
        <f aca="false">IF(I1304="","",IF(H1304="",1,H1304)*I1304)</f>
        <v/>
      </c>
      <c r="K1304" s="15"/>
      <c r="L1304" s="97" t="str">
        <f aca="false">IF(C1304="","",IF(OR(C1304="Material",C1304="Equipo",C1304="Suministro"),"Materiales y equipos",IF(C1304="Mano de obra contratista","Mano de obra contratista",IF(C1304="Transporte","Transporte y otros","Alquileres"))))</f>
        <v/>
      </c>
      <c r="M1304" s="6"/>
    </row>
    <row r="1305" customFormat="false" ht="16.5" hidden="false" customHeight="true" outlineLevel="0" collapsed="false">
      <c r="A1305" s="95" t="str">
        <f aca="false">IF(AND(B1305="",C1305=""),"",ROW()-6)</f>
        <v/>
      </c>
      <c r="B1305" s="83"/>
      <c r="C1305" s="15"/>
      <c r="D1305" s="15"/>
      <c r="E1305" s="85"/>
      <c r="F1305" s="15"/>
      <c r="G1305" s="15"/>
      <c r="H1305" s="96"/>
      <c r="I1305" s="16"/>
      <c r="J1305" s="37" t="str">
        <f aca="false">IF(I1305="","",IF(H1305="",1,H1305)*I1305)</f>
        <v/>
      </c>
      <c r="K1305" s="15"/>
      <c r="L1305" s="97" t="str">
        <f aca="false">IF(C1305="","",IF(OR(C1305="Material",C1305="Equipo",C1305="Suministro"),"Materiales y equipos",IF(C1305="Mano de obra contratista","Mano de obra contratista",IF(C1305="Transporte","Transporte y otros","Alquileres"))))</f>
        <v/>
      </c>
      <c r="M1305" s="6"/>
    </row>
    <row r="1306" customFormat="false" ht="16.5" hidden="false" customHeight="true" outlineLevel="0" collapsed="false">
      <c r="A1306" s="95" t="str">
        <f aca="false">IF(AND(B1306="",C1306=""),"",ROW()-6)</f>
        <v/>
      </c>
      <c r="B1306" s="83"/>
      <c r="C1306" s="15"/>
      <c r="D1306" s="15"/>
      <c r="E1306" s="85"/>
      <c r="F1306" s="15"/>
      <c r="G1306" s="15"/>
      <c r="H1306" s="96"/>
      <c r="I1306" s="16"/>
      <c r="J1306" s="37" t="str">
        <f aca="false">IF(I1306="","",IF(H1306="",1,H1306)*I1306)</f>
        <v/>
      </c>
      <c r="K1306" s="15"/>
      <c r="L1306" s="97" t="str">
        <f aca="false">IF(C1306="","",IF(OR(C1306="Material",C1306="Equipo",C1306="Suministro"),"Materiales y equipos",IF(C1306="Mano de obra contratista","Mano de obra contratista",IF(C1306="Transporte","Transporte y otros","Alquileres"))))</f>
        <v/>
      </c>
      <c r="M1306" s="6"/>
    </row>
    <row r="1307" customFormat="false" ht="16.5" hidden="false" customHeight="true" outlineLevel="0" collapsed="false">
      <c r="A1307" s="95" t="str">
        <f aca="false">IF(AND(B1307="",C1307=""),"",ROW()-6)</f>
        <v/>
      </c>
      <c r="B1307" s="83"/>
      <c r="C1307" s="15"/>
      <c r="D1307" s="15"/>
      <c r="E1307" s="85"/>
      <c r="F1307" s="15"/>
      <c r="G1307" s="15"/>
      <c r="H1307" s="96"/>
      <c r="I1307" s="16"/>
      <c r="J1307" s="37" t="str">
        <f aca="false">IF(I1307="","",IF(H1307="",1,H1307)*I1307)</f>
        <v/>
      </c>
      <c r="K1307" s="15"/>
      <c r="L1307" s="97" t="str">
        <f aca="false">IF(C1307="","",IF(OR(C1307="Material",C1307="Equipo",C1307="Suministro"),"Materiales y equipos",IF(C1307="Mano de obra contratista","Mano de obra contratista",IF(C1307="Transporte","Transporte y otros","Alquileres"))))</f>
        <v/>
      </c>
      <c r="M1307" s="6"/>
    </row>
    <row r="1308" customFormat="false" ht="16.5" hidden="false" customHeight="true" outlineLevel="0" collapsed="false">
      <c r="A1308" s="95" t="str">
        <f aca="false">IF(AND(B1308="",C1308=""),"",ROW()-6)</f>
        <v/>
      </c>
      <c r="B1308" s="83"/>
      <c r="C1308" s="15"/>
      <c r="D1308" s="15"/>
      <c r="E1308" s="85"/>
      <c r="F1308" s="15"/>
      <c r="G1308" s="15"/>
      <c r="H1308" s="96"/>
      <c r="I1308" s="16"/>
      <c r="J1308" s="37" t="str">
        <f aca="false">IF(I1308="","",IF(H1308="",1,H1308)*I1308)</f>
        <v/>
      </c>
      <c r="K1308" s="15"/>
      <c r="L1308" s="97" t="str">
        <f aca="false">IF(C1308="","",IF(OR(C1308="Material",C1308="Equipo",C1308="Suministro"),"Materiales y equipos",IF(C1308="Mano de obra contratista","Mano de obra contratista",IF(C1308="Transporte","Transporte y otros","Alquileres"))))</f>
        <v/>
      </c>
      <c r="M1308" s="6"/>
    </row>
    <row r="1309" customFormat="false" ht="16.5" hidden="false" customHeight="true" outlineLevel="0" collapsed="false">
      <c r="A1309" s="95" t="str">
        <f aca="false">IF(AND(B1309="",C1309=""),"",ROW()-6)</f>
        <v/>
      </c>
      <c r="B1309" s="83"/>
      <c r="C1309" s="15"/>
      <c r="D1309" s="15"/>
      <c r="E1309" s="85"/>
      <c r="F1309" s="15"/>
      <c r="G1309" s="15"/>
      <c r="H1309" s="96"/>
      <c r="I1309" s="16"/>
      <c r="J1309" s="37" t="str">
        <f aca="false">IF(I1309="","",IF(H1309="",1,H1309)*I1309)</f>
        <v/>
      </c>
      <c r="K1309" s="15"/>
      <c r="L1309" s="97" t="str">
        <f aca="false">IF(C1309="","",IF(OR(C1309="Material",C1309="Equipo",C1309="Suministro"),"Materiales y equipos",IF(C1309="Mano de obra contratista","Mano de obra contratista",IF(C1309="Transporte","Transporte y otros","Alquileres"))))</f>
        <v/>
      </c>
      <c r="M1309" s="6"/>
    </row>
    <row r="1310" customFormat="false" ht="16.5" hidden="false" customHeight="true" outlineLevel="0" collapsed="false">
      <c r="A1310" s="95" t="str">
        <f aca="false">IF(AND(B1310="",C1310=""),"",ROW()-6)</f>
        <v/>
      </c>
      <c r="B1310" s="83"/>
      <c r="C1310" s="15"/>
      <c r="D1310" s="15"/>
      <c r="E1310" s="85"/>
      <c r="F1310" s="15"/>
      <c r="G1310" s="15"/>
      <c r="H1310" s="96"/>
      <c r="I1310" s="16"/>
      <c r="J1310" s="37" t="str">
        <f aca="false">IF(I1310="","",IF(H1310="",1,H1310)*I1310)</f>
        <v/>
      </c>
      <c r="K1310" s="15"/>
      <c r="L1310" s="97" t="str">
        <f aca="false">IF(C1310="","",IF(OR(C1310="Material",C1310="Equipo",C1310="Suministro"),"Materiales y equipos",IF(C1310="Mano de obra contratista","Mano de obra contratista",IF(C1310="Transporte","Transporte y otros","Alquileres"))))</f>
        <v/>
      </c>
      <c r="M1310" s="6"/>
    </row>
    <row r="1311" customFormat="false" ht="16.5" hidden="false" customHeight="true" outlineLevel="0" collapsed="false">
      <c r="A1311" s="95" t="str">
        <f aca="false">IF(AND(B1311="",C1311=""),"",ROW()-6)</f>
        <v/>
      </c>
      <c r="B1311" s="83"/>
      <c r="C1311" s="15"/>
      <c r="D1311" s="15"/>
      <c r="E1311" s="85"/>
      <c r="F1311" s="15"/>
      <c r="G1311" s="15"/>
      <c r="H1311" s="96"/>
      <c r="I1311" s="16"/>
      <c r="J1311" s="37" t="str">
        <f aca="false">IF(I1311="","",IF(H1311="",1,H1311)*I1311)</f>
        <v/>
      </c>
      <c r="K1311" s="15"/>
      <c r="L1311" s="97" t="str">
        <f aca="false">IF(C1311="","",IF(OR(C1311="Material",C1311="Equipo",C1311="Suministro"),"Materiales y equipos",IF(C1311="Mano de obra contratista","Mano de obra contratista",IF(C1311="Transporte","Transporte y otros","Alquileres"))))</f>
        <v/>
      </c>
      <c r="M1311" s="6"/>
    </row>
    <row r="1312" customFormat="false" ht="16.5" hidden="false" customHeight="true" outlineLevel="0" collapsed="false">
      <c r="A1312" s="95" t="str">
        <f aca="false">IF(AND(B1312="",C1312=""),"",ROW()-6)</f>
        <v/>
      </c>
      <c r="B1312" s="83"/>
      <c r="C1312" s="15"/>
      <c r="D1312" s="15"/>
      <c r="E1312" s="85"/>
      <c r="F1312" s="15"/>
      <c r="G1312" s="15"/>
      <c r="H1312" s="96"/>
      <c r="I1312" s="16"/>
      <c r="J1312" s="37" t="str">
        <f aca="false">IF(I1312="","",IF(H1312="",1,H1312)*I1312)</f>
        <v/>
      </c>
      <c r="K1312" s="15"/>
      <c r="L1312" s="97" t="str">
        <f aca="false">IF(C1312="","",IF(OR(C1312="Material",C1312="Equipo",C1312="Suministro"),"Materiales y equipos",IF(C1312="Mano de obra contratista","Mano de obra contratista",IF(C1312="Transporte","Transporte y otros","Alquileres"))))</f>
        <v/>
      </c>
      <c r="M1312" s="6"/>
    </row>
    <row r="1313" customFormat="false" ht="16.5" hidden="false" customHeight="true" outlineLevel="0" collapsed="false">
      <c r="A1313" s="95" t="str">
        <f aca="false">IF(AND(B1313="",C1313=""),"",ROW()-6)</f>
        <v/>
      </c>
      <c r="B1313" s="83"/>
      <c r="C1313" s="15"/>
      <c r="D1313" s="15"/>
      <c r="E1313" s="85"/>
      <c r="F1313" s="15"/>
      <c r="G1313" s="15"/>
      <c r="H1313" s="96"/>
      <c r="I1313" s="16"/>
      <c r="J1313" s="37" t="str">
        <f aca="false">IF(I1313="","",IF(H1313="",1,H1313)*I1313)</f>
        <v/>
      </c>
      <c r="K1313" s="15"/>
      <c r="L1313" s="97" t="str">
        <f aca="false">IF(C1313="","",IF(OR(C1313="Material",C1313="Equipo",C1313="Suministro"),"Materiales y equipos",IF(C1313="Mano de obra contratista","Mano de obra contratista",IF(C1313="Transporte","Transporte y otros","Alquileres"))))</f>
        <v/>
      </c>
      <c r="M1313" s="6"/>
    </row>
    <row r="1314" customFormat="false" ht="16.5" hidden="false" customHeight="true" outlineLevel="0" collapsed="false">
      <c r="A1314" s="95" t="str">
        <f aca="false">IF(AND(B1314="",C1314=""),"",ROW()-6)</f>
        <v/>
      </c>
      <c r="B1314" s="83"/>
      <c r="C1314" s="15"/>
      <c r="D1314" s="15"/>
      <c r="E1314" s="85"/>
      <c r="F1314" s="15"/>
      <c r="G1314" s="15"/>
      <c r="H1314" s="96"/>
      <c r="I1314" s="16"/>
      <c r="J1314" s="37" t="str">
        <f aca="false">IF(I1314="","",IF(H1314="",1,H1314)*I1314)</f>
        <v/>
      </c>
      <c r="K1314" s="15"/>
      <c r="L1314" s="97" t="str">
        <f aca="false">IF(C1314="","",IF(OR(C1314="Material",C1314="Equipo",C1314="Suministro"),"Materiales y equipos",IF(C1314="Mano de obra contratista","Mano de obra contratista",IF(C1314="Transporte","Transporte y otros","Alquileres"))))</f>
        <v/>
      </c>
      <c r="M1314" s="6"/>
    </row>
    <row r="1315" customFormat="false" ht="16.5" hidden="false" customHeight="true" outlineLevel="0" collapsed="false">
      <c r="A1315" s="95" t="str">
        <f aca="false">IF(AND(B1315="",C1315=""),"",ROW()-6)</f>
        <v/>
      </c>
      <c r="B1315" s="83"/>
      <c r="C1315" s="15"/>
      <c r="D1315" s="15"/>
      <c r="E1315" s="85"/>
      <c r="F1315" s="15"/>
      <c r="G1315" s="15"/>
      <c r="H1315" s="96"/>
      <c r="I1315" s="16"/>
      <c r="J1315" s="37" t="str">
        <f aca="false">IF(I1315="","",IF(H1315="",1,H1315)*I1315)</f>
        <v/>
      </c>
      <c r="K1315" s="15"/>
      <c r="L1315" s="97" t="str">
        <f aca="false">IF(C1315="","",IF(OR(C1315="Material",C1315="Equipo",C1315="Suministro"),"Materiales y equipos",IF(C1315="Mano de obra contratista","Mano de obra contratista",IF(C1315="Transporte","Transporte y otros","Alquileres"))))</f>
        <v/>
      </c>
      <c r="M1315" s="6"/>
    </row>
    <row r="1316" customFormat="false" ht="16.5" hidden="false" customHeight="true" outlineLevel="0" collapsed="false">
      <c r="A1316" s="95" t="str">
        <f aca="false">IF(AND(B1316="",C1316=""),"",ROW()-6)</f>
        <v/>
      </c>
      <c r="B1316" s="83"/>
      <c r="C1316" s="15"/>
      <c r="D1316" s="15"/>
      <c r="E1316" s="85"/>
      <c r="F1316" s="15"/>
      <c r="G1316" s="15"/>
      <c r="H1316" s="96"/>
      <c r="I1316" s="16"/>
      <c r="J1316" s="37" t="str">
        <f aca="false">IF(I1316="","",IF(H1316="",1,H1316)*I1316)</f>
        <v/>
      </c>
      <c r="K1316" s="15"/>
      <c r="L1316" s="97" t="str">
        <f aca="false">IF(C1316="","",IF(OR(C1316="Material",C1316="Equipo",C1316="Suministro"),"Materiales y equipos",IF(C1316="Mano de obra contratista","Mano de obra contratista",IF(C1316="Transporte","Transporte y otros","Alquileres"))))</f>
        <v/>
      </c>
      <c r="M1316" s="6"/>
    </row>
    <row r="1317" customFormat="false" ht="16.5" hidden="false" customHeight="true" outlineLevel="0" collapsed="false">
      <c r="A1317" s="95" t="str">
        <f aca="false">IF(AND(B1317="",C1317=""),"",ROW()-6)</f>
        <v/>
      </c>
      <c r="B1317" s="83"/>
      <c r="C1317" s="15"/>
      <c r="D1317" s="15"/>
      <c r="E1317" s="85"/>
      <c r="F1317" s="15"/>
      <c r="G1317" s="15"/>
      <c r="H1317" s="96"/>
      <c r="I1317" s="16"/>
      <c r="J1317" s="37" t="str">
        <f aca="false">IF(I1317="","",IF(H1317="",1,H1317)*I1317)</f>
        <v/>
      </c>
      <c r="K1317" s="15"/>
      <c r="L1317" s="97" t="str">
        <f aca="false">IF(C1317="","",IF(OR(C1317="Material",C1317="Equipo",C1317="Suministro"),"Materiales y equipos",IF(C1317="Mano de obra contratista","Mano de obra contratista",IF(C1317="Transporte","Transporte y otros","Alquileres"))))</f>
        <v/>
      </c>
      <c r="M1317" s="6"/>
    </row>
    <row r="1318" customFormat="false" ht="16.5" hidden="false" customHeight="true" outlineLevel="0" collapsed="false">
      <c r="A1318" s="95" t="str">
        <f aca="false">IF(AND(B1318="",C1318=""),"",ROW()-6)</f>
        <v/>
      </c>
      <c r="B1318" s="83"/>
      <c r="C1318" s="15"/>
      <c r="D1318" s="15"/>
      <c r="E1318" s="85"/>
      <c r="F1318" s="15"/>
      <c r="G1318" s="15"/>
      <c r="H1318" s="96"/>
      <c r="I1318" s="16"/>
      <c r="J1318" s="37" t="str">
        <f aca="false">IF(I1318="","",IF(H1318="",1,H1318)*I1318)</f>
        <v/>
      </c>
      <c r="K1318" s="15"/>
      <c r="L1318" s="97" t="str">
        <f aca="false">IF(C1318="","",IF(OR(C1318="Material",C1318="Equipo",C1318="Suministro"),"Materiales y equipos",IF(C1318="Mano de obra contratista","Mano de obra contratista",IF(C1318="Transporte","Transporte y otros","Alquileres"))))</f>
        <v/>
      </c>
      <c r="M1318" s="6"/>
    </row>
    <row r="1319" customFormat="false" ht="16.5" hidden="false" customHeight="true" outlineLevel="0" collapsed="false">
      <c r="A1319" s="95" t="str">
        <f aca="false">IF(AND(B1319="",C1319=""),"",ROW()-6)</f>
        <v/>
      </c>
      <c r="B1319" s="83"/>
      <c r="C1319" s="15"/>
      <c r="D1319" s="15"/>
      <c r="E1319" s="85"/>
      <c r="F1319" s="15"/>
      <c r="G1319" s="15"/>
      <c r="H1319" s="96"/>
      <c r="I1319" s="16"/>
      <c r="J1319" s="37" t="str">
        <f aca="false">IF(I1319="","",IF(H1319="",1,H1319)*I1319)</f>
        <v/>
      </c>
      <c r="K1319" s="15"/>
      <c r="L1319" s="97" t="str">
        <f aca="false">IF(C1319="","",IF(OR(C1319="Material",C1319="Equipo",C1319="Suministro"),"Materiales y equipos",IF(C1319="Mano de obra contratista","Mano de obra contratista",IF(C1319="Transporte","Transporte y otros","Alquileres"))))</f>
        <v/>
      </c>
      <c r="M1319" s="6"/>
    </row>
    <row r="1320" customFormat="false" ht="16.5" hidden="false" customHeight="true" outlineLevel="0" collapsed="false">
      <c r="A1320" s="95" t="str">
        <f aca="false">IF(AND(B1320="",C1320=""),"",ROW()-6)</f>
        <v/>
      </c>
      <c r="B1320" s="83"/>
      <c r="C1320" s="15"/>
      <c r="D1320" s="15"/>
      <c r="E1320" s="85"/>
      <c r="F1320" s="15"/>
      <c r="G1320" s="15"/>
      <c r="H1320" s="96"/>
      <c r="I1320" s="16"/>
      <c r="J1320" s="37" t="str">
        <f aca="false">IF(I1320="","",IF(H1320="",1,H1320)*I1320)</f>
        <v/>
      </c>
      <c r="K1320" s="15"/>
      <c r="L1320" s="97" t="str">
        <f aca="false">IF(C1320="","",IF(OR(C1320="Material",C1320="Equipo",C1320="Suministro"),"Materiales y equipos",IF(C1320="Mano de obra contratista","Mano de obra contratista",IF(C1320="Transporte","Transporte y otros","Alquileres"))))</f>
        <v/>
      </c>
      <c r="M1320" s="6"/>
    </row>
    <row r="1321" customFormat="false" ht="16.5" hidden="false" customHeight="true" outlineLevel="0" collapsed="false">
      <c r="A1321" s="95" t="str">
        <f aca="false">IF(AND(B1321="",C1321=""),"",ROW()-6)</f>
        <v/>
      </c>
      <c r="B1321" s="83"/>
      <c r="C1321" s="15"/>
      <c r="D1321" s="15"/>
      <c r="E1321" s="85"/>
      <c r="F1321" s="15"/>
      <c r="G1321" s="15"/>
      <c r="H1321" s="96"/>
      <c r="I1321" s="16"/>
      <c r="J1321" s="37" t="str">
        <f aca="false">IF(I1321="","",IF(H1321="",1,H1321)*I1321)</f>
        <v/>
      </c>
      <c r="K1321" s="15"/>
      <c r="L1321" s="97" t="str">
        <f aca="false">IF(C1321="","",IF(OR(C1321="Material",C1321="Equipo",C1321="Suministro"),"Materiales y equipos",IF(C1321="Mano de obra contratista","Mano de obra contratista",IF(C1321="Transporte","Transporte y otros","Alquileres"))))</f>
        <v/>
      </c>
      <c r="M1321" s="6"/>
    </row>
    <row r="1322" customFormat="false" ht="16.5" hidden="false" customHeight="true" outlineLevel="0" collapsed="false">
      <c r="A1322" s="95" t="str">
        <f aca="false">IF(AND(B1322="",C1322=""),"",ROW()-6)</f>
        <v/>
      </c>
      <c r="B1322" s="83"/>
      <c r="C1322" s="15"/>
      <c r="D1322" s="15"/>
      <c r="E1322" s="85"/>
      <c r="F1322" s="15"/>
      <c r="G1322" s="15"/>
      <c r="H1322" s="96"/>
      <c r="I1322" s="16"/>
      <c r="J1322" s="37" t="str">
        <f aca="false">IF(I1322="","",IF(H1322="",1,H1322)*I1322)</f>
        <v/>
      </c>
      <c r="K1322" s="15"/>
      <c r="L1322" s="97" t="str">
        <f aca="false">IF(C1322="","",IF(OR(C1322="Material",C1322="Equipo",C1322="Suministro"),"Materiales y equipos",IF(C1322="Mano de obra contratista","Mano de obra contratista",IF(C1322="Transporte","Transporte y otros","Alquileres"))))</f>
        <v/>
      </c>
      <c r="M1322" s="6"/>
    </row>
    <row r="1323" customFormat="false" ht="16.5" hidden="false" customHeight="true" outlineLevel="0" collapsed="false">
      <c r="A1323" s="95" t="str">
        <f aca="false">IF(AND(B1323="",C1323=""),"",ROW()-6)</f>
        <v/>
      </c>
      <c r="B1323" s="83"/>
      <c r="C1323" s="15"/>
      <c r="D1323" s="15"/>
      <c r="E1323" s="85"/>
      <c r="F1323" s="15"/>
      <c r="G1323" s="15"/>
      <c r="H1323" s="96"/>
      <c r="I1323" s="16"/>
      <c r="J1323" s="37" t="str">
        <f aca="false">IF(I1323="","",IF(H1323="",1,H1323)*I1323)</f>
        <v/>
      </c>
      <c r="K1323" s="15"/>
      <c r="L1323" s="97" t="str">
        <f aca="false">IF(C1323="","",IF(OR(C1323="Material",C1323="Equipo",C1323="Suministro"),"Materiales y equipos",IF(C1323="Mano de obra contratista","Mano de obra contratista",IF(C1323="Transporte","Transporte y otros","Alquileres"))))</f>
        <v/>
      </c>
      <c r="M1323" s="6"/>
    </row>
    <row r="1324" customFormat="false" ht="16.5" hidden="false" customHeight="true" outlineLevel="0" collapsed="false">
      <c r="A1324" s="95" t="str">
        <f aca="false">IF(AND(B1324="",C1324=""),"",ROW()-6)</f>
        <v/>
      </c>
      <c r="B1324" s="83"/>
      <c r="C1324" s="15"/>
      <c r="D1324" s="15"/>
      <c r="E1324" s="85"/>
      <c r="F1324" s="15"/>
      <c r="G1324" s="15"/>
      <c r="H1324" s="96"/>
      <c r="I1324" s="16"/>
      <c r="J1324" s="37" t="str">
        <f aca="false">IF(I1324="","",IF(H1324="",1,H1324)*I1324)</f>
        <v/>
      </c>
      <c r="K1324" s="15"/>
      <c r="L1324" s="97" t="str">
        <f aca="false">IF(C1324="","",IF(OR(C1324="Material",C1324="Equipo",C1324="Suministro"),"Materiales y equipos",IF(C1324="Mano de obra contratista","Mano de obra contratista",IF(C1324="Transporte","Transporte y otros","Alquileres"))))</f>
        <v/>
      </c>
      <c r="M1324" s="6"/>
    </row>
    <row r="1325" customFormat="false" ht="16.5" hidden="false" customHeight="true" outlineLevel="0" collapsed="false">
      <c r="A1325" s="95" t="str">
        <f aca="false">IF(AND(B1325="",C1325=""),"",ROW()-6)</f>
        <v/>
      </c>
      <c r="B1325" s="83"/>
      <c r="C1325" s="15"/>
      <c r="D1325" s="15"/>
      <c r="E1325" s="85"/>
      <c r="F1325" s="15"/>
      <c r="G1325" s="15"/>
      <c r="H1325" s="96"/>
      <c r="I1325" s="16"/>
      <c r="J1325" s="37" t="str">
        <f aca="false">IF(I1325="","",IF(H1325="",1,H1325)*I1325)</f>
        <v/>
      </c>
      <c r="K1325" s="15"/>
      <c r="L1325" s="97" t="str">
        <f aca="false">IF(C1325="","",IF(OR(C1325="Material",C1325="Equipo",C1325="Suministro"),"Materiales y equipos",IF(C1325="Mano de obra contratista","Mano de obra contratista",IF(C1325="Transporte","Transporte y otros","Alquileres"))))</f>
        <v/>
      </c>
      <c r="M1325" s="6"/>
    </row>
    <row r="1326" customFormat="false" ht="16.5" hidden="false" customHeight="true" outlineLevel="0" collapsed="false">
      <c r="A1326" s="95" t="str">
        <f aca="false">IF(AND(B1326="",C1326=""),"",ROW()-6)</f>
        <v/>
      </c>
      <c r="B1326" s="83"/>
      <c r="C1326" s="15"/>
      <c r="D1326" s="15"/>
      <c r="E1326" s="85"/>
      <c r="F1326" s="15"/>
      <c r="G1326" s="15"/>
      <c r="H1326" s="96"/>
      <c r="I1326" s="16"/>
      <c r="J1326" s="37" t="str">
        <f aca="false">IF(I1326="","",IF(H1326="",1,H1326)*I1326)</f>
        <v/>
      </c>
      <c r="K1326" s="15"/>
      <c r="L1326" s="97" t="str">
        <f aca="false">IF(C1326="","",IF(OR(C1326="Material",C1326="Equipo",C1326="Suministro"),"Materiales y equipos",IF(C1326="Mano de obra contratista","Mano de obra contratista",IF(C1326="Transporte","Transporte y otros","Alquileres"))))</f>
        <v/>
      </c>
      <c r="M1326" s="6"/>
    </row>
    <row r="1327" customFormat="false" ht="16.5" hidden="false" customHeight="true" outlineLevel="0" collapsed="false">
      <c r="A1327" s="95" t="str">
        <f aca="false">IF(AND(B1327="",C1327=""),"",ROW()-6)</f>
        <v/>
      </c>
      <c r="B1327" s="83"/>
      <c r="C1327" s="15"/>
      <c r="D1327" s="15"/>
      <c r="E1327" s="85"/>
      <c r="F1327" s="15"/>
      <c r="G1327" s="15"/>
      <c r="H1327" s="96"/>
      <c r="I1327" s="16"/>
      <c r="J1327" s="37" t="str">
        <f aca="false">IF(I1327="","",IF(H1327="",1,H1327)*I1327)</f>
        <v/>
      </c>
      <c r="K1327" s="15"/>
      <c r="L1327" s="97" t="str">
        <f aca="false">IF(C1327="","",IF(OR(C1327="Material",C1327="Equipo",C1327="Suministro"),"Materiales y equipos",IF(C1327="Mano de obra contratista","Mano de obra contratista",IF(C1327="Transporte","Transporte y otros","Alquileres"))))</f>
        <v/>
      </c>
      <c r="M1327" s="6"/>
    </row>
    <row r="1328" customFormat="false" ht="16.5" hidden="false" customHeight="true" outlineLevel="0" collapsed="false">
      <c r="A1328" s="95" t="str">
        <f aca="false">IF(AND(B1328="",C1328=""),"",ROW()-6)</f>
        <v/>
      </c>
      <c r="B1328" s="83"/>
      <c r="C1328" s="15"/>
      <c r="D1328" s="15"/>
      <c r="E1328" s="85"/>
      <c r="F1328" s="15"/>
      <c r="G1328" s="15"/>
      <c r="H1328" s="96"/>
      <c r="I1328" s="16"/>
      <c r="J1328" s="37" t="str">
        <f aca="false">IF(I1328="","",IF(H1328="",1,H1328)*I1328)</f>
        <v/>
      </c>
      <c r="K1328" s="15"/>
      <c r="L1328" s="97" t="str">
        <f aca="false">IF(C1328="","",IF(OR(C1328="Material",C1328="Equipo",C1328="Suministro"),"Materiales y equipos",IF(C1328="Mano de obra contratista","Mano de obra contratista",IF(C1328="Transporte","Transporte y otros","Alquileres"))))</f>
        <v/>
      </c>
      <c r="M1328" s="6"/>
    </row>
    <row r="1329" customFormat="false" ht="16.5" hidden="false" customHeight="true" outlineLevel="0" collapsed="false">
      <c r="A1329" s="95" t="str">
        <f aca="false">IF(AND(B1329="",C1329=""),"",ROW()-6)</f>
        <v/>
      </c>
      <c r="B1329" s="83"/>
      <c r="C1329" s="15"/>
      <c r="D1329" s="15"/>
      <c r="E1329" s="85"/>
      <c r="F1329" s="15"/>
      <c r="G1329" s="15"/>
      <c r="H1329" s="96"/>
      <c r="I1329" s="16"/>
      <c r="J1329" s="37" t="str">
        <f aca="false">IF(I1329="","",IF(H1329="",1,H1329)*I1329)</f>
        <v/>
      </c>
      <c r="K1329" s="15"/>
      <c r="L1329" s="97" t="str">
        <f aca="false">IF(C1329="","",IF(OR(C1329="Material",C1329="Equipo",C1329="Suministro"),"Materiales y equipos",IF(C1329="Mano de obra contratista","Mano de obra contratista",IF(C1329="Transporte","Transporte y otros","Alquileres"))))</f>
        <v/>
      </c>
      <c r="M1329" s="6"/>
    </row>
    <row r="1330" customFormat="false" ht="16.5" hidden="false" customHeight="true" outlineLevel="0" collapsed="false">
      <c r="A1330" s="95" t="str">
        <f aca="false">IF(AND(B1330="",C1330=""),"",ROW()-6)</f>
        <v/>
      </c>
      <c r="B1330" s="83"/>
      <c r="C1330" s="15"/>
      <c r="D1330" s="15"/>
      <c r="E1330" s="85"/>
      <c r="F1330" s="15"/>
      <c r="G1330" s="15"/>
      <c r="H1330" s="96"/>
      <c r="I1330" s="16"/>
      <c r="J1330" s="37" t="str">
        <f aca="false">IF(I1330="","",IF(H1330="",1,H1330)*I1330)</f>
        <v/>
      </c>
      <c r="K1330" s="15"/>
      <c r="L1330" s="97" t="str">
        <f aca="false">IF(C1330="","",IF(OR(C1330="Material",C1330="Equipo",C1330="Suministro"),"Materiales y equipos",IF(C1330="Mano de obra contratista","Mano de obra contratista",IF(C1330="Transporte","Transporte y otros","Alquileres"))))</f>
        <v/>
      </c>
      <c r="M1330" s="6"/>
    </row>
    <row r="1331" customFormat="false" ht="16.5" hidden="false" customHeight="true" outlineLevel="0" collapsed="false">
      <c r="A1331" s="95" t="str">
        <f aca="false">IF(AND(B1331="",C1331=""),"",ROW()-6)</f>
        <v/>
      </c>
      <c r="B1331" s="83"/>
      <c r="C1331" s="15"/>
      <c r="D1331" s="15"/>
      <c r="E1331" s="85"/>
      <c r="F1331" s="15"/>
      <c r="G1331" s="15"/>
      <c r="H1331" s="96"/>
      <c r="I1331" s="16"/>
      <c r="J1331" s="37" t="str">
        <f aca="false">IF(I1331="","",IF(H1331="",1,H1331)*I1331)</f>
        <v/>
      </c>
      <c r="K1331" s="15"/>
      <c r="L1331" s="97" t="str">
        <f aca="false">IF(C1331="","",IF(OR(C1331="Material",C1331="Equipo",C1331="Suministro"),"Materiales y equipos",IF(C1331="Mano de obra contratista","Mano de obra contratista",IF(C1331="Transporte","Transporte y otros","Alquileres"))))</f>
        <v/>
      </c>
      <c r="M1331" s="6"/>
    </row>
    <row r="1332" customFormat="false" ht="16.5" hidden="false" customHeight="true" outlineLevel="0" collapsed="false">
      <c r="A1332" s="95" t="str">
        <f aca="false">IF(AND(B1332="",C1332=""),"",ROW()-6)</f>
        <v/>
      </c>
      <c r="B1332" s="83"/>
      <c r="C1332" s="15"/>
      <c r="D1332" s="15"/>
      <c r="E1332" s="85"/>
      <c r="F1332" s="15"/>
      <c r="G1332" s="15"/>
      <c r="H1332" s="96"/>
      <c r="I1332" s="16"/>
      <c r="J1332" s="37" t="str">
        <f aca="false">IF(I1332="","",IF(H1332="",1,H1332)*I1332)</f>
        <v/>
      </c>
      <c r="K1332" s="15"/>
      <c r="L1332" s="97" t="str">
        <f aca="false">IF(C1332="","",IF(OR(C1332="Material",C1332="Equipo",C1332="Suministro"),"Materiales y equipos",IF(C1332="Mano de obra contratista","Mano de obra contratista",IF(C1332="Transporte","Transporte y otros","Alquileres"))))</f>
        <v/>
      </c>
      <c r="M1332" s="6"/>
    </row>
    <row r="1333" customFormat="false" ht="16.5" hidden="false" customHeight="true" outlineLevel="0" collapsed="false">
      <c r="A1333" s="95" t="str">
        <f aca="false">IF(AND(B1333="",C1333=""),"",ROW()-6)</f>
        <v/>
      </c>
      <c r="B1333" s="83"/>
      <c r="C1333" s="15"/>
      <c r="D1333" s="15"/>
      <c r="E1333" s="85"/>
      <c r="F1333" s="15"/>
      <c r="G1333" s="15"/>
      <c r="H1333" s="96"/>
      <c r="I1333" s="16"/>
      <c r="J1333" s="37" t="str">
        <f aca="false">IF(I1333="","",IF(H1333="",1,H1333)*I1333)</f>
        <v/>
      </c>
      <c r="K1333" s="15"/>
      <c r="L1333" s="97" t="str">
        <f aca="false">IF(C1333="","",IF(OR(C1333="Material",C1333="Equipo",C1333="Suministro"),"Materiales y equipos",IF(C1333="Mano de obra contratista","Mano de obra contratista",IF(C1333="Transporte","Transporte y otros","Alquileres"))))</f>
        <v/>
      </c>
      <c r="M1333" s="6"/>
    </row>
    <row r="1334" customFormat="false" ht="16.5" hidden="false" customHeight="true" outlineLevel="0" collapsed="false">
      <c r="A1334" s="95" t="str">
        <f aca="false">IF(AND(B1334="",C1334=""),"",ROW()-6)</f>
        <v/>
      </c>
      <c r="B1334" s="83"/>
      <c r="C1334" s="15"/>
      <c r="D1334" s="15"/>
      <c r="E1334" s="85"/>
      <c r="F1334" s="15"/>
      <c r="G1334" s="15"/>
      <c r="H1334" s="96"/>
      <c r="I1334" s="16"/>
      <c r="J1334" s="37" t="str">
        <f aca="false">IF(I1334="","",IF(H1334="",1,H1334)*I1334)</f>
        <v/>
      </c>
      <c r="K1334" s="15"/>
      <c r="L1334" s="97" t="str">
        <f aca="false">IF(C1334="","",IF(OR(C1334="Material",C1334="Equipo",C1334="Suministro"),"Materiales y equipos",IF(C1334="Mano de obra contratista","Mano de obra contratista",IF(C1334="Transporte","Transporte y otros","Alquileres"))))</f>
        <v/>
      </c>
      <c r="M1334" s="6"/>
    </row>
    <row r="1335" customFormat="false" ht="16.5" hidden="false" customHeight="true" outlineLevel="0" collapsed="false">
      <c r="A1335" s="95" t="str">
        <f aca="false">IF(AND(B1335="",C1335=""),"",ROW()-6)</f>
        <v/>
      </c>
      <c r="B1335" s="83"/>
      <c r="C1335" s="15"/>
      <c r="D1335" s="15"/>
      <c r="E1335" s="85"/>
      <c r="F1335" s="15"/>
      <c r="G1335" s="15"/>
      <c r="H1335" s="96"/>
      <c r="I1335" s="16"/>
      <c r="J1335" s="37" t="str">
        <f aca="false">IF(I1335="","",IF(H1335="",1,H1335)*I1335)</f>
        <v/>
      </c>
      <c r="K1335" s="15"/>
      <c r="L1335" s="97" t="str">
        <f aca="false">IF(C1335="","",IF(OR(C1335="Material",C1335="Equipo",C1335="Suministro"),"Materiales y equipos",IF(C1335="Mano de obra contratista","Mano de obra contratista",IF(C1335="Transporte","Transporte y otros","Alquileres"))))</f>
        <v/>
      </c>
      <c r="M1335" s="6"/>
    </row>
    <row r="1336" customFormat="false" ht="16.5" hidden="false" customHeight="true" outlineLevel="0" collapsed="false">
      <c r="A1336" s="95" t="str">
        <f aca="false">IF(AND(B1336="",C1336=""),"",ROW()-6)</f>
        <v/>
      </c>
      <c r="B1336" s="83"/>
      <c r="C1336" s="15"/>
      <c r="D1336" s="15"/>
      <c r="E1336" s="85"/>
      <c r="F1336" s="15"/>
      <c r="G1336" s="15"/>
      <c r="H1336" s="96"/>
      <c r="I1336" s="16"/>
      <c r="J1336" s="37" t="str">
        <f aca="false">IF(I1336="","",IF(H1336="",1,H1336)*I1336)</f>
        <v/>
      </c>
      <c r="K1336" s="15"/>
      <c r="L1336" s="97" t="str">
        <f aca="false">IF(C1336="","",IF(OR(C1336="Material",C1336="Equipo",C1336="Suministro"),"Materiales y equipos",IF(C1336="Mano de obra contratista","Mano de obra contratista",IF(C1336="Transporte","Transporte y otros","Alquileres"))))</f>
        <v/>
      </c>
      <c r="M1336" s="6"/>
    </row>
    <row r="1337" customFormat="false" ht="16.5" hidden="false" customHeight="true" outlineLevel="0" collapsed="false">
      <c r="A1337" s="95" t="str">
        <f aca="false">IF(AND(B1337="",C1337=""),"",ROW()-6)</f>
        <v/>
      </c>
      <c r="B1337" s="83"/>
      <c r="C1337" s="15"/>
      <c r="D1337" s="15"/>
      <c r="E1337" s="85"/>
      <c r="F1337" s="15"/>
      <c r="G1337" s="15"/>
      <c r="H1337" s="96"/>
      <c r="I1337" s="16"/>
      <c r="J1337" s="37" t="str">
        <f aca="false">IF(I1337="","",IF(H1337="",1,H1337)*I1337)</f>
        <v/>
      </c>
      <c r="K1337" s="15"/>
      <c r="L1337" s="97" t="str">
        <f aca="false">IF(C1337="","",IF(OR(C1337="Material",C1337="Equipo",C1337="Suministro"),"Materiales y equipos",IF(C1337="Mano de obra contratista","Mano de obra contratista",IF(C1337="Transporte","Transporte y otros","Alquileres"))))</f>
        <v/>
      </c>
      <c r="M1337" s="6"/>
    </row>
    <row r="1338" customFormat="false" ht="16.5" hidden="false" customHeight="true" outlineLevel="0" collapsed="false">
      <c r="A1338" s="95" t="str">
        <f aca="false">IF(AND(B1338="",C1338=""),"",ROW()-6)</f>
        <v/>
      </c>
      <c r="B1338" s="83"/>
      <c r="C1338" s="15"/>
      <c r="D1338" s="15"/>
      <c r="E1338" s="85"/>
      <c r="F1338" s="15"/>
      <c r="G1338" s="15"/>
      <c r="H1338" s="96"/>
      <c r="I1338" s="16"/>
      <c r="J1338" s="37" t="str">
        <f aca="false">IF(I1338="","",IF(H1338="",1,H1338)*I1338)</f>
        <v/>
      </c>
      <c r="K1338" s="15"/>
      <c r="L1338" s="97" t="str">
        <f aca="false">IF(C1338="","",IF(OR(C1338="Material",C1338="Equipo",C1338="Suministro"),"Materiales y equipos",IF(C1338="Mano de obra contratista","Mano de obra contratista",IF(C1338="Transporte","Transporte y otros","Alquileres"))))</f>
        <v/>
      </c>
      <c r="M1338" s="6"/>
    </row>
    <row r="1339" customFormat="false" ht="16.5" hidden="false" customHeight="true" outlineLevel="0" collapsed="false">
      <c r="A1339" s="95" t="str">
        <f aca="false">IF(AND(B1339="",C1339=""),"",ROW()-6)</f>
        <v/>
      </c>
      <c r="B1339" s="83"/>
      <c r="C1339" s="15"/>
      <c r="D1339" s="15"/>
      <c r="E1339" s="85"/>
      <c r="F1339" s="15"/>
      <c r="G1339" s="15"/>
      <c r="H1339" s="96"/>
      <c r="I1339" s="16"/>
      <c r="J1339" s="37" t="str">
        <f aca="false">IF(I1339="","",IF(H1339="",1,H1339)*I1339)</f>
        <v/>
      </c>
      <c r="K1339" s="15"/>
      <c r="L1339" s="97" t="str">
        <f aca="false">IF(C1339="","",IF(OR(C1339="Material",C1339="Equipo",C1339="Suministro"),"Materiales y equipos",IF(C1339="Mano de obra contratista","Mano de obra contratista",IF(C1339="Transporte","Transporte y otros","Alquileres"))))</f>
        <v/>
      </c>
      <c r="M1339" s="6"/>
    </row>
    <row r="1340" customFormat="false" ht="16.5" hidden="false" customHeight="true" outlineLevel="0" collapsed="false">
      <c r="A1340" s="95" t="str">
        <f aca="false">IF(AND(B1340="",C1340=""),"",ROW()-6)</f>
        <v/>
      </c>
      <c r="B1340" s="83"/>
      <c r="C1340" s="15"/>
      <c r="D1340" s="15"/>
      <c r="E1340" s="85"/>
      <c r="F1340" s="15"/>
      <c r="G1340" s="15"/>
      <c r="H1340" s="96"/>
      <c r="I1340" s="16"/>
      <c r="J1340" s="37" t="str">
        <f aca="false">IF(I1340="","",IF(H1340="",1,H1340)*I1340)</f>
        <v/>
      </c>
      <c r="K1340" s="15"/>
      <c r="L1340" s="97" t="str">
        <f aca="false">IF(C1340="","",IF(OR(C1340="Material",C1340="Equipo",C1340="Suministro"),"Materiales y equipos",IF(C1340="Mano de obra contratista","Mano de obra contratista",IF(C1340="Transporte","Transporte y otros","Alquileres"))))</f>
        <v/>
      </c>
      <c r="M1340" s="6"/>
    </row>
    <row r="1341" customFormat="false" ht="16.5" hidden="false" customHeight="true" outlineLevel="0" collapsed="false">
      <c r="A1341" s="95" t="str">
        <f aca="false">IF(AND(B1341="",C1341=""),"",ROW()-6)</f>
        <v/>
      </c>
      <c r="B1341" s="83"/>
      <c r="C1341" s="15"/>
      <c r="D1341" s="15"/>
      <c r="E1341" s="85"/>
      <c r="F1341" s="15"/>
      <c r="G1341" s="15"/>
      <c r="H1341" s="96"/>
      <c r="I1341" s="16"/>
      <c r="J1341" s="37" t="str">
        <f aca="false">IF(I1341="","",IF(H1341="",1,H1341)*I1341)</f>
        <v/>
      </c>
      <c r="K1341" s="15"/>
      <c r="L1341" s="97" t="str">
        <f aca="false">IF(C1341="","",IF(OR(C1341="Material",C1341="Equipo",C1341="Suministro"),"Materiales y equipos",IF(C1341="Mano de obra contratista","Mano de obra contratista",IF(C1341="Transporte","Transporte y otros","Alquileres"))))</f>
        <v/>
      </c>
      <c r="M1341" s="6"/>
    </row>
    <row r="1342" customFormat="false" ht="16.5" hidden="false" customHeight="true" outlineLevel="0" collapsed="false">
      <c r="A1342" s="95" t="str">
        <f aca="false">IF(AND(B1342="",C1342=""),"",ROW()-6)</f>
        <v/>
      </c>
      <c r="B1342" s="83"/>
      <c r="C1342" s="15"/>
      <c r="D1342" s="15"/>
      <c r="E1342" s="85"/>
      <c r="F1342" s="15"/>
      <c r="G1342" s="15"/>
      <c r="H1342" s="96"/>
      <c r="I1342" s="16"/>
      <c r="J1342" s="37" t="str">
        <f aca="false">IF(I1342="","",IF(H1342="",1,H1342)*I1342)</f>
        <v/>
      </c>
      <c r="K1342" s="15"/>
      <c r="L1342" s="97" t="str">
        <f aca="false">IF(C1342="","",IF(OR(C1342="Material",C1342="Equipo",C1342="Suministro"),"Materiales y equipos",IF(C1342="Mano de obra contratista","Mano de obra contratista",IF(C1342="Transporte","Transporte y otros","Alquileres"))))</f>
        <v/>
      </c>
      <c r="M1342" s="6"/>
    </row>
    <row r="1343" customFormat="false" ht="16.5" hidden="false" customHeight="true" outlineLevel="0" collapsed="false">
      <c r="A1343" s="95" t="str">
        <f aca="false">IF(AND(B1343="",C1343=""),"",ROW()-6)</f>
        <v/>
      </c>
      <c r="B1343" s="83"/>
      <c r="C1343" s="15"/>
      <c r="D1343" s="15"/>
      <c r="E1343" s="85"/>
      <c r="F1343" s="15"/>
      <c r="G1343" s="15"/>
      <c r="H1343" s="96"/>
      <c r="I1343" s="16"/>
      <c r="J1343" s="37" t="str">
        <f aca="false">IF(I1343="","",IF(H1343="",1,H1343)*I1343)</f>
        <v/>
      </c>
      <c r="K1343" s="15"/>
      <c r="L1343" s="97" t="str">
        <f aca="false">IF(C1343="","",IF(OR(C1343="Material",C1343="Equipo",C1343="Suministro"),"Materiales y equipos",IF(C1343="Mano de obra contratista","Mano de obra contratista",IF(C1343="Transporte","Transporte y otros","Alquileres"))))</f>
        <v/>
      </c>
      <c r="M1343" s="6"/>
    </row>
    <row r="1344" customFormat="false" ht="16.5" hidden="false" customHeight="true" outlineLevel="0" collapsed="false">
      <c r="A1344" s="95" t="str">
        <f aca="false">IF(AND(B1344="",C1344=""),"",ROW()-6)</f>
        <v/>
      </c>
      <c r="B1344" s="83"/>
      <c r="C1344" s="15"/>
      <c r="D1344" s="15"/>
      <c r="E1344" s="85"/>
      <c r="F1344" s="15"/>
      <c r="G1344" s="15"/>
      <c r="H1344" s="96"/>
      <c r="I1344" s="16"/>
      <c r="J1344" s="37" t="str">
        <f aca="false">IF(I1344="","",IF(H1344="",1,H1344)*I1344)</f>
        <v/>
      </c>
      <c r="K1344" s="15"/>
      <c r="L1344" s="97" t="str">
        <f aca="false">IF(C1344="","",IF(OR(C1344="Material",C1344="Equipo",C1344="Suministro"),"Materiales y equipos",IF(C1344="Mano de obra contratista","Mano de obra contratista",IF(C1344="Transporte","Transporte y otros","Alquileres"))))</f>
        <v/>
      </c>
      <c r="M1344" s="6"/>
    </row>
    <row r="1345" customFormat="false" ht="16.5" hidden="false" customHeight="true" outlineLevel="0" collapsed="false">
      <c r="A1345" s="95" t="str">
        <f aca="false">IF(AND(B1345="",C1345=""),"",ROW()-6)</f>
        <v/>
      </c>
      <c r="B1345" s="83"/>
      <c r="C1345" s="15"/>
      <c r="D1345" s="15"/>
      <c r="E1345" s="85"/>
      <c r="F1345" s="15"/>
      <c r="G1345" s="15"/>
      <c r="H1345" s="96"/>
      <c r="I1345" s="16"/>
      <c r="J1345" s="37" t="str">
        <f aca="false">IF(I1345="","",IF(H1345="",1,H1345)*I1345)</f>
        <v/>
      </c>
      <c r="K1345" s="15"/>
      <c r="L1345" s="97" t="str">
        <f aca="false">IF(C1345="","",IF(OR(C1345="Material",C1345="Equipo",C1345="Suministro"),"Materiales y equipos",IF(C1345="Mano de obra contratista","Mano de obra contratista",IF(C1345="Transporte","Transporte y otros","Alquileres"))))</f>
        <v/>
      </c>
      <c r="M1345" s="6"/>
    </row>
    <row r="1346" customFormat="false" ht="16.5" hidden="false" customHeight="true" outlineLevel="0" collapsed="false">
      <c r="A1346" s="95" t="str">
        <f aca="false">IF(AND(B1346="",C1346=""),"",ROW()-6)</f>
        <v/>
      </c>
      <c r="B1346" s="83"/>
      <c r="C1346" s="15"/>
      <c r="D1346" s="15"/>
      <c r="E1346" s="85"/>
      <c r="F1346" s="15"/>
      <c r="G1346" s="15"/>
      <c r="H1346" s="96"/>
      <c r="I1346" s="16"/>
      <c r="J1346" s="37" t="str">
        <f aca="false">IF(I1346="","",IF(H1346="",1,H1346)*I1346)</f>
        <v/>
      </c>
      <c r="K1346" s="15"/>
      <c r="L1346" s="97" t="str">
        <f aca="false">IF(C1346="","",IF(OR(C1346="Material",C1346="Equipo",C1346="Suministro"),"Materiales y equipos",IF(C1346="Mano de obra contratista","Mano de obra contratista",IF(C1346="Transporte","Transporte y otros","Alquileres"))))</f>
        <v/>
      </c>
      <c r="M1346" s="6"/>
    </row>
    <row r="1347" customFormat="false" ht="16.5" hidden="false" customHeight="true" outlineLevel="0" collapsed="false">
      <c r="A1347" s="95" t="str">
        <f aca="false">IF(AND(B1347="",C1347=""),"",ROW()-6)</f>
        <v/>
      </c>
      <c r="B1347" s="83"/>
      <c r="C1347" s="15"/>
      <c r="D1347" s="15"/>
      <c r="E1347" s="85"/>
      <c r="F1347" s="15"/>
      <c r="G1347" s="15"/>
      <c r="H1347" s="96"/>
      <c r="I1347" s="16"/>
      <c r="J1347" s="37" t="str">
        <f aca="false">IF(I1347="","",IF(H1347="",1,H1347)*I1347)</f>
        <v/>
      </c>
      <c r="K1347" s="15"/>
      <c r="L1347" s="97" t="str">
        <f aca="false">IF(C1347="","",IF(OR(C1347="Material",C1347="Equipo",C1347="Suministro"),"Materiales y equipos",IF(C1347="Mano de obra contratista","Mano de obra contratista",IF(C1347="Transporte","Transporte y otros","Alquileres"))))</f>
        <v/>
      </c>
      <c r="M1347" s="6"/>
    </row>
    <row r="1348" customFormat="false" ht="16.5" hidden="false" customHeight="true" outlineLevel="0" collapsed="false">
      <c r="A1348" s="95" t="str">
        <f aca="false">IF(AND(B1348="",C1348=""),"",ROW()-6)</f>
        <v/>
      </c>
      <c r="B1348" s="83"/>
      <c r="C1348" s="15"/>
      <c r="D1348" s="15"/>
      <c r="E1348" s="85"/>
      <c r="F1348" s="15"/>
      <c r="G1348" s="15"/>
      <c r="H1348" s="96"/>
      <c r="I1348" s="16"/>
      <c r="J1348" s="37" t="str">
        <f aca="false">IF(I1348="","",IF(H1348="",1,H1348)*I1348)</f>
        <v/>
      </c>
      <c r="K1348" s="15"/>
      <c r="L1348" s="97" t="str">
        <f aca="false">IF(C1348="","",IF(OR(C1348="Material",C1348="Equipo",C1348="Suministro"),"Materiales y equipos",IF(C1348="Mano de obra contratista","Mano de obra contratista",IF(C1348="Transporte","Transporte y otros","Alquileres"))))</f>
        <v/>
      </c>
      <c r="M1348" s="6"/>
    </row>
    <row r="1349" customFormat="false" ht="16.5" hidden="false" customHeight="true" outlineLevel="0" collapsed="false">
      <c r="A1349" s="95" t="str">
        <f aca="false">IF(AND(B1349="",C1349=""),"",ROW()-6)</f>
        <v/>
      </c>
      <c r="B1349" s="83"/>
      <c r="C1349" s="15"/>
      <c r="D1349" s="15"/>
      <c r="E1349" s="85"/>
      <c r="F1349" s="15"/>
      <c r="G1349" s="15"/>
      <c r="H1349" s="96"/>
      <c r="I1349" s="16"/>
      <c r="J1349" s="37" t="str">
        <f aca="false">IF(I1349="","",IF(H1349="",1,H1349)*I1349)</f>
        <v/>
      </c>
      <c r="K1349" s="15"/>
      <c r="L1349" s="97" t="str">
        <f aca="false">IF(C1349="","",IF(OR(C1349="Material",C1349="Equipo",C1349="Suministro"),"Materiales y equipos",IF(C1349="Mano de obra contratista","Mano de obra contratista",IF(C1349="Transporte","Transporte y otros","Alquileres"))))</f>
        <v/>
      </c>
      <c r="M1349" s="6"/>
    </row>
    <row r="1350" customFormat="false" ht="16.5" hidden="false" customHeight="true" outlineLevel="0" collapsed="false">
      <c r="A1350" s="95" t="str">
        <f aca="false">IF(AND(B1350="",C1350=""),"",ROW()-6)</f>
        <v/>
      </c>
      <c r="B1350" s="83"/>
      <c r="C1350" s="15"/>
      <c r="D1350" s="15"/>
      <c r="E1350" s="85"/>
      <c r="F1350" s="15"/>
      <c r="G1350" s="15"/>
      <c r="H1350" s="96"/>
      <c r="I1350" s="16"/>
      <c r="J1350" s="37" t="str">
        <f aca="false">IF(I1350="","",IF(H1350="",1,H1350)*I1350)</f>
        <v/>
      </c>
      <c r="K1350" s="15"/>
      <c r="L1350" s="97" t="str">
        <f aca="false">IF(C1350="","",IF(OR(C1350="Material",C1350="Equipo",C1350="Suministro"),"Materiales y equipos",IF(C1350="Mano de obra contratista","Mano de obra contratista",IF(C1350="Transporte","Transporte y otros","Alquileres"))))</f>
        <v/>
      </c>
      <c r="M1350" s="6"/>
    </row>
    <row r="1351" customFormat="false" ht="16.5" hidden="false" customHeight="true" outlineLevel="0" collapsed="false">
      <c r="A1351" s="95" t="str">
        <f aca="false">IF(AND(B1351="",C1351=""),"",ROW()-6)</f>
        <v/>
      </c>
      <c r="B1351" s="83"/>
      <c r="C1351" s="15"/>
      <c r="D1351" s="15"/>
      <c r="E1351" s="85"/>
      <c r="F1351" s="15"/>
      <c r="G1351" s="15"/>
      <c r="H1351" s="96"/>
      <c r="I1351" s="16"/>
      <c r="J1351" s="37" t="str">
        <f aca="false">IF(I1351="","",IF(H1351="",1,H1351)*I1351)</f>
        <v/>
      </c>
      <c r="K1351" s="15"/>
      <c r="L1351" s="97" t="str">
        <f aca="false">IF(C1351="","",IF(OR(C1351="Material",C1351="Equipo",C1351="Suministro"),"Materiales y equipos",IF(C1351="Mano de obra contratista","Mano de obra contratista",IF(C1351="Transporte","Transporte y otros","Alquileres"))))</f>
        <v/>
      </c>
      <c r="M1351" s="6"/>
    </row>
    <row r="1352" customFormat="false" ht="16.5" hidden="false" customHeight="true" outlineLevel="0" collapsed="false">
      <c r="A1352" s="95" t="str">
        <f aca="false">IF(AND(B1352="",C1352=""),"",ROW()-6)</f>
        <v/>
      </c>
      <c r="B1352" s="83"/>
      <c r="C1352" s="15"/>
      <c r="D1352" s="15"/>
      <c r="E1352" s="85"/>
      <c r="F1352" s="15"/>
      <c r="G1352" s="15"/>
      <c r="H1352" s="96"/>
      <c r="I1352" s="16"/>
      <c r="J1352" s="37" t="str">
        <f aca="false">IF(I1352="","",IF(H1352="",1,H1352)*I1352)</f>
        <v/>
      </c>
      <c r="K1352" s="15"/>
      <c r="L1352" s="97" t="str">
        <f aca="false">IF(C1352="","",IF(OR(C1352="Material",C1352="Equipo",C1352="Suministro"),"Materiales y equipos",IF(C1352="Mano de obra contratista","Mano de obra contratista",IF(C1352="Transporte","Transporte y otros","Alquileres"))))</f>
        <v/>
      </c>
      <c r="M1352" s="6"/>
    </row>
    <row r="1353" customFormat="false" ht="16.5" hidden="false" customHeight="true" outlineLevel="0" collapsed="false">
      <c r="A1353" s="95" t="str">
        <f aca="false">IF(AND(B1353="",C1353=""),"",ROW()-6)</f>
        <v/>
      </c>
      <c r="B1353" s="83"/>
      <c r="C1353" s="15"/>
      <c r="D1353" s="15"/>
      <c r="E1353" s="85"/>
      <c r="F1353" s="15"/>
      <c r="G1353" s="15"/>
      <c r="H1353" s="96"/>
      <c r="I1353" s="16"/>
      <c r="J1353" s="37" t="str">
        <f aca="false">IF(I1353="","",IF(H1353="",1,H1353)*I1353)</f>
        <v/>
      </c>
      <c r="K1353" s="15"/>
      <c r="L1353" s="97" t="str">
        <f aca="false">IF(C1353="","",IF(OR(C1353="Material",C1353="Equipo",C1353="Suministro"),"Materiales y equipos",IF(C1353="Mano de obra contratista","Mano de obra contratista",IF(C1353="Transporte","Transporte y otros","Alquileres"))))</f>
        <v/>
      </c>
      <c r="M1353" s="6"/>
    </row>
    <row r="1354" customFormat="false" ht="16.5" hidden="false" customHeight="true" outlineLevel="0" collapsed="false">
      <c r="A1354" s="95" t="str">
        <f aca="false">IF(AND(B1354="",C1354=""),"",ROW()-6)</f>
        <v/>
      </c>
      <c r="B1354" s="83"/>
      <c r="C1354" s="15"/>
      <c r="D1354" s="15"/>
      <c r="E1354" s="85"/>
      <c r="F1354" s="15"/>
      <c r="G1354" s="15"/>
      <c r="H1354" s="96"/>
      <c r="I1354" s="16"/>
      <c r="J1354" s="37" t="str">
        <f aca="false">IF(I1354="","",IF(H1354="",1,H1354)*I1354)</f>
        <v/>
      </c>
      <c r="K1354" s="15"/>
      <c r="L1354" s="97" t="str">
        <f aca="false">IF(C1354="","",IF(OR(C1354="Material",C1354="Equipo",C1354="Suministro"),"Materiales y equipos",IF(C1354="Mano de obra contratista","Mano de obra contratista",IF(C1354="Transporte","Transporte y otros","Alquileres"))))</f>
        <v/>
      </c>
      <c r="M1354" s="6"/>
    </row>
    <row r="1355" customFormat="false" ht="16.5" hidden="false" customHeight="true" outlineLevel="0" collapsed="false">
      <c r="A1355" s="95" t="str">
        <f aca="false">IF(AND(B1355="",C1355=""),"",ROW()-6)</f>
        <v/>
      </c>
      <c r="B1355" s="83"/>
      <c r="C1355" s="15"/>
      <c r="D1355" s="15"/>
      <c r="E1355" s="85"/>
      <c r="F1355" s="15"/>
      <c r="G1355" s="15"/>
      <c r="H1355" s="96"/>
      <c r="I1355" s="16"/>
      <c r="J1355" s="37" t="str">
        <f aca="false">IF(I1355="","",IF(H1355="",1,H1355)*I1355)</f>
        <v/>
      </c>
      <c r="K1355" s="15"/>
      <c r="L1355" s="97" t="str">
        <f aca="false">IF(C1355="","",IF(OR(C1355="Material",C1355="Equipo",C1355="Suministro"),"Materiales y equipos",IF(C1355="Mano de obra contratista","Mano de obra contratista",IF(C1355="Transporte","Transporte y otros","Alquileres"))))</f>
        <v/>
      </c>
      <c r="M1355" s="6"/>
    </row>
    <row r="1356" customFormat="false" ht="16.5" hidden="false" customHeight="true" outlineLevel="0" collapsed="false">
      <c r="A1356" s="95" t="str">
        <f aca="false">IF(AND(B1356="",C1356=""),"",ROW()-6)</f>
        <v/>
      </c>
      <c r="B1356" s="83"/>
      <c r="C1356" s="15"/>
      <c r="D1356" s="15"/>
      <c r="E1356" s="85"/>
      <c r="F1356" s="15"/>
      <c r="G1356" s="15"/>
      <c r="H1356" s="96"/>
      <c r="I1356" s="16"/>
      <c r="J1356" s="37" t="str">
        <f aca="false">IF(I1356="","",IF(H1356="",1,H1356)*I1356)</f>
        <v/>
      </c>
      <c r="K1356" s="15"/>
      <c r="L1356" s="97" t="str">
        <f aca="false">IF(C1356="","",IF(OR(C1356="Material",C1356="Equipo",C1356="Suministro"),"Materiales y equipos",IF(C1356="Mano de obra contratista","Mano de obra contratista",IF(C1356="Transporte","Transporte y otros","Alquileres"))))</f>
        <v/>
      </c>
      <c r="M1356" s="6"/>
    </row>
    <row r="1357" customFormat="false" ht="16.5" hidden="false" customHeight="true" outlineLevel="0" collapsed="false">
      <c r="A1357" s="95" t="str">
        <f aca="false">IF(AND(B1357="",C1357=""),"",ROW()-6)</f>
        <v/>
      </c>
      <c r="B1357" s="83"/>
      <c r="C1357" s="15"/>
      <c r="D1357" s="15"/>
      <c r="E1357" s="85"/>
      <c r="F1357" s="15"/>
      <c r="G1357" s="15"/>
      <c r="H1357" s="96"/>
      <c r="I1357" s="16"/>
      <c r="J1357" s="37" t="str">
        <f aca="false">IF(I1357="","",IF(H1357="",1,H1357)*I1357)</f>
        <v/>
      </c>
      <c r="K1357" s="15"/>
      <c r="L1357" s="97" t="str">
        <f aca="false">IF(C1357="","",IF(OR(C1357="Material",C1357="Equipo",C1357="Suministro"),"Materiales y equipos",IF(C1357="Mano de obra contratista","Mano de obra contratista",IF(C1357="Transporte","Transporte y otros","Alquileres"))))</f>
        <v/>
      </c>
      <c r="M1357" s="6"/>
    </row>
    <row r="1358" customFormat="false" ht="16.5" hidden="false" customHeight="true" outlineLevel="0" collapsed="false">
      <c r="A1358" s="95" t="str">
        <f aca="false">IF(AND(B1358="",C1358=""),"",ROW()-6)</f>
        <v/>
      </c>
      <c r="B1358" s="83"/>
      <c r="C1358" s="15"/>
      <c r="D1358" s="15"/>
      <c r="E1358" s="85"/>
      <c r="F1358" s="15"/>
      <c r="G1358" s="15"/>
      <c r="H1358" s="96"/>
      <c r="I1358" s="16"/>
      <c r="J1358" s="37" t="str">
        <f aca="false">IF(I1358="","",IF(H1358="",1,H1358)*I1358)</f>
        <v/>
      </c>
      <c r="K1358" s="15"/>
      <c r="L1358" s="97" t="str">
        <f aca="false">IF(C1358="","",IF(OR(C1358="Material",C1358="Equipo",C1358="Suministro"),"Materiales y equipos",IF(C1358="Mano de obra contratista","Mano de obra contratista",IF(C1358="Transporte","Transporte y otros","Alquileres"))))</f>
        <v/>
      </c>
      <c r="M1358" s="6"/>
    </row>
    <row r="1359" customFormat="false" ht="16.5" hidden="false" customHeight="true" outlineLevel="0" collapsed="false">
      <c r="A1359" s="95" t="str">
        <f aca="false">IF(AND(B1359="",C1359=""),"",ROW()-6)</f>
        <v/>
      </c>
      <c r="B1359" s="83"/>
      <c r="C1359" s="15"/>
      <c r="D1359" s="15"/>
      <c r="E1359" s="85"/>
      <c r="F1359" s="15"/>
      <c r="G1359" s="15"/>
      <c r="H1359" s="96"/>
      <c r="I1359" s="16"/>
      <c r="J1359" s="37" t="str">
        <f aca="false">IF(I1359="","",IF(H1359="",1,H1359)*I1359)</f>
        <v/>
      </c>
      <c r="K1359" s="15"/>
      <c r="L1359" s="97" t="str">
        <f aca="false">IF(C1359="","",IF(OR(C1359="Material",C1359="Equipo",C1359="Suministro"),"Materiales y equipos",IF(C1359="Mano de obra contratista","Mano de obra contratista",IF(C1359="Transporte","Transporte y otros","Alquileres"))))</f>
        <v/>
      </c>
      <c r="M1359" s="6"/>
    </row>
    <row r="1360" customFormat="false" ht="16.5" hidden="false" customHeight="true" outlineLevel="0" collapsed="false">
      <c r="A1360" s="95" t="str">
        <f aca="false">IF(AND(B1360="",C1360=""),"",ROW()-6)</f>
        <v/>
      </c>
      <c r="B1360" s="83"/>
      <c r="C1360" s="15"/>
      <c r="D1360" s="15"/>
      <c r="E1360" s="85"/>
      <c r="F1360" s="15"/>
      <c r="G1360" s="15"/>
      <c r="H1360" s="96"/>
      <c r="I1360" s="16"/>
      <c r="J1360" s="37" t="str">
        <f aca="false">IF(I1360="","",IF(H1360="",1,H1360)*I1360)</f>
        <v/>
      </c>
      <c r="K1360" s="15"/>
      <c r="L1360" s="97" t="str">
        <f aca="false">IF(C1360="","",IF(OR(C1360="Material",C1360="Equipo",C1360="Suministro"),"Materiales y equipos",IF(C1360="Mano de obra contratista","Mano de obra contratista",IF(C1360="Transporte","Transporte y otros","Alquileres"))))</f>
        <v/>
      </c>
      <c r="M1360" s="6"/>
    </row>
    <row r="1361" customFormat="false" ht="16.5" hidden="false" customHeight="true" outlineLevel="0" collapsed="false">
      <c r="A1361" s="95" t="str">
        <f aca="false">IF(AND(B1361="",C1361=""),"",ROW()-6)</f>
        <v/>
      </c>
      <c r="B1361" s="83"/>
      <c r="C1361" s="15"/>
      <c r="D1361" s="15"/>
      <c r="E1361" s="85"/>
      <c r="F1361" s="15"/>
      <c r="G1361" s="15"/>
      <c r="H1361" s="96"/>
      <c r="I1361" s="16"/>
      <c r="J1361" s="37" t="str">
        <f aca="false">IF(I1361="","",IF(H1361="",1,H1361)*I1361)</f>
        <v/>
      </c>
      <c r="K1361" s="15"/>
      <c r="L1361" s="97" t="str">
        <f aca="false">IF(C1361="","",IF(OR(C1361="Material",C1361="Equipo",C1361="Suministro"),"Materiales y equipos",IF(C1361="Mano de obra contratista","Mano de obra contratista",IF(C1361="Transporte","Transporte y otros","Alquileres"))))</f>
        <v/>
      </c>
      <c r="M1361" s="6"/>
    </row>
    <row r="1362" customFormat="false" ht="16.5" hidden="false" customHeight="true" outlineLevel="0" collapsed="false">
      <c r="A1362" s="95" t="str">
        <f aca="false">IF(AND(B1362="",C1362=""),"",ROW()-6)</f>
        <v/>
      </c>
      <c r="B1362" s="83"/>
      <c r="C1362" s="15"/>
      <c r="D1362" s="15"/>
      <c r="E1362" s="85"/>
      <c r="F1362" s="15"/>
      <c r="G1362" s="15"/>
      <c r="H1362" s="96"/>
      <c r="I1362" s="16"/>
      <c r="J1362" s="37" t="str">
        <f aca="false">IF(I1362="","",IF(H1362="",1,H1362)*I1362)</f>
        <v/>
      </c>
      <c r="K1362" s="15"/>
      <c r="L1362" s="97" t="str">
        <f aca="false">IF(C1362="","",IF(OR(C1362="Material",C1362="Equipo",C1362="Suministro"),"Materiales y equipos",IF(C1362="Mano de obra contratista","Mano de obra contratista",IF(C1362="Transporte","Transporte y otros","Alquileres"))))</f>
        <v/>
      </c>
      <c r="M1362" s="6"/>
    </row>
    <row r="1363" customFormat="false" ht="16.5" hidden="false" customHeight="true" outlineLevel="0" collapsed="false">
      <c r="A1363" s="95" t="str">
        <f aca="false">IF(AND(B1363="",C1363=""),"",ROW()-6)</f>
        <v/>
      </c>
      <c r="B1363" s="83"/>
      <c r="C1363" s="15"/>
      <c r="D1363" s="15"/>
      <c r="E1363" s="85"/>
      <c r="F1363" s="15"/>
      <c r="G1363" s="15"/>
      <c r="H1363" s="96"/>
      <c r="I1363" s="16"/>
      <c r="J1363" s="37" t="str">
        <f aca="false">IF(I1363="","",IF(H1363="",1,H1363)*I1363)</f>
        <v/>
      </c>
      <c r="K1363" s="15"/>
      <c r="L1363" s="97" t="str">
        <f aca="false">IF(C1363="","",IF(OR(C1363="Material",C1363="Equipo",C1363="Suministro"),"Materiales y equipos",IF(C1363="Mano de obra contratista","Mano de obra contratista",IF(C1363="Transporte","Transporte y otros","Alquileres"))))</f>
        <v/>
      </c>
      <c r="M1363" s="6"/>
    </row>
    <row r="1364" customFormat="false" ht="16.5" hidden="false" customHeight="true" outlineLevel="0" collapsed="false">
      <c r="A1364" s="95" t="str">
        <f aca="false">IF(AND(B1364="",C1364=""),"",ROW()-6)</f>
        <v/>
      </c>
      <c r="B1364" s="83"/>
      <c r="C1364" s="15"/>
      <c r="D1364" s="15"/>
      <c r="E1364" s="85"/>
      <c r="F1364" s="15"/>
      <c r="G1364" s="15"/>
      <c r="H1364" s="96"/>
      <c r="I1364" s="16"/>
      <c r="J1364" s="37" t="str">
        <f aca="false">IF(I1364="","",IF(H1364="",1,H1364)*I1364)</f>
        <v/>
      </c>
      <c r="K1364" s="15"/>
      <c r="L1364" s="97" t="str">
        <f aca="false">IF(C1364="","",IF(OR(C1364="Material",C1364="Equipo",C1364="Suministro"),"Materiales y equipos",IF(C1364="Mano de obra contratista","Mano de obra contratista",IF(C1364="Transporte","Transporte y otros","Alquileres"))))</f>
        <v/>
      </c>
      <c r="M1364" s="6"/>
    </row>
    <row r="1365" customFormat="false" ht="16.5" hidden="false" customHeight="true" outlineLevel="0" collapsed="false">
      <c r="A1365" s="95" t="str">
        <f aca="false">IF(AND(B1365="",C1365=""),"",ROW()-6)</f>
        <v/>
      </c>
      <c r="B1365" s="83"/>
      <c r="C1365" s="15"/>
      <c r="D1365" s="15"/>
      <c r="E1365" s="85"/>
      <c r="F1365" s="15"/>
      <c r="G1365" s="15"/>
      <c r="H1365" s="96"/>
      <c r="I1365" s="16"/>
      <c r="J1365" s="37" t="str">
        <f aca="false">IF(I1365="","",IF(H1365="",1,H1365)*I1365)</f>
        <v/>
      </c>
      <c r="K1365" s="15"/>
      <c r="L1365" s="97" t="str">
        <f aca="false">IF(C1365="","",IF(OR(C1365="Material",C1365="Equipo",C1365="Suministro"),"Materiales y equipos",IF(C1365="Mano de obra contratista","Mano de obra contratista",IF(C1365="Transporte","Transporte y otros","Alquileres"))))</f>
        <v/>
      </c>
      <c r="M1365" s="6"/>
    </row>
    <row r="1366" customFormat="false" ht="16.5" hidden="false" customHeight="true" outlineLevel="0" collapsed="false">
      <c r="A1366" s="95" t="str">
        <f aca="false">IF(AND(B1366="",C1366=""),"",ROW()-6)</f>
        <v/>
      </c>
      <c r="B1366" s="83"/>
      <c r="C1366" s="15"/>
      <c r="D1366" s="15"/>
      <c r="E1366" s="85"/>
      <c r="F1366" s="15"/>
      <c r="G1366" s="15"/>
      <c r="H1366" s="96"/>
      <c r="I1366" s="16"/>
      <c r="J1366" s="37" t="str">
        <f aca="false">IF(I1366="","",IF(H1366="",1,H1366)*I1366)</f>
        <v/>
      </c>
      <c r="K1366" s="15"/>
      <c r="L1366" s="97" t="str">
        <f aca="false">IF(C1366="","",IF(OR(C1366="Material",C1366="Equipo",C1366="Suministro"),"Materiales y equipos",IF(C1366="Mano de obra contratista","Mano de obra contratista",IF(C1366="Transporte","Transporte y otros","Alquileres"))))</f>
        <v/>
      </c>
      <c r="M1366" s="6"/>
    </row>
    <row r="1367" customFormat="false" ht="16.5" hidden="false" customHeight="true" outlineLevel="0" collapsed="false">
      <c r="A1367" s="95" t="str">
        <f aca="false">IF(AND(B1367="",C1367=""),"",ROW()-6)</f>
        <v/>
      </c>
      <c r="B1367" s="83"/>
      <c r="C1367" s="15"/>
      <c r="D1367" s="15"/>
      <c r="E1367" s="85"/>
      <c r="F1367" s="15"/>
      <c r="G1367" s="15"/>
      <c r="H1367" s="96"/>
      <c r="I1367" s="16"/>
      <c r="J1367" s="37" t="str">
        <f aca="false">IF(I1367="","",IF(H1367="",1,H1367)*I1367)</f>
        <v/>
      </c>
      <c r="K1367" s="15"/>
      <c r="L1367" s="97" t="str">
        <f aca="false">IF(C1367="","",IF(OR(C1367="Material",C1367="Equipo",C1367="Suministro"),"Materiales y equipos",IF(C1367="Mano de obra contratista","Mano de obra contratista",IF(C1367="Transporte","Transporte y otros","Alquileres"))))</f>
        <v/>
      </c>
      <c r="M1367" s="6"/>
    </row>
    <row r="1368" customFormat="false" ht="16.5" hidden="false" customHeight="true" outlineLevel="0" collapsed="false">
      <c r="A1368" s="95" t="str">
        <f aca="false">IF(AND(B1368="",C1368=""),"",ROW()-6)</f>
        <v/>
      </c>
      <c r="B1368" s="83"/>
      <c r="C1368" s="15"/>
      <c r="D1368" s="15"/>
      <c r="E1368" s="85"/>
      <c r="F1368" s="15"/>
      <c r="G1368" s="15"/>
      <c r="H1368" s="96"/>
      <c r="I1368" s="16"/>
      <c r="J1368" s="37" t="str">
        <f aca="false">IF(I1368="","",IF(H1368="",1,H1368)*I1368)</f>
        <v/>
      </c>
      <c r="K1368" s="15"/>
      <c r="L1368" s="97" t="str">
        <f aca="false">IF(C1368="","",IF(OR(C1368="Material",C1368="Equipo",C1368="Suministro"),"Materiales y equipos",IF(C1368="Mano de obra contratista","Mano de obra contratista",IF(C1368="Transporte","Transporte y otros","Alquileres"))))</f>
        <v/>
      </c>
      <c r="M1368" s="6"/>
    </row>
    <row r="1369" customFormat="false" ht="16.5" hidden="false" customHeight="true" outlineLevel="0" collapsed="false">
      <c r="A1369" s="95" t="str">
        <f aca="false">IF(AND(B1369="",C1369=""),"",ROW()-6)</f>
        <v/>
      </c>
      <c r="B1369" s="83"/>
      <c r="C1369" s="15"/>
      <c r="D1369" s="15"/>
      <c r="E1369" s="85"/>
      <c r="F1369" s="15"/>
      <c r="G1369" s="15"/>
      <c r="H1369" s="96"/>
      <c r="I1369" s="16"/>
      <c r="J1369" s="37" t="str">
        <f aca="false">IF(I1369="","",IF(H1369="",1,H1369)*I1369)</f>
        <v/>
      </c>
      <c r="K1369" s="15"/>
      <c r="L1369" s="97" t="str">
        <f aca="false">IF(C1369="","",IF(OR(C1369="Material",C1369="Equipo",C1369="Suministro"),"Materiales y equipos",IF(C1369="Mano de obra contratista","Mano de obra contratista",IF(C1369="Transporte","Transporte y otros","Alquileres"))))</f>
        <v/>
      </c>
      <c r="M1369" s="6"/>
    </row>
    <row r="1370" customFormat="false" ht="16.5" hidden="false" customHeight="true" outlineLevel="0" collapsed="false">
      <c r="A1370" s="95" t="str">
        <f aca="false">IF(AND(B1370="",C1370=""),"",ROW()-6)</f>
        <v/>
      </c>
      <c r="B1370" s="83"/>
      <c r="C1370" s="15"/>
      <c r="D1370" s="15"/>
      <c r="E1370" s="85"/>
      <c r="F1370" s="15"/>
      <c r="G1370" s="15"/>
      <c r="H1370" s="96"/>
      <c r="I1370" s="16"/>
      <c r="J1370" s="37" t="str">
        <f aca="false">IF(I1370="","",IF(H1370="",1,H1370)*I1370)</f>
        <v/>
      </c>
      <c r="K1370" s="15"/>
      <c r="L1370" s="97" t="str">
        <f aca="false">IF(C1370="","",IF(OR(C1370="Material",C1370="Equipo",C1370="Suministro"),"Materiales y equipos",IF(C1370="Mano de obra contratista","Mano de obra contratista",IF(C1370="Transporte","Transporte y otros","Alquileres"))))</f>
        <v/>
      </c>
      <c r="M1370" s="6"/>
    </row>
    <row r="1371" customFormat="false" ht="16.5" hidden="false" customHeight="true" outlineLevel="0" collapsed="false">
      <c r="A1371" s="95" t="str">
        <f aca="false">IF(AND(B1371="",C1371=""),"",ROW()-6)</f>
        <v/>
      </c>
      <c r="B1371" s="83"/>
      <c r="C1371" s="15"/>
      <c r="D1371" s="15"/>
      <c r="E1371" s="85"/>
      <c r="F1371" s="15"/>
      <c r="G1371" s="15"/>
      <c r="H1371" s="96"/>
      <c r="I1371" s="16"/>
      <c r="J1371" s="37" t="str">
        <f aca="false">IF(I1371="","",IF(H1371="",1,H1371)*I1371)</f>
        <v/>
      </c>
      <c r="K1371" s="15"/>
      <c r="L1371" s="97" t="str">
        <f aca="false">IF(C1371="","",IF(OR(C1371="Material",C1371="Equipo",C1371="Suministro"),"Materiales y equipos",IF(C1371="Mano de obra contratista","Mano de obra contratista",IF(C1371="Transporte","Transporte y otros","Alquileres"))))</f>
        <v/>
      </c>
      <c r="M1371" s="6"/>
    </row>
    <row r="1372" customFormat="false" ht="16.5" hidden="false" customHeight="true" outlineLevel="0" collapsed="false">
      <c r="A1372" s="95" t="str">
        <f aca="false">IF(AND(B1372="",C1372=""),"",ROW()-6)</f>
        <v/>
      </c>
      <c r="B1372" s="83"/>
      <c r="C1372" s="15"/>
      <c r="D1372" s="15"/>
      <c r="E1372" s="85"/>
      <c r="F1372" s="15"/>
      <c r="G1372" s="15"/>
      <c r="H1372" s="96"/>
      <c r="I1372" s="16"/>
      <c r="J1372" s="37" t="str">
        <f aca="false">IF(I1372="","",IF(H1372="",1,H1372)*I1372)</f>
        <v/>
      </c>
      <c r="K1372" s="15"/>
      <c r="L1372" s="97" t="str">
        <f aca="false">IF(C1372="","",IF(OR(C1372="Material",C1372="Equipo",C1372="Suministro"),"Materiales y equipos",IF(C1372="Mano de obra contratista","Mano de obra contratista",IF(C1372="Transporte","Transporte y otros","Alquileres"))))</f>
        <v/>
      </c>
      <c r="M1372" s="6"/>
    </row>
    <row r="1373" customFormat="false" ht="16.5" hidden="false" customHeight="true" outlineLevel="0" collapsed="false">
      <c r="A1373" s="95" t="str">
        <f aca="false">IF(AND(B1373="",C1373=""),"",ROW()-6)</f>
        <v/>
      </c>
      <c r="B1373" s="83"/>
      <c r="C1373" s="15"/>
      <c r="D1373" s="15"/>
      <c r="E1373" s="85"/>
      <c r="F1373" s="15"/>
      <c r="G1373" s="15"/>
      <c r="H1373" s="96"/>
      <c r="I1373" s="16"/>
      <c r="J1373" s="37" t="str">
        <f aca="false">IF(I1373="","",IF(H1373="",1,H1373)*I1373)</f>
        <v/>
      </c>
      <c r="K1373" s="15"/>
      <c r="L1373" s="97" t="str">
        <f aca="false">IF(C1373="","",IF(OR(C1373="Material",C1373="Equipo",C1373="Suministro"),"Materiales y equipos",IF(C1373="Mano de obra contratista","Mano de obra contratista",IF(C1373="Transporte","Transporte y otros","Alquileres"))))</f>
        <v/>
      </c>
      <c r="M1373" s="6"/>
    </row>
    <row r="1374" customFormat="false" ht="16.5" hidden="false" customHeight="true" outlineLevel="0" collapsed="false">
      <c r="A1374" s="95" t="str">
        <f aca="false">IF(AND(B1374="",C1374=""),"",ROW()-6)</f>
        <v/>
      </c>
      <c r="B1374" s="83"/>
      <c r="C1374" s="15"/>
      <c r="D1374" s="15"/>
      <c r="E1374" s="85"/>
      <c r="F1374" s="15"/>
      <c r="G1374" s="15"/>
      <c r="H1374" s="96"/>
      <c r="I1374" s="16"/>
      <c r="J1374" s="37" t="str">
        <f aca="false">IF(I1374="","",IF(H1374="",1,H1374)*I1374)</f>
        <v/>
      </c>
      <c r="K1374" s="15"/>
      <c r="L1374" s="97" t="str">
        <f aca="false">IF(C1374="","",IF(OR(C1374="Material",C1374="Equipo",C1374="Suministro"),"Materiales y equipos",IF(C1374="Mano de obra contratista","Mano de obra contratista",IF(C1374="Transporte","Transporte y otros","Alquileres"))))</f>
        <v/>
      </c>
      <c r="M1374" s="6"/>
    </row>
    <row r="1375" customFormat="false" ht="16.5" hidden="false" customHeight="true" outlineLevel="0" collapsed="false">
      <c r="A1375" s="95" t="str">
        <f aca="false">IF(AND(B1375="",C1375=""),"",ROW()-6)</f>
        <v/>
      </c>
      <c r="B1375" s="83"/>
      <c r="C1375" s="15"/>
      <c r="D1375" s="15"/>
      <c r="E1375" s="85"/>
      <c r="F1375" s="15"/>
      <c r="G1375" s="15"/>
      <c r="H1375" s="96"/>
      <c r="I1375" s="16"/>
      <c r="J1375" s="37" t="str">
        <f aca="false">IF(I1375="","",IF(H1375="",1,H1375)*I1375)</f>
        <v/>
      </c>
      <c r="K1375" s="15"/>
      <c r="L1375" s="97" t="str">
        <f aca="false">IF(C1375="","",IF(OR(C1375="Material",C1375="Equipo",C1375="Suministro"),"Materiales y equipos",IF(C1375="Mano de obra contratista","Mano de obra contratista",IF(C1375="Transporte","Transporte y otros","Alquileres"))))</f>
        <v/>
      </c>
      <c r="M1375" s="6"/>
    </row>
    <row r="1376" customFormat="false" ht="16.5" hidden="false" customHeight="true" outlineLevel="0" collapsed="false">
      <c r="A1376" s="95" t="str">
        <f aca="false">IF(AND(B1376="",C1376=""),"",ROW()-6)</f>
        <v/>
      </c>
      <c r="B1376" s="83"/>
      <c r="C1376" s="15"/>
      <c r="D1376" s="15"/>
      <c r="E1376" s="85"/>
      <c r="F1376" s="15"/>
      <c r="G1376" s="15"/>
      <c r="H1376" s="96"/>
      <c r="I1376" s="16"/>
      <c r="J1376" s="37" t="str">
        <f aca="false">IF(I1376="","",IF(H1376="",1,H1376)*I1376)</f>
        <v/>
      </c>
      <c r="K1376" s="15"/>
      <c r="L1376" s="97" t="str">
        <f aca="false">IF(C1376="","",IF(OR(C1376="Material",C1376="Equipo",C1376="Suministro"),"Materiales y equipos",IF(C1376="Mano de obra contratista","Mano de obra contratista",IF(C1376="Transporte","Transporte y otros","Alquileres"))))</f>
        <v/>
      </c>
      <c r="M1376" s="6"/>
    </row>
    <row r="1377" customFormat="false" ht="16.5" hidden="false" customHeight="true" outlineLevel="0" collapsed="false">
      <c r="A1377" s="95" t="str">
        <f aca="false">IF(AND(B1377="",C1377=""),"",ROW()-6)</f>
        <v/>
      </c>
      <c r="B1377" s="83"/>
      <c r="C1377" s="15"/>
      <c r="D1377" s="15"/>
      <c r="E1377" s="85"/>
      <c r="F1377" s="15"/>
      <c r="G1377" s="15"/>
      <c r="H1377" s="96"/>
      <c r="I1377" s="16"/>
      <c r="J1377" s="37" t="str">
        <f aca="false">IF(I1377="","",IF(H1377="",1,H1377)*I1377)</f>
        <v/>
      </c>
      <c r="K1377" s="15"/>
      <c r="L1377" s="97" t="str">
        <f aca="false">IF(C1377="","",IF(OR(C1377="Material",C1377="Equipo",C1377="Suministro"),"Materiales y equipos",IF(C1377="Mano de obra contratista","Mano de obra contratista",IF(C1377="Transporte","Transporte y otros","Alquileres"))))</f>
        <v/>
      </c>
      <c r="M1377" s="6"/>
    </row>
    <row r="1378" customFormat="false" ht="16.5" hidden="false" customHeight="true" outlineLevel="0" collapsed="false">
      <c r="A1378" s="95" t="str">
        <f aca="false">IF(AND(B1378="",C1378=""),"",ROW()-6)</f>
        <v/>
      </c>
      <c r="B1378" s="83"/>
      <c r="C1378" s="15"/>
      <c r="D1378" s="15"/>
      <c r="E1378" s="85"/>
      <c r="F1378" s="15"/>
      <c r="G1378" s="15"/>
      <c r="H1378" s="96"/>
      <c r="I1378" s="16"/>
      <c r="J1378" s="37" t="str">
        <f aca="false">IF(I1378="","",IF(H1378="",1,H1378)*I1378)</f>
        <v/>
      </c>
      <c r="K1378" s="15"/>
      <c r="L1378" s="97" t="str">
        <f aca="false">IF(C1378="","",IF(OR(C1378="Material",C1378="Equipo",C1378="Suministro"),"Materiales y equipos",IF(C1378="Mano de obra contratista","Mano de obra contratista",IF(C1378="Transporte","Transporte y otros","Alquileres"))))</f>
        <v/>
      </c>
      <c r="M1378" s="6"/>
    </row>
    <row r="1379" customFormat="false" ht="16.5" hidden="false" customHeight="true" outlineLevel="0" collapsed="false">
      <c r="A1379" s="95" t="str">
        <f aca="false">IF(AND(B1379="",C1379=""),"",ROW()-6)</f>
        <v/>
      </c>
      <c r="B1379" s="83"/>
      <c r="C1379" s="15"/>
      <c r="D1379" s="15"/>
      <c r="E1379" s="85"/>
      <c r="F1379" s="15"/>
      <c r="G1379" s="15"/>
      <c r="H1379" s="96"/>
      <c r="I1379" s="16"/>
      <c r="J1379" s="37" t="str">
        <f aca="false">IF(I1379="","",IF(H1379="",1,H1379)*I1379)</f>
        <v/>
      </c>
      <c r="K1379" s="15"/>
      <c r="L1379" s="97" t="str">
        <f aca="false">IF(C1379="","",IF(OR(C1379="Material",C1379="Equipo",C1379="Suministro"),"Materiales y equipos",IF(C1379="Mano de obra contratista","Mano de obra contratista",IF(C1379="Transporte","Transporte y otros","Alquileres"))))</f>
        <v/>
      </c>
      <c r="M1379" s="6"/>
    </row>
    <row r="1380" customFormat="false" ht="16.5" hidden="false" customHeight="true" outlineLevel="0" collapsed="false">
      <c r="A1380" s="95" t="str">
        <f aca="false">IF(AND(B1380="",C1380=""),"",ROW()-6)</f>
        <v/>
      </c>
      <c r="B1380" s="83"/>
      <c r="C1380" s="15"/>
      <c r="D1380" s="15"/>
      <c r="E1380" s="85"/>
      <c r="F1380" s="15"/>
      <c r="G1380" s="15"/>
      <c r="H1380" s="96"/>
      <c r="I1380" s="16"/>
      <c r="J1380" s="37" t="str">
        <f aca="false">IF(I1380="","",IF(H1380="",1,H1380)*I1380)</f>
        <v/>
      </c>
      <c r="K1380" s="15"/>
      <c r="L1380" s="97" t="str">
        <f aca="false">IF(C1380="","",IF(OR(C1380="Material",C1380="Equipo",C1380="Suministro"),"Materiales y equipos",IF(C1380="Mano de obra contratista","Mano de obra contratista",IF(C1380="Transporte","Transporte y otros","Alquileres"))))</f>
        <v/>
      </c>
      <c r="M1380" s="6"/>
    </row>
    <row r="1381" customFormat="false" ht="16.5" hidden="false" customHeight="true" outlineLevel="0" collapsed="false">
      <c r="A1381" s="95" t="str">
        <f aca="false">IF(AND(B1381="",C1381=""),"",ROW()-6)</f>
        <v/>
      </c>
      <c r="B1381" s="83"/>
      <c r="C1381" s="15"/>
      <c r="D1381" s="15"/>
      <c r="E1381" s="85"/>
      <c r="F1381" s="15"/>
      <c r="G1381" s="15"/>
      <c r="H1381" s="96"/>
      <c r="I1381" s="16"/>
      <c r="J1381" s="37" t="str">
        <f aca="false">IF(I1381="","",IF(H1381="",1,H1381)*I1381)</f>
        <v/>
      </c>
      <c r="K1381" s="15"/>
      <c r="L1381" s="97" t="str">
        <f aca="false">IF(C1381="","",IF(OR(C1381="Material",C1381="Equipo",C1381="Suministro"),"Materiales y equipos",IF(C1381="Mano de obra contratista","Mano de obra contratista",IF(C1381="Transporte","Transporte y otros","Alquileres"))))</f>
        <v/>
      </c>
      <c r="M1381" s="6"/>
    </row>
    <row r="1382" customFormat="false" ht="16.5" hidden="false" customHeight="true" outlineLevel="0" collapsed="false">
      <c r="A1382" s="95" t="str">
        <f aca="false">IF(AND(B1382="",C1382=""),"",ROW()-6)</f>
        <v/>
      </c>
      <c r="B1382" s="83"/>
      <c r="C1382" s="15"/>
      <c r="D1382" s="15"/>
      <c r="E1382" s="85"/>
      <c r="F1382" s="15"/>
      <c r="G1382" s="15"/>
      <c r="H1382" s="96"/>
      <c r="I1382" s="16"/>
      <c r="J1382" s="37" t="str">
        <f aca="false">IF(I1382="","",IF(H1382="",1,H1382)*I1382)</f>
        <v/>
      </c>
      <c r="K1382" s="15"/>
      <c r="L1382" s="97" t="str">
        <f aca="false">IF(C1382="","",IF(OR(C1382="Material",C1382="Equipo",C1382="Suministro"),"Materiales y equipos",IF(C1382="Mano de obra contratista","Mano de obra contratista",IF(C1382="Transporte","Transporte y otros","Alquileres"))))</f>
        <v/>
      </c>
      <c r="M1382" s="6"/>
    </row>
    <row r="1383" customFormat="false" ht="16.5" hidden="false" customHeight="true" outlineLevel="0" collapsed="false">
      <c r="A1383" s="95" t="str">
        <f aca="false">IF(AND(B1383="",C1383=""),"",ROW()-6)</f>
        <v/>
      </c>
      <c r="B1383" s="83"/>
      <c r="C1383" s="15"/>
      <c r="D1383" s="15"/>
      <c r="E1383" s="85"/>
      <c r="F1383" s="15"/>
      <c r="G1383" s="15"/>
      <c r="H1383" s="96"/>
      <c r="I1383" s="16"/>
      <c r="J1383" s="37" t="str">
        <f aca="false">IF(I1383="","",IF(H1383="",1,H1383)*I1383)</f>
        <v/>
      </c>
      <c r="K1383" s="15"/>
      <c r="L1383" s="97" t="str">
        <f aca="false">IF(C1383="","",IF(OR(C1383="Material",C1383="Equipo",C1383="Suministro"),"Materiales y equipos",IF(C1383="Mano de obra contratista","Mano de obra contratista",IF(C1383="Transporte","Transporte y otros","Alquileres"))))</f>
        <v/>
      </c>
      <c r="M1383" s="6"/>
    </row>
    <row r="1384" customFormat="false" ht="16.5" hidden="false" customHeight="true" outlineLevel="0" collapsed="false">
      <c r="A1384" s="95" t="str">
        <f aca="false">IF(AND(B1384="",C1384=""),"",ROW()-6)</f>
        <v/>
      </c>
      <c r="B1384" s="83"/>
      <c r="C1384" s="15"/>
      <c r="D1384" s="15"/>
      <c r="E1384" s="85"/>
      <c r="F1384" s="15"/>
      <c r="G1384" s="15"/>
      <c r="H1384" s="96"/>
      <c r="I1384" s="16"/>
      <c r="J1384" s="37" t="str">
        <f aca="false">IF(I1384="","",IF(H1384="",1,H1384)*I1384)</f>
        <v/>
      </c>
      <c r="K1384" s="15"/>
      <c r="L1384" s="97" t="str">
        <f aca="false">IF(C1384="","",IF(OR(C1384="Material",C1384="Equipo",C1384="Suministro"),"Materiales y equipos",IF(C1384="Mano de obra contratista","Mano de obra contratista",IF(C1384="Transporte","Transporte y otros","Alquileres"))))</f>
        <v/>
      </c>
      <c r="M1384" s="6"/>
    </row>
    <row r="1385" customFormat="false" ht="16.5" hidden="false" customHeight="true" outlineLevel="0" collapsed="false">
      <c r="A1385" s="95" t="str">
        <f aca="false">IF(AND(B1385="",C1385=""),"",ROW()-6)</f>
        <v/>
      </c>
      <c r="B1385" s="83"/>
      <c r="C1385" s="15"/>
      <c r="D1385" s="15"/>
      <c r="E1385" s="85"/>
      <c r="F1385" s="15"/>
      <c r="G1385" s="15"/>
      <c r="H1385" s="96"/>
      <c r="I1385" s="16"/>
      <c r="J1385" s="37" t="str">
        <f aca="false">IF(I1385="","",IF(H1385="",1,H1385)*I1385)</f>
        <v/>
      </c>
      <c r="K1385" s="15"/>
      <c r="L1385" s="97" t="str">
        <f aca="false">IF(C1385="","",IF(OR(C1385="Material",C1385="Equipo",C1385="Suministro"),"Materiales y equipos",IF(C1385="Mano de obra contratista","Mano de obra contratista",IF(C1385="Transporte","Transporte y otros","Alquileres"))))</f>
        <v/>
      </c>
      <c r="M1385" s="6"/>
    </row>
    <row r="1386" customFormat="false" ht="16.5" hidden="false" customHeight="true" outlineLevel="0" collapsed="false">
      <c r="A1386" s="95" t="str">
        <f aca="false">IF(AND(B1386="",C1386=""),"",ROW()-6)</f>
        <v/>
      </c>
      <c r="B1386" s="83"/>
      <c r="C1386" s="15"/>
      <c r="D1386" s="15"/>
      <c r="E1386" s="85"/>
      <c r="F1386" s="15"/>
      <c r="G1386" s="15"/>
      <c r="H1386" s="96"/>
      <c r="I1386" s="16"/>
      <c r="J1386" s="37" t="str">
        <f aca="false">IF(I1386="","",IF(H1386="",1,H1386)*I1386)</f>
        <v/>
      </c>
      <c r="K1386" s="15"/>
      <c r="L1386" s="97" t="str">
        <f aca="false">IF(C1386="","",IF(OR(C1386="Material",C1386="Equipo",C1386="Suministro"),"Materiales y equipos",IF(C1386="Mano de obra contratista","Mano de obra contratista",IF(C1386="Transporte","Transporte y otros","Alquileres"))))</f>
        <v/>
      </c>
      <c r="M1386" s="6"/>
    </row>
    <row r="1387" customFormat="false" ht="16.5" hidden="false" customHeight="true" outlineLevel="0" collapsed="false">
      <c r="A1387" s="95" t="str">
        <f aca="false">IF(AND(B1387="",C1387=""),"",ROW()-6)</f>
        <v/>
      </c>
      <c r="B1387" s="83"/>
      <c r="C1387" s="15"/>
      <c r="D1387" s="15"/>
      <c r="E1387" s="85"/>
      <c r="F1387" s="15"/>
      <c r="G1387" s="15"/>
      <c r="H1387" s="96"/>
      <c r="I1387" s="16"/>
      <c r="J1387" s="37" t="str">
        <f aca="false">IF(I1387="","",IF(H1387="",1,H1387)*I1387)</f>
        <v/>
      </c>
      <c r="K1387" s="15"/>
      <c r="L1387" s="97" t="str">
        <f aca="false">IF(C1387="","",IF(OR(C1387="Material",C1387="Equipo",C1387="Suministro"),"Materiales y equipos",IF(C1387="Mano de obra contratista","Mano de obra contratista",IF(C1387="Transporte","Transporte y otros","Alquileres"))))</f>
        <v/>
      </c>
      <c r="M1387" s="6"/>
    </row>
    <row r="1388" customFormat="false" ht="16.5" hidden="false" customHeight="true" outlineLevel="0" collapsed="false">
      <c r="A1388" s="95" t="str">
        <f aca="false">IF(AND(B1388="",C1388=""),"",ROW()-6)</f>
        <v/>
      </c>
      <c r="B1388" s="83"/>
      <c r="C1388" s="15"/>
      <c r="D1388" s="15"/>
      <c r="E1388" s="85"/>
      <c r="F1388" s="15"/>
      <c r="G1388" s="15"/>
      <c r="H1388" s="96"/>
      <c r="I1388" s="16"/>
      <c r="J1388" s="37" t="str">
        <f aca="false">IF(I1388="","",IF(H1388="",1,H1388)*I1388)</f>
        <v/>
      </c>
      <c r="K1388" s="15"/>
      <c r="L1388" s="97" t="str">
        <f aca="false">IF(C1388="","",IF(OR(C1388="Material",C1388="Equipo",C1388="Suministro"),"Materiales y equipos",IF(C1388="Mano de obra contratista","Mano de obra contratista",IF(C1388="Transporte","Transporte y otros","Alquileres"))))</f>
        <v/>
      </c>
      <c r="M1388" s="6"/>
    </row>
    <row r="1389" customFormat="false" ht="16.5" hidden="false" customHeight="true" outlineLevel="0" collapsed="false">
      <c r="A1389" s="95" t="str">
        <f aca="false">IF(AND(B1389="",C1389=""),"",ROW()-6)</f>
        <v/>
      </c>
      <c r="B1389" s="83"/>
      <c r="C1389" s="15"/>
      <c r="D1389" s="15"/>
      <c r="E1389" s="85"/>
      <c r="F1389" s="15"/>
      <c r="G1389" s="15"/>
      <c r="H1389" s="96"/>
      <c r="I1389" s="16"/>
      <c r="J1389" s="37" t="str">
        <f aca="false">IF(I1389="","",IF(H1389="",1,H1389)*I1389)</f>
        <v/>
      </c>
      <c r="K1389" s="15"/>
      <c r="L1389" s="97" t="str">
        <f aca="false">IF(C1389="","",IF(OR(C1389="Material",C1389="Equipo",C1389="Suministro"),"Materiales y equipos",IF(C1389="Mano de obra contratista","Mano de obra contratista",IF(C1389="Transporte","Transporte y otros","Alquileres"))))</f>
        <v/>
      </c>
      <c r="M1389" s="6"/>
    </row>
    <row r="1390" customFormat="false" ht="16.5" hidden="false" customHeight="true" outlineLevel="0" collapsed="false">
      <c r="A1390" s="95" t="str">
        <f aca="false">IF(AND(B1390="",C1390=""),"",ROW()-6)</f>
        <v/>
      </c>
      <c r="B1390" s="83"/>
      <c r="C1390" s="15"/>
      <c r="D1390" s="15"/>
      <c r="E1390" s="85"/>
      <c r="F1390" s="15"/>
      <c r="G1390" s="15"/>
      <c r="H1390" s="96"/>
      <c r="I1390" s="16"/>
      <c r="J1390" s="37" t="str">
        <f aca="false">IF(I1390="","",IF(H1390="",1,H1390)*I1390)</f>
        <v/>
      </c>
      <c r="K1390" s="15"/>
      <c r="L1390" s="97" t="str">
        <f aca="false">IF(C1390="","",IF(OR(C1390="Material",C1390="Equipo",C1390="Suministro"),"Materiales y equipos",IF(C1390="Mano de obra contratista","Mano de obra contratista",IF(C1390="Transporte","Transporte y otros","Alquileres"))))</f>
        <v/>
      </c>
      <c r="M1390" s="6"/>
    </row>
    <row r="1391" customFormat="false" ht="16.5" hidden="false" customHeight="true" outlineLevel="0" collapsed="false">
      <c r="A1391" s="95" t="str">
        <f aca="false">IF(AND(B1391="",C1391=""),"",ROW()-6)</f>
        <v/>
      </c>
      <c r="B1391" s="83"/>
      <c r="C1391" s="15"/>
      <c r="D1391" s="15"/>
      <c r="E1391" s="85"/>
      <c r="F1391" s="15"/>
      <c r="G1391" s="15"/>
      <c r="H1391" s="96"/>
      <c r="I1391" s="16"/>
      <c r="J1391" s="37" t="str">
        <f aca="false">IF(I1391="","",IF(H1391="",1,H1391)*I1391)</f>
        <v/>
      </c>
      <c r="K1391" s="15"/>
      <c r="L1391" s="97" t="str">
        <f aca="false">IF(C1391="","",IF(OR(C1391="Material",C1391="Equipo",C1391="Suministro"),"Materiales y equipos",IF(C1391="Mano de obra contratista","Mano de obra contratista",IF(C1391="Transporte","Transporte y otros","Alquileres"))))</f>
        <v/>
      </c>
      <c r="M1391" s="6"/>
    </row>
    <row r="1392" customFormat="false" ht="16.5" hidden="false" customHeight="true" outlineLevel="0" collapsed="false">
      <c r="A1392" s="95" t="str">
        <f aca="false">IF(AND(B1392="",C1392=""),"",ROW()-6)</f>
        <v/>
      </c>
      <c r="B1392" s="83"/>
      <c r="C1392" s="15"/>
      <c r="D1392" s="15"/>
      <c r="E1392" s="85"/>
      <c r="F1392" s="15"/>
      <c r="G1392" s="15"/>
      <c r="H1392" s="96"/>
      <c r="I1392" s="16"/>
      <c r="J1392" s="37" t="str">
        <f aca="false">IF(I1392="","",IF(H1392="",1,H1392)*I1392)</f>
        <v/>
      </c>
      <c r="K1392" s="15"/>
      <c r="L1392" s="97" t="str">
        <f aca="false">IF(C1392="","",IF(OR(C1392="Material",C1392="Equipo",C1392="Suministro"),"Materiales y equipos",IF(C1392="Mano de obra contratista","Mano de obra contratista",IF(C1392="Transporte","Transporte y otros","Alquileres"))))</f>
        <v/>
      </c>
      <c r="M1392" s="6"/>
    </row>
    <row r="1393" customFormat="false" ht="16.5" hidden="false" customHeight="true" outlineLevel="0" collapsed="false">
      <c r="A1393" s="95" t="str">
        <f aca="false">IF(AND(B1393="",C1393=""),"",ROW()-6)</f>
        <v/>
      </c>
      <c r="B1393" s="83"/>
      <c r="C1393" s="15"/>
      <c r="D1393" s="15"/>
      <c r="E1393" s="85"/>
      <c r="F1393" s="15"/>
      <c r="G1393" s="15"/>
      <c r="H1393" s="96"/>
      <c r="I1393" s="16"/>
      <c r="J1393" s="37" t="str">
        <f aca="false">IF(I1393="","",IF(H1393="",1,H1393)*I1393)</f>
        <v/>
      </c>
      <c r="K1393" s="15"/>
      <c r="L1393" s="97" t="str">
        <f aca="false">IF(C1393="","",IF(OR(C1393="Material",C1393="Equipo",C1393="Suministro"),"Materiales y equipos",IF(C1393="Mano de obra contratista","Mano de obra contratista",IF(C1393="Transporte","Transporte y otros","Alquileres"))))</f>
        <v/>
      </c>
      <c r="M1393" s="6"/>
    </row>
    <row r="1394" customFormat="false" ht="16.5" hidden="false" customHeight="true" outlineLevel="0" collapsed="false">
      <c r="A1394" s="95" t="str">
        <f aca="false">IF(AND(B1394="",C1394=""),"",ROW()-6)</f>
        <v/>
      </c>
      <c r="B1394" s="83"/>
      <c r="C1394" s="15"/>
      <c r="D1394" s="15"/>
      <c r="E1394" s="85"/>
      <c r="F1394" s="15"/>
      <c r="G1394" s="15"/>
      <c r="H1394" s="96"/>
      <c r="I1394" s="16"/>
      <c r="J1394" s="37" t="str">
        <f aca="false">IF(I1394="","",IF(H1394="",1,H1394)*I1394)</f>
        <v/>
      </c>
      <c r="K1394" s="15"/>
      <c r="L1394" s="97" t="str">
        <f aca="false">IF(C1394="","",IF(OR(C1394="Material",C1394="Equipo",C1394="Suministro"),"Materiales y equipos",IF(C1394="Mano de obra contratista","Mano de obra contratista",IF(C1394="Transporte","Transporte y otros","Alquileres"))))</f>
        <v/>
      </c>
      <c r="M1394" s="6"/>
    </row>
    <row r="1395" customFormat="false" ht="16.5" hidden="false" customHeight="true" outlineLevel="0" collapsed="false">
      <c r="A1395" s="95" t="str">
        <f aca="false">IF(AND(B1395="",C1395=""),"",ROW()-6)</f>
        <v/>
      </c>
      <c r="B1395" s="83"/>
      <c r="C1395" s="15"/>
      <c r="D1395" s="15"/>
      <c r="E1395" s="85"/>
      <c r="F1395" s="15"/>
      <c r="G1395" s="15"/>
      <c r="H1395" s="96"/>
      <c r="I1395" s="16"/>
      <c r="J1395" s="37" t="str">
        <f aca="false">IF(I1395="","",IF(H1395="",1,H1395)*I1395)</f>
        <v/>
      </c>
      <c r="K1395" s="15"/>
      <c r="L1395" s="97" t="str">
        <f aca="false">IF(C1395="","",IF(OR(C1395="Material",C1395="Equipo",C1395="Suministro"),"Materiales y equipos",IF(C1395="Mano de obra contratista","Mano de obra contratista",IF(C1395="Transporte","Transporte y otros","Alquileres"))))</f>
        <v/>
      </c>
      <c r="M1395" s="6"/>
    </row>
    <row r="1396" customFormat="false" ht="16.5" hidden="false" customHeight="true" outlineLevel="0" collapsed="false">
      <c r="A1396" s="95" t="str">
        <f aca="false">IF(AND(B1396="",C1396=""),"",ROW()-6)</f>
        <v/>
      </c>
      <c r="B1396" s="83"/>
      <c r="C1396" s="15"/>
      <c r="D1396" s="15"/>
      <c r="E1396" s="85"/>
      <c r="F1396" s="15"/>
      <c r="G1396" s="15"/>
      <c r="H1396" s="96"/>
      <c r="I1396" s="16"/>
      <c r="J1396" s="37" t="str">
        <f aca="false">IF(I1396="","",IF(H1396="",1,H1396)*I1396)</f>
        <v/>
      </c>
      <c r="K1396" s="15"/>
      <c r="L1396" s="97" t="str">
        <f aca="false">IF(C1396="","",IF(OR(C1396="Material",C1396="Equipo",C1396="Suministro"),"Materiales y equipos",IF(C1396="Mano de obra contratista","Mano de obra contratista",IF(C1396="Transporte","Transporte y otros","Alquileres"))))</f>
        <v/>
      </c>
      <c r="M1396" s="6"/>
    </row>
    <row r="1397" customFormat="false" ht="16.5" hidden="false" customHeight="true" outlineLevel="0" collapsed="false">
      <c r="A1397" s="95" t="str">
        <f aca="false">IF(AND(B1397="",C1397=""),"",ROW()-6)</f>
        <v/>
      </c>
      <c r="B1397" s="83"/>
      <c r="C1397" s="15"/>
      <c r="D1397" s="15"/>
      <c r="E1397" s="85"/>
      <c r="F1397" s="15"/>
      <c r="G1397" s="15"/>
      <c r="H1397" s="96"/>
      <c r="I1397" s="16"/>
      <c r="J1397" s="37" t="str">
        <f aca="false">IF(I1397="","",IF(H1397="",1,H1397)*I1397)</f>
        <v/>
      </c>
      <c r="K1397" s="15"/>
      <c r="L1397" s="97" t="str">
        <f aca="false">IF(C1397="","",IF(OR(C1397="Material",C1397="Equipo",C1397="Suministro"),"Materiales y equipos",IF(C1397="Mano de obra contratista","Mano de obra contratista",IF(C1397="Transporte","Transporte y otros","Alquileres"))))</f>
        <v/>
      </c>
      <c r="M1397" s="6"/>
    </row>
    <row r="1398" customFormat="false" ht="16.5" hidden="false" customHeight="true" outlineLevel="0" collapsed="false">
      <c r="A1398" s="95" t="str">
        <f aca="false">IF(AND(B1398="",C1398=""),"",ROW()-6)</f>
        <v/>
      </c>
      <c r="B1398" s="83"/>
      <c r="C1398" s="15"/>
      <c r="D1398" s="15"/>
      <c r="E1398" s="85"/>
      <c r="F1398" s="15"/>
      <c r="G1398" s="15"/>
      <c r="H1398" s="96"/>
      <c r="I1398" s="16"/>
      <c r="J1398" s="37" t="str">
        <f aca="false">IF(I1398="","",IF(H1398="",1,H1398)*I1398)</f>
        <v/>
      </c>
      <c r="K1398" s="15"/>
      <c r="L1398" s="97" t="str">
        <f aca="false">IF(C1398="","",IF(OR(C1398="Material",C1398="Equipo",C1398="Suministro"),"Materiales y equipos",IF(C1398="Mano de obra contratista","Mano de obra contratista",IF(C1398="Transporte","Transporte y otros","Alquileres"))))</f>
        <v/>
      </c>
      <c r="M1398" s="6"/>
    </row>
    <row r="1399" customFormat="false" ht="16.5" hidden="false" customHeight="true" outlineLevel="0" collapsed="false">
      <c r="A1399" s="95" t="str">
        <f aca="false">IF(AND(B1399="",C1399=""),"",ROW()-6)</f>
        <v/>
      </c>
      <c r="B1399" s="83"/>
      <c r="C1399" s="15"/>
      <c r="D1399" s="15"/>
      <c r="E1399" s="85"/>
      <c r="F1399" s="15"/>
      <c r="G1399" s="15"/>
      <c r="H1399" s="96"/>
      <c r="I1399" s="16"/>
      <c r="J1399" s="37" t="str">
        <f aca="false">IF(I1399="","",IF(H1399="",1,H1399)*I1399)</f>
        <v/>
      </c>
      <c r="K1399" s="15"/>
      <c r="L1399" s="97" t="str">
        <f aca="false">IF(C1399="","",IF(OR(C1399="Material",C1399="Equipo",C1399="Suministro"),"Materiales y equipos",IF(C1399="Mano de obra contratista","Mano de obra contratista",IF(C1399="Transporte","Transporte y otros","Alquileres"))))</f>
        <v/>
      </c>
      <c r="M1399" s="6"/>
    </row>
    <row r="1400" customFormat="false" ht="16.5" hidden="false" customHeight="true" outlineLevel="0" collapsed="false">
      <c r="A1400" s="95" t="str">
        <f aca="false">IF(AND(B1400="",C1400=""),"",ROW()-6)</f>
        <v/>
      </c>
      <c r="B1400" s="83"/>
      <c r="C1400" s="15"/>
      <c r="D1400" s="15"/>
      <c r="E1400" s="85"/>
      <c r="F1400" s="15"/>
      <c r="G1400" s="15"/>
      <c r="H1400" s="96"/>
      <c r="I1400" s="16"/>
      <c r="J1400" s="37" t="str">
        <f aca="false">IF(I1400="","",IF(H1400="",1,H1400)*I1400)</f>
        <v/>
      </c>
      <c r="K1400" s="15"/>
      <c r="L1400" s="97" t="str">
        <f aca="false">IF(C1400="","",IF(OR(C1400="Material",C1400="Equipo",C1400="Suministro"),"Materiales y equipos",IF(C1400="Mano de obra contratista","Mano de obra contratista",IF(C1400="Transporte","Transporte y otros","Alquileres"))))</f>
        <v/>
      </c>
      <c r="M1400" s="6"/>
    </row>
    <row r="1401" customFormat="false" ht="16.5" hidden="false" customHeight="true" outlineLevel="0" collapsed="false">
      <c r="A1401" s="95" t="str">
        <f aca="false">IF(AND(B1401="",C1401=""),"",ROW()-6)</f>
        <v/>
      </c>
      <c r="B1401" s="83"/>
      <c r="C1401" s="15"/>
      <c r="D1401" s="15"/>
      <c r="E1401" s="85"/>
      <c r="F1401" s="15"/>
      <c r="G1401" s="15"/>
      <c r="H1401" s="96"/>
      <c r="I1401" s="16"/>
      <c r="J1401" s="37" t="str">
        <f aca="false">IF(I1401="","",IF(H1401="",1,H1401)*I1401)</f>
        <v/>
      </c>
      <c r="K1401" s="15"/>
      <c r="L1401" s="97" t="str">
        <f aca="false">IF(C1401="","",IF(OR(C1401="Material",C1401="Equipo",C1401="Suministro"),"Materiales y equipos",IF(C1401="Mano de obra contratista","Mano de obra contratista",IF(C1401="Transporte","Transporte y otros","Alquileres"))))</f>
        <v/>
      </c>
      <c r="M1401" s="6"/>
    </row>
    <row r="1402" customFormat="false" ht="16.5" hidden="false" customHeight="true" outlineLevel="0" collapsed="false">
      <c r="A1402" s="95" t="str">
        <f aca="false">IF(AND(B1402="",C1402=""),"",ROW()-6)</f>
        <v/>
      </c>
      <c r="B1402" s="83"/>
      <c r="C1402" s="15"/>
      <c r="D1402" s="15"/>
      <c r="E1402" s="85"/>
      <c r="F1402" s="15"/>
      <c r="G1402" s="15"/>
      <c r="H1402" s="96"/>
      <c r="I1402" s="16"/>
      <c r="J1402" s="37" t="str">
        <f aca="false">IF(I1402="","",IF(H1402="",1,H1402)*I1402)</f>
        <v/>
      </c>
      <c r="K1402" s="15"/>
      <c r="L1402" s="97" t="str">
        <f aca="false">IF(C1402="","",IF(OR(C1402="Material",C1402="Equipo",C1402="Suministro"),"Materiales y equipos",IF(C1402="Mano de obra contratista","Mano de obra contratista",IF(C1402="Transporte","Transporte y otros","Alquileres"))))</f>
        <v/>
      </c>
      <c r="M1402" s="6"/>
    </row>
    <row r="1403" customFormat="false" ht="16.5" hidden="false" customHeight="true" outlineLevel="0" collapsed="false">
      <c r="A1403" s="95" t="str">
        <f aca="false">IF(AND(B1403="",C1403=""),"",ROW()-6)</f>
        <v/>
      </c>
      <c r="B1403" s="83"/>
      <c r="C1403" s="15"/>
      <c r="D1403" s="15"/>
      <c r="E1403" s="85"/>
      <c r="F1403" s="15"/>
      <c r="G1403" s="15"/>
      <c r="H1403" s="96"/>
      <c r="I1403" s="16"/>
      <c r="J1403" s="37" t="str">
        <f aca="false">IF(I1403="","",IF(H1403="",1,H1403)*I1403)</f>
        <v/>
      </c>
      <c r="K1403" s="15"/>
      <c r="L1403" s="97" t="str">
        <f aca="false">IF(C1403="","",IF(OR(C1403="Material",C1403="Equipo",C1403="Suministro"),"Materiales y equipos",IF(C1403="Mano de obra contratista","Mano de obra contratista",IF(C1403="Transporte","Transporte y otros","Alquileres"))))</f>
        <v/>
      </c>
      <c r="M1403" s="6"/>
    </row>
    <row r="1404" customFormat="false" ht="16.5" hidden="false" customHeight="true" outlineLevel="0" collapsed="false">
      <c r="A1404" s="95" t="str">
        <f aca="false">IF(AND(B1404="",C1404=""),"",ROW()-6)</f>
        <v/>
      </c>
      <c r="B1404" s="83"/>
      <c r="C1404" s="15"/>
      <c r="D1404" s="15"/>
      <c r="E1404" s="85"/>
      <c r="F1404" s="15"/>
      <c r="G1404" s="15"/>
      <c r="H1404" s="96"/>
      <c r="I1404" s="16"/>
      <c r="J1404" s="37" t="str">
        <f aca="false">IF(I1404="","",IF(H1404="",1,H1404)*I1404)</f>
        <v/>
      </c>
      <c r="K1404" s="15"/>
      <c r="L1404" s="97" t="str">
        <f aca="false">IF(C1404="","",IF(OR(C1404="Material",C1404="Equipo",C1404="Suministro"),"Materiales y equipos",IF(C1404="Mano de obra contratista","Mano de obra contratista",IF(C1404="Transporte","Transporte y otros","Alquileres"))))</f>
        <v/>
      </c>
      <c r="M1404" s="6"/>
    </row>
    <row r="1405" customFormat="false" ht="16.5" hidden="false" customHeight="true" outlineLevel="0" collapsed="false">
      <c r="A1405" s="95" t="str">
        <f aca="false">IF(AND(B1405="",C1405=""),"",ROW()-6)</f>
        <v/>
      </c>
      <c r="B1405" s="83"/>
      <c r="C1405" s="15"/>
      <c r="D1405" s="15"/>
      <c r="E1405" s="85"/>
      <c r="F1405" s="15"/>
      <c r="G1405" s="15"/>
      <c r="H1405" s="96"/>
      <c r="I1405" s="16"/>
      <c r="J1405" s="37" t="str">
        <f aca="false">IF(I1405="","",IF(H1405="",1,H1405)*I1405)</f>
        <v/>
      </c>
      <c r="K1405" s="15"/>
      <c r="L1405" s="97" t="str">
        <f aca="false">IF(C1405="","",IF(OR(C1405="Material",C1405="Equipo",C1405="Suministro"),"Materiales y equipos",IF(C1405="Mano de obra contratista","Mano de obra contratista",IF(C1405="Transporte","Transporte y otros","Alquileres"))))</f>
        <v/>
      </c>
      <c r="M1405" s="6"/>
    </row>
    <row r="1406" customFormat="false" ht="16.5" hidden="false" customHeight="true" outlineLevel="0" collapsed="false">
      <c r="A1406" s="95" t="str">
        <f aca="false">IF(AND(B1406="",C1406=""),"",ROW()-6)</f>
        <v/>
      </c>
      <c r="B1406" s="83"/>
      <c r="C1406" s="15"/>
      <c r="D1406" s="15"/>
      <c r="E1406" s="85"/>
      <c r="F1406" s="15"/>
      <c r="G1406" s="15"/>
      <c r="H1406" s="96"/>
      <c r="I1406" s="16"/>
      <c r="J1406" s="37" t="str">
        <f aca="false">IF(I1406="","",IF(H1406="",1,H1406)*I1406)</f>
        <v/>
      </c>
      <c r="K1406" s="15"/>
      <c r="L1406" s="97" t="str">
        <f aca="false">IF(C1406="","",IF(OR(C1406="Material",C1406="Equipo",C1406="Suministro"),"Materiales y equipos",IF(C1406="Mano de obra contratista","Mano de obra contratista",IF(C1406="Transporte","Transporte y otros","Alquileres"))))</f>
        <v/>
      </c>
      <c r="M1406" s="6"/>
    </row>
    <row r="1407" customFormat="false" ht="16.5" hidden="false" customHeight="true" outlineLevel="0" collapsed="false">
      <c r="A1407" s="95" t="str">
        <f aca="false">IF(AND(B1407="",C1407=""),"",ROW()-6)</f>
        <v/>
      </c>
      <c r="B1407" s="83"/>
      <c r="C1407" s="15"/>
      <c r="D1407" s="15"/>
      <c r="E1407" s="85"/>
      <c r="F1407" s="15"/>
      <c r="G1407" s="15"/>
      <c r="H1407" s="96"/>
      <c r="I1407" s="16"/>
      <c r="J1407" s="37" t="str">
        <f aca="false">IF(I1407="","",IF(H1407="",1,H1407)*I1407)</f>
        <v/>
      </c>
      <c r="K1407" s="15"/>
      <c r="L1407" s="97" t="str">
        <f aca="false">IF(C1407="","",IF(OR(C1407="Material",C1407="Equipo",C1407="Suministro"),"Materiales y equipos",IF(C1407="Mano de obra contratista","Mano de obra contratista",IF(C1407="Transporte","Transporte y otros","Alquileres"))))</f>
        <v/>
      </c>
      <c r="M1407" s="6"/>
    </row>
    <row r="1408" customFormat="false" ht="16.5" hidden="false" customHeight="true" outlineLevel="0" collapsed="false">
      <c r="A1408" s="95" t="str">
        <f aca="false">IF(AND(B1408="",C1408=""),"",ROW()-6)</f>
        <v/>
      </c>
      <c r="B1408" s="83"/>
      <c r="C1408" s="15"/>
      <c r="D1408" s="15"/>
      <c r="E1408" s="85"/>
      <c r="F1408" s="15"/>
      <c r="G1408" s="15"/>
      <c r="H1408" s="96"/>
      <c r="I1408" s="16"/>
      <c r="J1408" s="37" t="str">
        <f aca="false">IF(I1408="","",IF(H1408="",1,H1408)*I1408)</f>
        <v/>
      </c>
      <c r="K1408" s="15"/>
      <c r="L1408" s="97" t="str">
        <f aca="false">IF(C1408="","",IF(OR(C1408="Material",C1408="Equipo",C1408="Suministro"),"Materiales y equipos",IF(C1408="Mano de obra contratista","Mano de obra contratista",IF(C1408="Transporte","Transporte y otros","Alquileres"))))</f>
        <v/>
      </c>
      <c r="M1408" s="6"/>
    </row>
    <row r="1409" customFormat="false" ht="16.5" hidden="false" customHeight="true" outlineLevel="0" collapsed="false">
      <c r="A1409" s="95" t="str">
        <f aca="false">IF(AND(B1409="",C1409=""),"",ROW()-6)</f>
        <v/>
      </c>
      <c r="B1409" s="83"/>
      <c r="C1409" s="15"/>
      <c r="D1409" s="15"/>
      <c r="E1409" s="85"/>
      <c r="F1409" s="15"/>
      <c r="G1409" s="15"/>
      <c r="H1409" s="96"/>
      <c r="I1409" s="16"/>
      <c r="J1409" s="37" t="str">
        <f aca="false">IF(I1409="","",IF(H1409="",1,H1409)*I1409)</f>
        <v/>
      </c>
      <c r="K1409" s="15"/>
      <c r="L1409" s="97" t="str">
        <f aca="false">IF(C1409="","",IF(OR(C1409="Material",C1409="Equipo",C1409="Suministro"),"Materiales y equipos",IF(C1409="Mano de obra contratista","Mano de obra contratista",IF(C1409="Transporte","Transporte y otros","Alquileres"))))</f>
        <v/>
      </c>
      <c r="M1409" s="6"/>
    </row>
    <row r="1410" customFormat="false" ht="16.5" hidden="false" customHeight="true" outlineLevel="0" collapsed="false">
      <c r="A1410" s="95" t="str">
        <f aca="false">IF(AND(B1410="",C1410=""),"",ROW()-6)</f>
        <v/>
      </c>
      <c r="B1410" s="83"/>
      <c r="C1410" s="15"/>
      <c r="D1410" s="15"/>
      <c r="E1410" s="85"/>
      <c r="F1410" s="15"/>
      <c r="G1410" s="15"/>
      <c r="H1410" s="96"/>
      <c r="I1410" s="16"/>
      <c r="J1410" s="37" t="str">
        <f aca="false">IF(I1410="","",IF(H1410="",1,H1410)*I1410)</f>
        <v/>
      </c>
      <c r="K1410" s="15"/>
      <c r="L1410" s="97" t="str">
        <f aca="false">IF(C1410="","",IF(OR(C1410="Material",C1410="Equipo",C1410="Suministro"),"Materiales y equipos",IF(C1410="Mano de obra contratista","Mano de obra contratista",IF(C1410="Transporte","Transporte y otros","Alquileres"))))</f>
        <v/>
      </c>
      <c r="M1410" s="6"/>
    </row>
    <row r="1411" customFormat="false" ht="16.5" hidden="false" customHeight="true" outlineLevel="0" collapsed="false">
      <c r="A1411" s="95" t="str">
        <f aca="false">IF(AND(B1411="",C1411=""),"",ROW()-6)</f>
        <v/>
      </c>
      <c r="B1411" s="83"/>
      <c r="C1411" s="15"/>
      <c r="D1411" s="15"/>
      <c r="E1411" s="85"/>
      <c r="F1411" s="15"/>
      <c r="G1411" s="15"/>
      <c r="H1411" s="96"/>
      <c r="I1411" s="16"/>
      <c r="J1411" s="37" t="str">
        <f aca="false">IF(I1411="","",IF(H1411="",1,H1411)*I1411)</f>
        <v/>
      </c>
      <c r="K1411" s="15"/>
      <c r="L1411" s="97" t="str">
        <f aca="false">IF(C1411="","",IF(OR(C1411="Material",C1411="Equipo",C1411="Suministro"),"Materiales y equipos",IF(C1411="Mano de obra contratista","Mano de obra contratista",IF(C1411="Transporte","Transporte y otros","Alquileres"))))</f>
        <v/>
      </c>
      <c r="M1411" s="6"/>
    </row>
    <row r="1412" customFormat="false" ht="16.5" hidden="false" customHeight="true" outlineLevel="0" collapsed="false">
      <c r="A1412" s="95" t="str">
        <f aca="false">IF(AND(B1412="",C1412=""),"",ROW()-6)</f>
        <v/>
      </c>
      <c r="B1412" s="83"/>
      <c r="C1412" s="15"/>
      <c r="D1412" s="15"/>
      <c r="E1412" s="85"/>
      <c r="F1412" s="15"/>
      <c r="G1412" s="15"/>
      <c r="H1412" s="96"/>
      <c r="I1412" s="16"/>
      <c r="J1412" s="37" t="str">
        <f aca="false">IF(I1412="","",IF(H1412="",1,H1412)*I1412)</f>
        <v/>
      </c>
      <c r="K1412" s="15"/>
      <c r="L1412" s="97" t="str">
        <f aca="false">IF(C1412="","",IF(OR(C1412="Material",C1412="Equipo",C1412="Suministro"),"Materiales y equipos",IF(C1412="Mano de obra contratista","Mano de obra contratista",IF(C1412="Transporte","Transporte y otros","Alquileres"))))</f>
        <v/>
      </c>
      <c r="M1412" s="6"/>
    </row>
    <row r="1413" customFormat="false" ht="16.5" hidden="false" customHeight="true" outlineLevel="0" collapsed="false">
      <c r="A1413" s="95" t="str">
        <f aca="false">IF(AND(B1413="",C1413=""),"",ROW()-6)</f>
        <v/>
      </c>
      <c r="B1413" s="83"/>
      <c r="C1413" s="15"/>
      <c r="D1413" s="15"/>
      <c r="E1413" s="85"/>
      <c r="F1413" s="15"/>
      <c r="G1413" s="15"/>
      <c r="H1413" s="96"/>
      <c r="I1413" s="16"/>
      <c r="J1413" s="37" t="str">
        <f aca="false">IF(I1413="","",IF(H1413="",1,H1413)*I1413)</f>
        <v/>
      </c>
      <c r="K1413" s="15"/>
      <c r="L1413" s="97" t="str">
        <f aca="false">IF(C1413="","",IF(OR(C1413="Material",C1413="Equipo",C1413="Suministro"),"Materiales y equipos",IF(C1413="Mano de obra contratista","Mano de obra contratista",IF(C1413="Transporte","Transporte y otros","Alquileres"))))</f>
        <v/>
      </c>
      <c r="M1413" s="6"/>
    </row>
    <row r="1414" customFormat="false" ht="16.5" hidden="false" customHeight="true" outlineLevel="0" collapsed="false">
      <c r="A1414" s="95" t="str">
        <f aca="false">IF(AND(B1414="",C1414=""),"",ROW()-6)</f>
        <v/>
      </c>
      <c r="B1414" s="83"/>
      <c r="C1414" s="15"/>
      <c r="D1414" s="15"/>
      <c r="E1414" s="85"/>
      <c r="F1414" s="15"/>
      <c r="G1414" s="15"/>
      <c r="H1414" s="96"/>
      <c r="I1414" s="16"/>
      <c r="J1414" s="37" t="str">
        <f aca="false">IF(I1414="","",IF(H1414="",1,H1414)*I1414)</f>
        <v/>
      </c>
      <c r="K1414" s="15"/>
      <c r="L1414" s="97" t="str">
        <f aca="false">IF(C1414="","",IF(OR(C1414="Material",C1414="Equipo",C1414="Suministro"),"Materiales y equipos",IF(C1414="Mano de obra contratista","Mano de obra contratista",IF(C1414="Transporte","Transporte y otros","Alquileres"))))</f>
        <v/>
      </c>
      <c r="M1414" s="6"/>
    </row>
    <row r="1415" customFormat="false" ht="16.5" hidden="false" customHeight="true" outlineLevel="0" collapsed="false">
      <c r="A1415" s="95" t="str">
        <f aca="false">IF(AND(B1415="",C1415=""),"",ROW()-6)</f>
        <v/>
      </c>
      <c r="B1415" s="83"/>
      <c r="C1415" s="15"/>
      <c r="D1415" s="15"/>
      <c r="E1415" s="85"/>
      <c r="F1415" s="15"/>
      <c r="G1415" s="15"/>
      <c r="H1415" s="96"/>
      <c r="I1415" s="16"/>
      <c r="J1415" s="37" t="str">
        <f aca="false">IF(I1415="","",IF(H1415="",1,H1415)*I1415)</f>
        <v/>
      </c>
      <c r="K1415" s="15"/>
      <c r="L1415" s="97" t="str">
        <f aca="false">IF(C1415="","",IF(OR(C1415="Material",C1415="Equipo",C1415="Suministro"),"Materiales y equipos",IF(C1415="Mano de obra contratista","Mano de obra contratista",IF(C1415="Transporte","Transporte y otros","Alquileres"))))</f>
        <v/>
      </c>
      <c r="M1415" s="6"/>
    </row>
    <row r="1416" customFormat="false" ht="16.5" hidden="false" customHeight="true" outlineLevel="0" collapsed="false">
      <c r="A1416" s="95" t="str">
        <f aca="false">IF(AND(B1416="",C1416=""),"",ROW()-6)</f>
        <v/>
      </c>
      <c r="B1416" s="83"/>
      <c r="C1416" s="15"/>
      <c r="D1416" s="15"/>
      <c r="E1416" s="85"/>
      <c r="F1416" s="15"/>
      <c r="G1416" s="15"/>
      <c r="H1416" s="96"/>
      <c r="I1416" s="16"/>
      <c r="J1416" s="37" t="str">
        <f aca="false">IF(I1416="","",IF(H1416="",1,H1416)*I1416)</f>
        <v/>
      </c>
      <c r="K1416" s="15"/>
      <c r="L1416" s="97" t="str">
        <f aca="false">IF(C1416="","",IF(OR(C1416="Material",C1416="Equipo",C1416="Suministro"),"Materiales y equipos",IF(C1416="Mano de obra contratista","Mano de obra contratista",IF(C1416="Transporte","Transporte y otros","Alquileres"))))</f>
        <v/>
      </c>
      <c r="M1416" s="6"/>
    </row>
    <row r="1417" customFormat="false" ht="16.5" hidden="false" customHeight="true" outlineLevel="0" collapsed="false">
      <c r="A1417" s="95" t="str">
        <f aca="false">IF(AND(B1417="",C1417=""),"",ROW()-6)</f>
        <v/>
      </c>
      <c r="B1417" s="83"/>
      <c r="C1417" s="15"/>
      <c r="D1417" s="15"/>
      <c r="E1417" s="85"/>
      <c r="F1417" s="15"/>
      <c r="G1417" s="15"/>
      <c r="H1417" s="96"/>
      <c r="I1417" s="16"/>
      <c r="J1417" s="37" t="str">
        <f aca="false">IF(I1417="","",IF(H1417="",1,H1417)*I1417)</f>
        <v/>
      </c>
      <c r="K1417" s="15"/>
      <c r="L1417" s="97" t="str">
        <f aca="false">IF(C1417="","",IF(OR(C1417="Material",C1417="Equipo",C1417="Suministro"),"Materiales y equipos",IF(C1417="Mano de obra contratista","Mano de obra contratista",IF(C1417="Transporte","Transporte y otros","Alquileres"))))</f>
        <v/>
      </c>
      <c r="M1417" s="6"/>
    </row>
    <row r="1418" customFormat="false" ht="16.5" hidden="false" customHeight="true" outlineLevel="0" collapsed="false">
      <c r="A1418" s="95" t="str">
        <f aca="false">IF(AND(B1418="",C1418=""),"",ROW()-6)</f>
        <v/>
      </c>
      <c r="B1418" s="83"/>
      <c r="C1418" s="15"/>
      <c r="D1418" s="15"/>
      <c r="E1418" s="85"/>
      <c r="F1418" s="15"/>
      <c r="G1418" s="15"/>
      <c r="H1418" s="96"/>
      <c r="I1418" s="16"/>
      <c r="J1418" s="37" t="str">
        <f aca="false">IF(I1418="","",IF(H1418="",1,H1418)*I1418)</f>
        <v/>
      </c>
      <c r="K1418" s="15"/>
      <c r="L1418" s="97" t="str">
        <f aca="false">IF(C1418="","",IF(OR(C1418="Material",C1418="Equipo",C1418="Suministro"),"Materiales y equipos",IF(C1418="Mano de obra contratista","Mano de obra contratista",IF(C1418="Transporte","Transporte y otros","Alquileres"))))</f>
        <v/>
      </c>
      <c r="M1418" s="6"/>
    </row>
    <row r="1419" customFormat="false" ht="16.5" hidden="false" customHeight="true" outlineLevel="0" collapsed="false">
      <c r="A1419" s="95" t="str">
        <f aca="false">IF(AND(B1419="",C1419=""),"",ROW()-6)</f>
        <v/>
      </c>
      <c r="B1419" s="83"/>
      <c r="C1419" s="15"/>
      <c r="D1419" s="15"/>
      <c r="E1419" s="85"/>
      <c r="F1419" s="15"/>
      <c r="G1419" s="15"/>
      <c r="H1419" s="96"/>
      <c r="I1419" s="16"/>
      <c r="J1419" s="37" t="str">
        <f aca="false">IF(I1419="","",IF(H1419="",1,H1419)*I1419)</f>
        <v/>
      </c>
      <c r="K1419" s="15"/>
      <c r="L1419" s="97" t="str">
        <f aca="false">IF(C1419="","",IF(OR(C1419="Material",C1419="Equipo",C1419="Suministro"),"Materiales y equipos",IF(C1419="Mano de obra contratista","Mano de obra contratista",IF(C1419="Transporte","Transporte y otros","Alquileres"))))</f>
        <v/>
      </c>
      <c r="M1419" s="6"/>
    </row>
    <row r="1420" customFormat="false" ht="16.5" hidden="false" customHeight="true" outlineLevel="0" collapsed="false">
      <c r="A1420" s="95" t="str">
        <f aca="false">IF(AND(B1420="",C1420=""),"",ROW()-6)</f>
        <v/>
      </c>
      <c r="B1420" s="83"/>
      <c r="C1420" s="15"/>
      <c r="D1420" s="15"/>
      <c r="E1420" s="85"/>
      <c r="F1420" s="15"/>
      <c r="G1420" s="15"/>
      <c r="H1420" s="96"/>
      <c r="I1420" s="16"/>
      <c r="J1420" s="37" t="str">
        <f aca="false">IF(I1420="","",IF(H1420="",1,H1420)*I1420)</f>
        <v/>
      </c>
      <c r="K1420" s="15"/>
      <c r="L1420" s="97" t="str">
        <f aca="false">IF(C1420="","",IF(OR(C1420="Material",C1420="Equipo",C1420="Suministro"),"Materiales y equipos",IF(C1420="Mano de obra contratista","Mano de obra contratista",IF(C1420="Transporte","Transporte y otros","Alquileres"))))</f>
        <v/>
      </c>
      <c r="M1420" s="6"/>
    </row>
    <row r="1421" customFormat="false" ht="16.5" hidden="false" customHeight="true" outlineLevel="0" collapsed="false">
      <c r="A1421" s="95" t="str">
        <f aca="false">IF(AND(B1421="",C1421=""),"",ROW()-6)</f>
        <v/>
      </c>
      <c r="B1421" s="83"/>
      <c r="C1421" s="15"/>
      <c r="D1421" s="15"/>
      <c r="E1421" s="85"/>
      <c r="F1421" s="15"/>
      <c r="G1421" s="15"/>
      <c r="H1421" s="96"/>
      <c r="I1421" s="16"/>
      <c r="J1421" s="37" t="str">
        <f aca="false">IF(I1421="","",IF(H1421="",1,H1421)*I1421)</f>
        <v/>
      </c>
      <c r="K1421" s="15"/>
      <c r="L1421" s="97" t="str">
        <f aca="false">IF(C1421="","",IF(OR(C1421="Material",C1421="Equipo",C1421="Suministro"),"Materiales y equipos",IF(C1421="Mano de obra contratista","Mano de obra contratista",IF(C1421="Transporte","Transporte y otros","Alquileres"))))</f>
        <v/>
      </c>
      <c r="M1421" s="6"/>
    </row>
    <row r="1422" customFormat="false" ht="16.5" hidden="false" customHeight="true" outlineLevel="0" collapsed="false">
      <c r="A1422" s="95" t="str">
        <f aca="false">IF(AND(B1422="",C1422=""),"",ROW()-6)</f>
        <v/>
      </c>
      <c r="B1422" s="83"/>
      <c r="C1422" s="15"/>
      <c r="D1422" s="15"/>
      <c r="E1422" s="85"/>
      <c r="F1422" s="15"/>
      <c r="G1422" s="15"/>
      <c r="H1422" s="96"/>
      <c r="I1422" s="16"/>
      <c r="J1422" s="37" t="str">
        <f aca="false">IF(I1422="","",IF(H1422="",1,H1422)*I1422)</f>
        <v/>
      </c>
      <c r="K1422" s="15"/>
      <c r="L1422" s="97" t="str">
        <f aca="false">IF(C1422="","",IF(OR(C1422="Material",C1422="Equipo",C1422="Suministro"),"Materiales y equipos",IF(C1422="Mano de obra contratista","Mano de obra contratista",IF(C1422="Transporte","Transporte y otros","Alquileres"))))</f>
        <v/>
      </c>
      <c r="M1422" s="6"/>
    </row>
    <row r="1423" customFormat="false" ht="16.5" hidden="false" customHeight="true" outlineLevel="0" collapsed="false">
      <c r="A1423" s="95" t="str">
        <f aca="false">IF(AND(B1423="",C1423=""),"",ROW()-6)</f>
        <v/>
      </c>
      <c r="B1423" s="83"/>
      <c r="C1423" s="15"/>
      <c r="D1423" s="15"/>
      <c r="E1423" s="85"/>
      <c r="F1423" s="15"/>
      <c r="G1423" s="15"/>
      <c r="H1423" s="96"/>
      <c r="I1423" s="16"/>
      <c r="J1423" s="37" t="str">
        <f aca="false">IF(I1423="","",IF(H1423="",1,H1423)*I1423)</f>
        <v/>
      </c>
      <c r="K1423" s="15"/>
      <c r="L1423" s="97" t="str">
        <f aca="false">IF(C1423="","",IF(OR(C1423="Material",C1423="Equipo",C1423="Suministro"),"Materiales y equipos",IF(C1423="Mano de obra contratista","Mano de obra contratista",IF(C1423="Transporte","Transporte y otros","Alquileres"))))</f>
        <v/>
      </c>
      <c r="M1423" s="6"/>
    </row>
    <row r="1424" customFormat="false" ht="16.5" hidden="false" customHeight="true" outlineLevel="0" collapsed="false">
      <c r="A1424" s="95" t="str">
        <f aca="false">IF(AND(B1424="",C1424=""),"",ROW()-6)</f>
        <v/>
      </c>
      <c r="B1424" s="83"/>
      <c r="C1424" s="15"/>
      <c r="D1424" s="15"/>
      <c r="E1424" s="85"/>
      <c r="F1424" s="15"/>
      <c r="G1424" s="15"/>
      <c r="H1424" s="96"/>
      <c r="I1424" s="16"/>
      <c r="J1424" s="37" t="str">
        <f aca="false">IF(I1424="","",IF(H1424="",1,H1424)*I1424)</f>
        <v/>
      </c>
      <c r="K1424" s="15"/>
      <c r="L1424" s="97" t="str">
        <f aca="false">IF(C1424="","",IF(OR(C1424="Material",C1424="Equipo",C1424="Suministro"),"Materiales y equipos",IF(C1424="Mano de obra contratista","Mano de obra contratista",IF(C1424="Transporte","Transporte y otros","Alquileres"))))</f>
        <v/>
      </c>
      <c r="M1424" s="6"/>
    </row>
    <row r="1425" customFormat="false" ht="16.5" hidden="false" customHeight="true" outlineLevel="0" collapsed="false">
      <c r="A1425" s="95" t="str">
        <f aca="false">IF(AND(B1425="",C1425=""),"",ROW()-6)</f>
        <v/>
      </c>
      <c r="B1425" s="83"/>
      <c r="C1425" s="15"/>
      <c r="D1425" s="15"/>
      <c r="E1425" s="85"/>
      <c r="F1425" s="15"/>
      <c r="G1425" s="15"/>
      <c r="H1425" s="96"/>
      <c r="I1425" s="16"/>
      <c r="J1425" s="37" t="str">
        <f aca="false">IF(I1425="","",IF(H1425="",1,H1425)*I1425)</f>
        <v/>
      </c>
      <c r="K1425" s="15"/>
      <c r="L1425" s="97" t="str">
        <f aca="false">IF(C1425="","",IF(OR(C1425="Material",C1425="Equipo",C1425="Suministro"),"Materiales y equipos",IF(C1425="Mano de obra contratista","Mano de obra contratista",IF(C1425="Transporte","Transporte y otros","Alquileres"))))</f>
        <v/>
      </c>
      <c r="M1425" s="6"/>
    </row>
    <row r="1426" customFormat="false" ht="16.5" hidden="false" customHeight="true" outlineLevel="0" collapsed="false">
      <c r="A1426" s="95" t="str">
        <f aca="false">IF(AND(B1426="",C1426=""),"",ROW()-6)</f>
        <v/>
      </c>
      <c r="B1426" s="83"/>
      <c r="C1426" s="15"/>
      <c r="D1426" s="15"/>
      <c r="E1426" s="85"/>
      <c r="F1426" s="15"/>
      <c r="G1426" s="15"/>
      <c r="H1426" s="96"/>
      <c r="I1426" s="16"/>
      <c r="J1426" s="37" t="str">
        <f aca="false">IF(I1426="","",IF(H1426="",1,H1426)*I1426)</f>
        <v/>
      </c>
      <c r="K1426" s="15"/>
      <c r="L1426" s="97" t="str">
        <f aca="false">IF(C1426="","",IF(OR(C1426="Material",C1426="Equipo",C1426="Suministro"),"Materiales y equipos",IF(C1426="Mano de obra contratista","Mano de obra contratista",IF(C1426="Transporte","Transporte y otros","Alquileres"))))</f>
        <v/>
      </c>
      <c r="M1426" s="6"/>
    </row>
    <row r="1427" customFormat="false" ht="16.5" hidden="false" customHeight="true" outlineLevel="0" collapsed="false">
      <c r="A1427" s="95" t="str">
        <f aca="false">IF(AND(B1427="",C1427=""),"",ROW()-6)</f>
        <v/>
      </c>
      <c r="B1427" s="83"/>
      <c r="C1427" s="15"/>
      <c r="D1427" s="15"/>
      <c r="E1427" s="85"/>
      <c r="F1427" s="15"/>
      <c r="G1427" s="15"/>
      <c r="H1427" s="96"/>
      <c r="I1427" s="16"/>
      <c r="J1427" s="37" t="str">
        <f aca="false">IF(I1427="","",IF(H1427="",1,H1427)*I1427)</f>
        <v/>
      </c>
      <c r="K1427" s="15"/>
      <c r="L1427" s="97" t="str">
        <f aca="false">IF(C1427="","",IF(OR(C1427="Material",C1427="Equipo",C1427="Suministro"),"Materiales y equipos",IF(C1427="Mano de obra contratista","Mano de obra contratista",IF(C1427="Transporte","Transporte y otros","Alquileres"))))</f>
        <v/>
      </c>
      <c r="M1427" s="6"/>
    </row>
    <row r="1428" customFormat="false" ht="16.5" hidden="false" customHeight="true" outlineLevel="0" collapsed="false">
      <c r="A1428" s="95" t="str">
        <f aca="false">IF(AND(B1428="",C1428=""),"",ROW()-6)</f>
        <v/>
      </c>
      <c r="B1428" s="83"/>
      <c r="C1428" s="15"/>
      <c r="D1428" s="15"/>
      <c r="E1428" s="85"/>
      <c r="F1428" s="15"/>
      <c r="G1428" s="15"/>
      <c r="H1428" s="96"/>
      <c r="I1428" s="16"/>
      <c r="J1428" s="37" t="str">
        <f aca="false">IF(I1428="","",IF(H1428="",1,H1428)*I1428)</f>
        <v/>
      </c>
      <c r="K1428" s="15"/>
      <c r="L1428" s="97" t="str">
        <f aca="false">IF(C1428="","",IF(OR(C1428="Material",C1428="Equipo",C1428="Suministro"),"Materiales y equipos",IF(C1428="Mano de obra contratista","Mano de obra contratista",IF(C1428="Transporte","Transporte y otros","Alquileres"))))</f>
        <v/>
      </c>
      <c r="M1428" s="6"/>
    </row>
    <row r="1429" customFormat="false" ht="16.5" hidden="false" customHeight="true" outlineLevel="0" collapsed="false">
      <c r="A1429" s="95" t="str">
        <f aca="false">IF(AND(B1429="",C1429=""),"",ROW()-6)</f>
        <v/>
      </c>
      <c r="B1429" s="83"/>
      <c r="C1429" s="15"/>
      <c r="D1429" s="15"/>
      <c r="E1429" s="85"/>
      <c r="F1429" s="15"/>
      <c r="G1429" s="15"/>
      <c r="H1429" s="96"/>
      <c r="I1429" s="16"/>
      <c r="J1429" s="37" t="str">
        <f aca="false">IF(I1429="","",IF(H1429="",1,H1429)*I1429)</f>
        <v/>
      </c>
      <c r="K1429" s="15"/>
      <c r="L1429" s="97" t="str">
        <f aca="false">IF(C1429="","",IF(OR(C1429="Material",C1429="Equipo",C1429="Suministro"),"Materiales y equipos",IF(C1429="Mano de obra contratista","Mano de obra contratista",IF(C1429="Transporte","Transporte y otros","Alquileres"))))</f>
        <v/>
      </c>
      <c r="M1429" s="6"/>
    </row>
    <row r="1430" customFormat="false" ht="16.5" hidden="false" customHeight="true" outlineLevel="0" collapsed="false">
      <c r="A1430" s="95" t="str">
        <f aca="false">IF(AND(B1430="",C1430=""),"",ROW()-6)</f>
        <v/>
      </c>
      <c r="B1430" s="83"/>
      <c r="C1430" s="15"/>
      <c r="D1430" s="15"/>
      <c r="E1430" s="85"/>
      <c r="F1430" s="15"/>
      <c r="G1430" s="15"/>
      <c r="H1430" s="96"/>
      <c r="I1430" s="16"/>
      <c r="J1430" s="37" t="str">
        <f aca="false">IF(I1430="","",IF(H1430="",1,H1430)*I1430)</f>
        <v/>
      </c>
      <c r="K1430" s="15"/>
      <c r="L1430" s="97" t="str">
        <f aca="false">IF(C1430="","",IF(OR(C1430="Material",C1430="Equipo",C1430="Suministro"),"Materiales y equipos",IF(C1430="Mano de obra contratista","Mano de obra contratista",IF(C1430="Transporte","Transporte y otros","Alquileres"))))</f>
        <v/>
      </c>
      <c r="M1430" s="6"/>
    </row>
    <row r="1431" customFormat="false" ht="16.5" hidden="false" customHeight="true" outlineLevel="0" collapsed="false">
      <c r="A1431" s="95" t="str">
        <f aca="false">IF(AND(B1431="",C1431=""),"",ROW()-6)</f>
        <v/>
      </c>
      <c r="B1431" s="83"/>
      <c r="C1431" s="15"/>
      <c r="D1431" s="15"/>
      <c r="E1431" s="85"/>
      <c r="F1431" s="15"/>
      <c r="G1431" s="15"/>
      <c r="H1431" s="96"/>
      <c r="I1431" s="16"/>
      <c r="J1431" s="37" t="str">
        <f aca="false">IF(I1431="","",IF(H1431="",1,H1431)*I1431)</f>
        <v/>
      </c>
      <c r="K1431" s="15"/>
      <c r="L1431" s="97" t="str">
        <f aca="false">IF(C1431="","",IF(OR(C1431="Material",C1431="Equipo",C1431="Suministro"),"Materiales y equipos",IF(C1431="Mano de obra contratista","Mano de obra contratista",IF(C1431="Transporte","Transporte y otros","Alquileres"))))</f>
        <v/>
      </c>
      <c r="M1431" s="6"/>
    </row>
    <row r="1432" customFormat="false" ht="16.5" hidden="false" customHeight="true" outlineLevel="0" collapsed="false">
      <c r="A1432" s="95" t="str">
        <f aca="false">IF(AND(B1432="",C1432=""),"",ROW()-6)</f>
        <v/>
      </c>
      <c r="B1432" s="83"/>
      <c r="C1432" s="15"/>
      <c r="D1432" s="15"/>
      <c r="E1432" s="85"/>
      <c r="F1432" s="15"/>
      <c r="G1432" s="15"/>
      <c r="H1432" s="96"/>
      <c r="I1432" s="16"/>
      <c r="J1432" s="37" t="str">
        <f aca="false">IF(I1432="","",IF(H1432="",1,H1432)*I1432)</f>
        <v/>
      </c>
      <c r="K1432" s="15"/>
      <c r="L1432" s="97" t="str">
        <f aca="false">IF(C1432="","",IF(OR(C1432="Material",C1432="Equipo",C1432="Suministro"),"Materiales y equipos",IF(C1432="Mano de obra contratista","Mano de obra contratista",IF(C1432="Transporte","Transporte y otros","Alquileres"))))</f>
        <v/>
      </c>
      <c r="M1432" s="6"/>
    </row>
    <row r="1433" customFormat="false" ht="16.5" hidden="false" customHeight="true" outlineLevel="0" collapsed="false">
      <c r="A1433" s="95" t="str">
        <f aca="false">IF(AND(B1433="",C1433=""),"",ROW()-6)</f>
        <v/>
      </c>
      <c r="B1433" s="83"/>
      <c r="C1433" s="15"/>
      <c r="D1433" s="15"/>
      <c r="E1433" s="85"/>
      <c r="F1433" s="15"/>
      <c r="G1433" s="15"/>
      <c r="H1433" s="96"/>
      <c r="I1433" s="16"/>
      <c r="J1433" s="37" t="str">
        <f aca="false">IF(I1433="","",IF(H1433="",1,H1433)*I1433)</f>
        <v/>
      </c>
      <c r="K1433" s="15"/>
      <c r="L1433" s="97" t="str">
        <f aca="false">IF(C1433="","",IF(OR(C1433="Material",C1433="Equipo",C1433="Suministro"),"Materiales y equipos",IF(C1433="Mano de obra contratista","Mano de obra contratista",IF(C1433="Transporte","Transporte y otros","Alquileres"))))</f>
        <v/>
      </c>
      <c r="M1433" s="6"/>
    </row>
    <row r="1434" customFormat="false" ht="16.5" hidden="false" customHeight="true" outlineLevel="0" collapsed="false">
      <c r="A1434" s="95" t="str">
        <f aca="false">IF(AND(B1434="",C1434=""),"",ROW()-6)</f>
        <v/>
      </c>
      <c r="B1434" s="83"/>
      <c r="C1434" s="15"/>
      <c r="D1434" s="15"/>
      <c r="E1434" s="85"/>
      <c r="F1434" s="15"/>
      <c r="G1434" s="15"/>
      <c r="H1434" s="96"/>
      <c r="I1434" s="16"/>
      <c r="J1434" s="37" t="str">
        <f aca="false">IF(I1434="","",IF(H1434="",1,H1434)*I1434)</f>
        <v/>
      </c>
      <c r="K1434" s="15"/>
      <c r="L1434" s="97" t="str">
        <f aca="false">IF(C1434="","",IF(OR(C1434="Material",C1434="Equipo",C1434="Suministro"),"Materiales y equipos",IF(C1434="Mano de obra contratista","Mano de obra contratista",IF(C1434="Transporte","Transporte y otros","Alquileres"))))</f>
        <v/>
      </c>
      <c r="M1434" s="6"/>
    </row>
    <row r="1435" customFormat="false" ht="16.5" hidden="false" customHeight="true" outlineLevel="0" collapsed="false">
      <c r="A1435" s="95" t="str">
        <f aca="false">IF(AND(B1435="",C1435=""),"",ROW()-6)</f>
        <v/>
      </c>
      <c r="B1435" s="83"/>
      <c r="C1435" s="15"/>
      <c r="D1435" s="15"/>
      <c r="E1435" s="85"/>
      <c r="F1435" s="15"/>
      <c r="G1435" s="15"/>
      <c r="H1435" s="96"/>
      <c r="I1435" s="16"/>
      <c r="J1435" s="37" t="str">
        <f aca="false">IF(I1435="","",IF(H1435="",1,H1435)*I1435)</f>
        <v/>
      </c>
      <c r="K1435" s="15"/>
      <c r="L1435" s="97" t="str">
        <f aca="false">IF(C1435="","",IF(OR(C1435="Material",C1435="Equipo",C1435="Suministro"),"Materiales y equipos",IF(C1435="Mano de obra contratista","Mano de obra contratista",IF(C1435="Transporte","Transporte y otros","Alquileres"))))</f>
        <v/>
      </c>
      <c r="M1435" s="6"/>
    </row>
    <row r="1436" customFormat="false" ht="16.5" hidden="false" customHeight="true" outlineLevel="0" collapsed="false">
      <c r="A1436" s="95" t="str">
        <f aca="false">IF(AND(B1436="",C1436=""),"",ROW()-6)</f>
        <v/>
      </c>
      <c r="B1436" s="83"/>
      <c r="C1436" s="15"/>
      <c r="D1436" s="15"/>
      <c r="E1436" s="85"/>
      <c r="F1436" s="15"/>
      <c r="G1436" s="15"/>
      <c r="H1436" s="96"/>
      <c r="I1436" s="16"/>
      <c r="J1436" s="37" t="str">
        <f aca="false">IF(I1436="","",IF(H1436="",1,H1436)*I1436)</f>
        <v/>
      </c>
      <c r="K1436" s="15"/>
      <c r="L1436" s="97" t="str">
        <f aca="false">IF(C1436="","",IF(OR(C1436="Material",C1436="Equipo",C1436="Suministro"),"Materiales y equipos",IF(C1436="Mano de obra contratista","Mano de obra contratista",IF(C1436="Transporte","Transporte y otros","Alquileres"))))</f>
        <v/>
      </c>
      <c r="M1436" s="6"/>
    </row>
    <row r="1437" customFormat="false" ht="16.5" hidden="false" customHeight="true" outlineLevel="0" collapsed="false">
      <c r="A1437" s="95" t="str">
        <f aca="false">IF(AND(B1437="",C1437=""),"",ROW()-6)</f>
        <v/>
      </c>
      <c r="B1437" s="83"/>
      <c r="C1437" s="15"/>
      <c r="D1437" s="15"/>
      <c r="E1437" s="85"/>
      <c r="F1437" s="15"/>
      <c r="G1437" s="15"/>
      <c r="H1437" s="96"/>
      <c r="I1437" s="16"/>
      <c r="J1437" s="37" t="str">
        <f aca="false">IF(I1437="","",IF(H1437="",1,H1437)*I1437)</f>
        <v/>
      </c>
      <c r="K1437" s="15"/>
      <c r="L1437" s="97" t="str">
        <f aca="false">IF(C1437="","",IF(OR(C1437="Material",C1437="Equipo",C1437="Suministro"),"Materiales y equipos",IF(C1437="Mano de obra contratista","Mano de obra contratista",IF(C1437="Transporte","Transporte y otros","Alquileres"))))</f>
        <v/>
      </c>
      <c r="M1437" s="6"/>
    </row>
    <row r="1438" customFormat="false" ht="16.5" hidden="false" customHeight="true" outlineLevel="0" collapsed="false">
      <c r="A1438" s="95" t="str">
        <f aca="false">IF(AND(B1438="",C1438=""),"",ROW()-6)</f>
        <v/>
      </c>
      <c r="B1438" s="83"/>
      <c r="C1438" s="15"/>
      <c r="D1438" s="15"/>
      <c r="E1438" s="85"/>
      <c r="F1438" s="15"/>
      <c r="G1438" s="15"/>
      <c r="H1438" s="96"/>
      <c r="I1438" s="16"/>
      <c r="J1438" s="37" t="str">
        <f aca="false">IF(I1438="","",IF(H1438="",1,H1438)*I1438)</f>
        <v/>
      </c>
      <c r="K1438" s="15"/>
      <c r="L1438" s="97" t="str">
        <f aca="false">IF(C1438="","",IF(OR(C1438="Material",C1438="Equipo",C1438="Suministro"),"Materiales y equipos",IF(C1438="Mano de obra contratista","Mano de obra contratista",IF(C1438="Transporte","Transporte y otros","Alquileres"))))</f>
        <v/>
      </c>
      <c r="M1438" s="6"/>
    </row>
    <row r="1439" customFormat="false" ht="16.5" hidden="false" customHeight="true" outlineLevel="0" collapsed="false">
      <c r="A1439" s="95" t="str">
        <f aca="false">IF(AND(B1439="",C1439=""),"",ROW()-6)</f>
        <v/>
      </c>
      <c r="B1439" s="83"/>
      <c r="C1439" s="15"/>
      <c r="D1439" s="15"/>
      <c r="E1439" s="85"/>
      <c r="F1439" s="15"/>
      <c r="G1439" s="15"/>
      <c r="H1439" s="96"/>
      <c r="I1439" s="16"/>
      <c r="J1439" s="37" t="str">
        <f aca="false">IF(I1439="","",IF(H1439="",1,H1439)*I1439)</f>
        <v/>
      </c>
      <c r="K1439" s="15"/>
      <c r="L1439" s="97" t="str">
        <f aca="false">IF(C1439="","",IF(OR(C1439="Material",C1439="Equipo",C1439="Suministro"),"Materiales y equipos",IF(C1439="Mano de obra contratista","Mano de obra contratista",IF(C1439="Transporte","Transporte y otros","Alquileres"))))</f>
        <v/>
      </c>
      <c r="M1439" s="6"/>
    </row>
    <row r="1440" customFormat="false" ht="16.5" hidden="false" customHeight="true" outlineLevel="0" collapsed="false">
      <c r="A1440" s="95" t="str">
        <f aca="false">IF(AND(B1440="",C1440=""),"",ROW()-6)</f>
        <v/>
      </c>
      <c r="B1440" s="83"/>
      <c r="C1440" s="15"/>
      <c r="D1440" s="15"/>
      <c r="E1440" s="85"/>
      <c r="F1440" s="15"/>
      <c r="G1440" s="15"/>
      <c r="H1440" s="96"/>
      <c r="I1440" s="16"/>
      <c r="J1440" s="37" t="str">
        <f aca="false">IF(I1440="","",IF(H1440="",1,H1440)*I1440)</f>
        <v/>
      </c>
      <c r="K1440" s="15"/>
      <c r="L1440" s="97" t="str">
        <f aca="false">IF(C1440="","",IF(OR(C1440="Material",C1440="Equipo",C1440="Suministro"),"Materiales y equipos",IF(C1440="Mano de obra contratista","Mano de obra contratista",IF(C1440="Transporte","Transporte y otros","Alquileres"))))</f>
        <v/>
      </c>
      <c r="M1440" s="6"/>
    </row>
    <row r="1441" customFormat="false" ht="16.5" hidden="false" customHeight="true" outlineLevel="0" collapsed="false">
      <c r="A1441" s="95" t="str">
        <f aca="false">IF(AND(B1441="",C1441=""),"",ROW()-6)</f>
        <v/>
      </c>
      <c r="B1441" s="83"/>
      <c r="C1441" s="15"/>
      <c r="D1441" s="15"/>
      <c r="E1441" s="85"/>
      <c r="F1441" s="15"/>
      <c r="G1441" s="15"/>
      <c r="H1441" s="96"/>
      <c r="I1441" s="16"/>
      <c r="J1441" s="37" t="str">
        <f aca="false">IF(I1441="","",IF(H1441="",1,H1441)*I1441)</f>
        <v/>
      </c>
      <c r="K1441" s="15"/>
      <c r="L1441" s="97" t="str">
        <f aca="false">IF(C1441="","",IF(OR(C1441="Material",C1441="Equipo",C1441="Suministro"),"Materiales y equipos",IF(C1441="Mano de obra contratista","Mano de obra contratista",IF(C1441="Transporte","Transporte y otros","Alquileres"))))</f>
        <v/>
      </c>
      <c r="M1441" s="6"/>
    </row>
    <row r="1442" customFormat="false" ht="16.5" hidden="false" customHeight="true" outlineLevel="0" collapsed="false">
      <c r="A1442" s="95" t="str">
        <f aca="false">IF(AND(B1442="",C1442=""),"",ROW()-6)</f>
        <v/>
      </c>
      <c r="B1442" s="83"/>
      <c r="C1442" s="15"/>
      <c r="D1442" s="15"/>
      <c r="E1442" s="85"/>
      <c r="F1442" s="15"/>
      <c r="G1442" s="15"/>
      <c r="H1442" s="96"/>
      <c r="I1442" s="16"/>
      <c r="J1442" s="37" t="str">
        <f aca="false">IF(I1442="","",IF(H1442="",1,H1442)*I1442)</f>
        <v/>
      </c>
      <c r="K1442" s="15"/>
      <c r="L1442" s="97" t="str">
        <f aca="false">IF(C1442="","",IF(OR(C1442="Material",C1442="Equipo",C1442="Suministro"),"Materiales y equipos",IF(C1442="Mano de obra contratista","Mano de obra contratista",IF(C1442="Transporte","Transporte y otros","Alquileres"))))</f>
        <v/>
      </c>
      <c r="M1442" s="6"/>
    </row>
    <row r="1443" customFormat="false" ht="16.5" hidden="false" customHeight="true" outlineLevel="0" collapsed="false">
      <c r="A1443" s="95" t="str">
        <f aca="false">IF(AND(B1443="",C1443=""),"",ROW()-6)</f>
        <v/>
      </c>
      <c r="B1443" s="83"/>
      <c r="C1443" s="15"/>
      <c r="D1443" s="15"/>
      <c r="E1443" s="85"/>
      <c r="F1443" s="15"/>
      <c r="G1443" s="15"/>
      <c r="H1443" s="96"/>
      <c r="I1443" s="16"/>
      <c r="J1443" s="37" t="str">
        <f aca="false">IF(I1443="","",IF(H1443="",1,H1443)*I1443)</f>
        <v/>
      </c>
      <c r="K1443" s="15"/>
      <c r="L1443" s="97" t="str">
        <f aca="false">IF(C1443="","",IF(OR(C1443="Material",C1443="Equipo",C1443="Suministro"),"Materiales y equipos",IF(C1443="Mano de obra contratista","Mano de obra contratista",IF(C1443="Transporte","Transporte y otros","Alquileres"))))</f>
        <v/>
      </c>
      <c r="M1443" s="6"/>
    </row>
    <row r="1444" customFormat="false" ht="16.5" hidden="false" customHeight="true" outlineLevel="0" collapsed="false">
      <c r="A1444" s="95" t="str">
        <f aca="false">IF(AND(B1444="",C1444=""),"",ROW()-6)</f>
        <v/>
      </c>
      <c r="B1444" s="83"/>
      <c r="C1444" s="15"/>
      <c r="D1444" s="15"/>
      <c r="E1444" s="85"/>
      <c r="F1444" s="15"/>
      <c r="G1444" s="15"/>
      <c r="H1444" s="96"/>
      <c r="I1444" s="16"/>
      <c r="J1444" s="37" t="str">
        <f aca="false">IF(I1444="","",IF(H1444="",1,H1444)*I1444)</f>
        <v/>
      </c>
      <c r="K1444" s="15"/>
      <c r="L1444" s="97" t="str">
        <f aca="false">IF(C1444="","",IF(OR(C1444="Material",C1444="Equipo",C1444="Suministro"),"Materiales y equipos",IF(C1444="Mano de obra contratista","Mano de obra contratista",IF(C1444="Transporte","Transporte y otros","Alquileres"))))</f>
        <v/>
      </c>
      <c r="M1444" s="6"/>
    </row>
    <row r="1445" customFormat="false" ht="16.5" hidden="false" customHeight="true" outlineLevel="0" collapsed="false">
      <c r="A1445" s="95" t="str">
        <f aca="false">IF(AND(B1445="",C1445=""),"",ROW()-6)</f>
        <v/>
      </c>
      <c r="B1445" s="83"/>
      <c r="C1445" s="15"/>
      <c r="D1445" s="15"/>
      <c r="E1445" s="85"/>
      <c r="F1445" s="15"/>
      <c r="G1445" s="15"/>
      <c r="H1445" s="96"/>
      <c r="I1445" s="16"/>
      <c r="J1445" s="37" t="str">
        <f aca="false">IF(I1445="","",IF(H1445="",1,H1445)*I1445)</f>
        <v/>
      </c>
      <c r="K1445" s="15"/>
      <c r="L1445" s="97" t="str">
        <f aca="false">IF(C1445="","",IF(OR(C1445="Material",C1445="Equipo",C1445="Suministro"),"Materiales y equipos",IF(C1445="Mano de obra contratista","Mano de obra contratista",IF(C1445="Transporte","Transporte y otros","Alquileres"))))</f>
        <v/>
      </c>
      <c r="M1445" s="6"/>
    </row>
    <row r="1446" customFormat="false" ht="16.5" hidden="false" customHeight="true" outlineLevel="0" collapsed="false">
      <c r="A1446" s="95" t="str">
        <f aca="false">IF(AND(B1446="",C1446=""),"",ROW()-6)</f>
        <v/>
      </c>
      <c r="B1446" s="83"/>
      <c r="C1446" s="15"/>
      <c r="D1446" s="15"/>
      <c r="E1446" s="85"/>
      <c r="F1446" s="15"/>
      <c r="G1446" s="15"/>
      <c r="H1446" s="96"/>
      <c r="I1446" s="16"/>
      <c r="J1446" s="37" t="str">
        <f aca="false">IF(I1446="","",IF(H1446="",1,H1446)*I1446)</f>
        <v/>
      </c>
      <c r="K1446" s="15"/>
      <c r="L1446" s="97" t="str">
        <f aca="false">IF(C1446="","",IF(OR(C1446="Material",C1446="Equipo",C1446="Suministro"),"Materiales y equipos",IF(C1446="Mano de obra contratista","Mano de obra contratista",IF(C1446="Transporte","Transporte y otros","Alquileres"))))</f>
        <v/>
      </c>
      <c r="M1446" s="6"/>
    </row>
    <row r="1447" customFormat="false" ht="16.5" hidden="false" customHeight="true" outlineLevel="0" collapsed="false">
      <c r="A1447" s="95" t="str">
        <f aca="false">IF(AND(B1447="",C1447=""),"",ROW()-6)</f>
        <v/>
      </c>
      <c r="B1447" s="83"/>
      <c r="C1447" s="15"/>
      <c r="D1447" s="15"/>
      <c r="E1447" s="85"/>
      <c r="F1447" s="15"/>
      <c r="G1447" s="15"/>
      <c r="H1447" s="96"/>
      <c r="I1447" s="16"/>
      <c r="J1447" s="37" t="str">
        <f aca="false">IF(I1447="","",IF(H1447="",1,H1447)*I1447)</f>
        <v/>
      </c>
      <c r="K1447" s="15"/>
      <c r="L1447" s="97" t="str">
        <f aca="false">IF(C1447="","",IF(OR(C1447="Material",C1447="Equipo",C1447="Suministro"),"Materiales y equipos",IF(C1447="Mano de obra contratista","Mano de obra contratista",IF(C1447="Transporte","Transporte y otros","Alquileres"))))</f>
        <v/>
      </c>
      <c r="M1447" s="6"/>
    </row>
    <row r="1448" customFormat="false" ht="16.5" hidden="false" customHeight="true" outlineLevel="0" collapsed="false">
      <c r="A1448" s="95" t="str">
        <f aca="false">IF(AND(B1448="",C1448=""),"",ROW()-6)</f>
        <v/>
      </c>
      <c r="B1448" s="83"/>
      <c r="C1448" s="15"/>
      <c r="D1448" s="15"/>
      <c r="E1448" s="85"/>
      <c r="F1448" s="15"/>
      <c r="G1448" s="15"/>
      <c r="H1448" s="96"/>
      <c r="I1448" s="16"/>
      <c r="J1448" s="37" t="str">
        <f aca="false">IF(I1448="","",IF(H1448="",1,H1448)*I1448)</f>
        <v/>
      </c>
      <c r="K1448" s="15"/>
      <c r="L1448" s="97" t="str">
        <f aca="false">IF(C1448="","",IF(OR(C1448="Material",C1448="Equipo",C1448="Suministro"),"Materiales y equipos",IF(C1448="Mano de obra contratista","Mano de obra contratista",IF(C1448="Transporte","Transporte y otros","Alquileres"))))</f>
        <v/>
      </c>
      <c r="M1448" s="6"/>
    </row>
    <row r="1449" customFormat="false" ht="16.5" hidden="false" customHeight="true" outlineLevel="0" collapsed="false">
      <c r="A1449" s="95" t="str">
        <f aca="false">IF(AND(B1449="",C1449=""),"",ROW()-6)</f>
        <v/>
      </c>
      <c r="B1449" s="83"/>
      <c r="C1449" s="15"/>
      <c r="D1449" s="15"/>
      <c r="E1449" s="85"/>
      <c r="F1449" s="15"/>
      <c r="G1449" s="15"/>
      <c r="H1449" s="96"/>
      <c r="I1449" s="16"/>
      <c r="J1449" s="37" t="str">
        <f aca="false">IF(I1449="","",IF(H1449="",1,H1449)*I1449)</f>
        <v/>
      </c>
      <c r="K1449" s="15"/>
      <c r="L1449" s="97" t="str">
        <f aca="false">IF(C1449="","",IF(OR(C1449="Material",C1449="Equipo",C1449="Suministro"),"Materiales y equipos",IF(C1449="Mano de obra contratista","Mano de obra contratista",IF(C1449="Transporte","Transporte y otros","Alquileres"))))</f>
        <v/>
      </c>
      <c r="M1449" s="6"/>
    </row>
    <row r="1450" customFormat="false" ht="16.5" hidden="false" customHeight="true" outlineLevel="0" collapsed="false">
      <c r="A1450" s="95" t="str">
        <f aca="false">IF(AND(B1450="",C1450=""),"",ROW()-6)</f>
        <v/>
      </c>
      <c r="B1450" s="83"/>
      <c r="C1450" s="15"/>
      <c r="D1450" s="15"/>
      <c r="E1450" s="85"/>
      <c r="F1450" s="15"/>
      <c r="G1450" s="15"/>
      <c r="H1450" s="96"/>
      <c r="I1450" s="16"/>
      <c r="J1450" s="37" t="str">
        <f aca="false">IF(I1450="","",IF(H1450="",1,H1450)*I1450)</f>
        <v/>
      </c>
      <c r="K1450" s="15"/>
      <c r="L1450" s="97" t="str">
        <f aca="false">IF(C1450="","",IF(OR(C1450="Material",C1450="Equipo",C1450="Suministro"),"Materiales y equipos",IF(C1450="Mano de obra contratista","Mano de obra contratista",IF(C1450="Transporte","Transporte y otros","Alquileres"))))</f>
        <v/>
      </c>
      <c r="M1450" s="6"/>
    </row>
    <row r="1451" customFormat="false" ht="16.5" hidden="false" customHeight="true" outlineLevel="0" collapsed="false">
      <c r="A1451" s="95" t="str">
        <f aca="false">IF(AND(B1451="",C1451=""),"",ROW()-6)</f>
        <v/>
      </c>
      <c r="B1451" s="83"/>
      <c r="C1451" s="15"/>
      <c r="D1451" s="15"/>
      <c r="E1451" s="85"/>
      <c r="F1451" s="15"/>
      <c r="G1451" s="15"/>
      <c r="H1451" s="96"/>
      <c r="I1451" s="16"/>
      <c r="J1451" s="37" t="str">
        <f aca="false">IF(I1451="","",IF(H1451="",1,H1451)*I1451)</f>
        <v/>
      </c>
      <c r="K1451" s="15"/>
      <c r="L1451" s="97" t="str">
        <f aca="false">IF(C1451="","",IF(OR(C1451="Material",C1451="Equipo",C1451="Suministro"),"Materiales y equipos",IF(C1451="Mano de obra contratista","Mano de obra contratista",IF(C1451="Transporte","Transporte y otros","Alquileres"))))</f>
        <v/>
      </c>
      <c r="M1451" s="6"/>
    </row>
    <row r="1452" customFormat="false" ht="16.5" hidden="false" customHeight="true" outlineLevel="0" collapsed="false">
      <c r="A1452" s="95" t="str">
        <f aca="false">IF(AND(B1452="",C1452=""),"",ROW()-6)</f>
        <v/>
      </c>
      <c r="B1452" s="83"/>
      <c r="C1452" s="15"/>
      <c r="D1452" s="15"/>
      <c r="E1452" s="85"/>
      <c r="F1452" s="15"/>
      <c r="G1452" s="15"/>
      <c r="H1452" s="96"/>
      <c r="I1452" s="16"/>
      <c r="J1452" s="37" t="str">
        <f aca="false">IF(I1452="","",IF(H1452="",1,H1452)*I1452)</f>
        <v/>
      </c>
      <c r="K1452" s="15"/>
      <c r="L1452" s="97" t="str">
        <f aca="false">IF(C1452="","",IF(OR(C1452="Material",C1452="Equipo",C1452="Suministro"),"Materiales y equipos",IF(C1452="Mano de obra contratista","Mano de obra contratista",IF(C1452="Transporte","Transporte y otros","Alquileres"))))</f>
        <v/>
      </c>
      <c r="M1452" s="6"/>
    </row>
    <row r="1453" customFormat="false" ht="16.5" hidden="false" customHeight="true" outlineLevel="0" collapsed="false">
      <c r="A1453" s="95" t="str">
        <f aca="false">IF(AND(B1453="",C1453=""),"",ROW()-6)</f>
        <v/>
      </c>
      <c r="B1453" s="83"/>
      <c r="C1453" s="15"/>
      <c r="D1453" s="15"/>
      <c r="E1453" s="85"/>
      <c r="F1453" s="15"/>
      <c r="G1453" s="15"/>
      <c r="H1453" s="96"/>
      <c r="I1453" s="16"/>
      <c r="J1453" s="37" t="str">
        <f aca="false">IF(I1453="","",IF(H1453="",1,H1453)*I1453)</f>
        <v/>
      </c>
      <c r="K1453" s="15"/>
      <c r="L1453" s="97" t="str">
        <f aca="false">IF(C1453="","",IF(OR(C1453="Material",C1453="Equipo",C1453="Suministro"),"Materiales y equipos",IF(C1453="Mano de obra contratista","Mano de obra contratista",IF(C1453="Transporte","Transporte y otros","Alquileres"))))</f>
        <v/>
      </c>
      <c r="M1453" s="6"/>
    </row>
    <row r="1454" customFormat="false" ht="16.5" hidden="false" customHeight="true" outlineLevel="0" collapsed="false">
      <c r="A1454" s="95" t="str">
        <f aca="false">IF(AND(B1454="",C1454=""),"",ROW()-6)</f>
        <v/>
      </c>
      <c r="B1454" s="83"/>
      <c r="C1454" s="15"/>
      <c r="D1454" s="15"/>
      <c r="E1454" s="85"/>
      <c r="F1454" s="15"/>
      <c r="G1454" s="15"/>
      <c r="H1454" s="96"/>
      <c r="I1454" s="16"/>
      <c r="J1454" s="37" t="str">
        <f aca="false">IF(I1454="","",IF(H1454="",1,H1454)*I1454)</f>
        <v/>
      </c>
      <c r="K1454" s="15"/>
      <c r="L1454" s="97" t="str">
        <f aca="false">IF(C1454="","",IF(OR(C1454="Material",C1454="Equipo",C1454="Suministro"),"Materiales y equipos",IF(C1454="Mano de obra contratista","Mano de obra contratista",IF(C1454="Transporte","Transporte y otros","Alquileres"))))</f>
        <v/>
      </c>
      <c r="M1454" s="6"/>
    </row>
    <row r="1455" customFormat="false" ht="16.5" hidden="false" customHeight="true" outlineLevel="0" collapsed="false">
      <c r="A1455" s="95" t="str">
        <f aca="false">IF(AND(B1455="",C1455=""),"",ROW()-6)</f>
        <v/>
      </c>
      <c r="B1455" s="83"/>
      <c r="C1455" s="15"/>
      <c r="D1455" s="15"/>
      <c r="E1455" s="85"/>
      <c r="F1455" s="15"/>
      <c r="G1455" s="15"/>
      <c r="H1455" s="96"/>
      <c r="I1455" s="16"/>
      <c r="J1455" s="37" t="str">
        <f aca="false">IF(I1455="","",IF(H1455="",1,H1455)*I1455)</f>
        <v/>
      </c>
      <c r="K1455" s="15"/>
      <c r="L1455" s="97" t="str">
        <f aca="false">IF(C1455="","",IF(OR(C1455="Material",C1455="Equipo",C1455="Suministro"),"Materiales y equipos",IF(C1455="Mano de obra contratista","Mano de obra contratista",IF(C1455="Transporte","Transporte y otros","Alquileres"))))</f>
        <v/>
      </c>
      <c r="M1455" s="6"/>
    </row>
    <row r="1456" customFormat="false" ht="16.5" hidden="false" customHeight="true" outlineLevel="0" collapsed="false">
      <c r="A1456" s="95" t="str">
        <f aca="false">IF(AND(B1456="",C1456=""),"",ROW()-6)</f>
        <v/>
      </c>
      <c r="B1456" s="83"/>
      <c r="C1456" s="15"/>
      <c r="D1456" s="15"/>
      <c r="E1456" s="85"/>
      <c r="F1456" s="15"/>
      <c r="G1456" s="15"/>
      <c r="H1456" s="96"/>
      <c r="I1456" s="16"/>
      <c r="J1456" s="37" t="str">
        <f aca="false">IF(I1456="","",IF(H1456="",1,H1456)*I1456)</f>
        <v/>
      </c>
      <c r="K1456" s="15"/>
      <c r="L1456" s="97" t="str">
        <f aca="false">IF(C1456="","",IF(OR(C1456="Material",C1456="Equipo",C1456="Suministro"),"Materiales y equipos",IF(C1456="Mano de obra contratista","Mano de obra contratista",IF(C1456="Transporte","Transporte y otros","Alquileres"))))</f>
        <v/>
      </c>
      <c r="M1456" s="6"/>
    </row>
    <row r="1457" customFormat="false" ht="16.5" hidden="false" customHeight="true" outlineLevel="0" collapsed="false">
      <c r="A1457" s="95" t="str">
        <f aca="false">IF(AND(B1457="",C1457=""),"",ROW()-6)</f>
        <v/>
      </c>
      <c r="B1457" s="83"/>
      <c r="C1457" s="15"/>
      <c r="D1457" s="15"/>
      <c r="E1457" s="85"/>
      <c r="F1457" s="15"/>
      <c r="G1457" s="15"/>
      <c r="H1457" s="96"/>
      <c r="I1457" s="16"/>
      <c r="J1457" s="37" t="str">
        <f aca="false">IF(I1457="","",IF(H1457="",1,H1457)*I1457)</f>
        <v/>
      </c>
      <c r="K1457" s="15"/>
      <c r="L1457" s="97" t="str">
        <f aca="false">IF(C1457="","",IF(OR(C1457="Material",C1457="Equipo",C1457="Suministro"),"Materiales y equipos",IF(C1457="Mano de obra contratista","Mano de obra contratista",IF(C1457="Transporte","Transporte y otros","Alquileres"))))</f>
        <v/>
      </c>
      <c r="M1457" s="6"/>
    </row>
    <row r="1458" customFormat="false" ht="16.5" hidden="false" customHeight="true" outlineLevel="0" collapsed="false">
      <c r="A1458" s="95" t="str">
        <f aca="false">IF(AND(B1458="",C1458=""),"",ROW()-6)</f>
        <v/>
      </c>
      <c r="B1458" s="83"/>
      <c r="C1458" s="15"/>
      <c r="D1458" s="15"/>
      <c r="E1458" s="85"/>
      <c r="F1458" s="15"/>
      <c r="G1458" s="15"/>
      <c r="H1458" s="96"/>
      <c r="I1458" s="16"/>
      <c r="J1458" s="37" t="str">
        <f aca="false">IF(I1458="","",IF(H1458="",1,H1458)*I1458)</f>
        <v/>
      </c>
      <c r="K1458" s="15"/>
      <c r="L1458" s="97" t="str">
        <f aca="false">IF(C1458="","",IF(OR(C1458="Material",C1458="Equipo",C1458="Suministro"),"Materiales y equipos",IF(C1458="Mano de obra contratista","Mano de obra contratista",IF(C1458="Transporte","Transporte y otros","Alquileres"))))</f>
        <v/>
      </c>
      <c r="M1458" s="6"/>
    </row>
    <row r="1459" customFormat="false" ht="16.5" hidden="false" customHeight="true" outlineLevel="0" collapsed="false">
      <c r="A1459" s="95" t="str">
        <f aca="false">IF(AND(B1459="",C1459=""),"",ROW()-6)</f>
        <v/>
      </c>
      <c r="B1459" s="83"/>
      <c r="C1459" s="15"/>
      <c r="D1459" s="15"/>
      <c r="E1459" s="85"/>
      <c r="F1459" s="15"/>
      <c r="G1459" s="15"/>
      <c r="H1459" s="96"/>
      <c r="I1459" s="16"/>
      <c r="J1459" s="37" t="str">
        <f aca="false">IF(I1459="","",IF(H1459="",1,H1459)*I1459)</f>
        <v/>
      </c>
      <c r="K1459" s="15"/>
      <c r="L1459" s="97" t="str">
        <f aca="false">IF(C1459="","",IF(OR(C1459="Material",C1459="Equipo",C1459="Suministro"),"Materiales y equipos",IF(C1459="Mano de obra contratista","Mano de obra contratista",IF(C1459="Transporte","Transporte y otros","Alquileres"))))</f>
        <v/>
      </c>
      <c r="M1459" s="6"/>
    </row>
    <row r="1460" customFormat="false" ht="16.5" hidden="false" customHeight="true" outlineLevel="0" collapsed="false">
      <c r="A1460" s="95" t="str">
        <f aca="false">IF(AND(B1460="",C1460=""),"",ROW()-6)</f>
        <v/>
      </c>
      <c r="B1460" s="83"/>
      <c r="C1460" s="15"/>
      <c r="D1460" s="15"/>
      <c r="E1460" s="85"/>
      <c r="F1460" s="15"/>
      <c r="G1460" s="15"/>
      <c r="H1460" s="96"/>
      <c r="I1460" s="16"/>
      <c r="J1460" s="37" t="str">
        <f aca="false">IF(I1460="","",IF(H1460="",1,H1460)*I1460)</f>
        <v/>
      </c>
      <c r="K1460" s="15"/>
      <c r="L1460" s="97" t="str">
        <f aca="false">IF(C1460="","",IF(OR(C1460="Material",C1460="Equipo",C1460="Suministro"),"Materiales y equipos",IF(C1460="Mano de obra contratista","Mano de obra contratista",IF(C1460="Transporte","Transporte y otros","Alquileres"))))</f>
        <v/>
      </c>
      <c r="M1460" s="6"/>
    </row>
    <row r="1461" customFormat="false" ht="16.5" hidden="false" customHeight="true" outlineLevel="0" collapsed="false">
      <c r="A1461" s="95" t="str">
        <f aca="false">IF(AND(B1461="",C1461=""),"",ROW()-6)</f>
        <v/>
      </c>
      <c r="B1461" s="83"/>
      <c r="C1461" s="15"/>
      <c r="D1461" s="15"/>
      <c r="E1461" s="85"/>
      <c r="F1461" s="15"/>
      <c r="G1461" s="15"/>
      <c r="H1461" s="96"/>
      <c r="I1461" s="16"/>
      <c r="J1461" s="37" t="str">
        <f aca="false">IF(I1461="","",IF(H1461="",1,H1461)*I1461)</f>
        <v/>
      </c>
      <c r="K1461" s="15"/>
      <c r="L1461" s="97" t="str">
        <f aca="false">IF(C1461="","",IF(OR(C1461="Material",C1461="Equipo",C1461="Suministro"),"Materiales y equipos",IF(C1461="Mano de obra contratista","Mano de obra contratista",IF(C1461="Transporte","Transporte y otros","Alquileres"))))</f>
        <v/>
      </c>
      <c r="M1461" s="6"/>
    </row>
    <row r="1462" customFormat="false" ht="16.5" hidden="false" customHeight="true" outlineLevel="0" collapsed="false">
      <c r="A1462" s="95" t="str">
        <f aca="false">IF(AND(B1462="",C1462=""),"",ROW()-6)</f>
        <v/>
      </c>
      <c r="B1462" s="83"/>
      <c r="C1462" s="15"/>
      <c r="D1462" s="15"/>
      <c r="E1462" s="85"/>
      <c r="F1462" s="15"/>
      <c r="G1462" s="15"/>
      <c r="H1462" s="96"/>
      <c r="I1462" s="16"/>
      <c r="J1462" s="37" t="str">
        <f aca="false">IF(I1462="","",IF(H1462="",1,H1462)*I1462)</f>
        <v/>
      </c>
      <c r="K1462" s="15"/>
      <c r="L1462" s="97" t="str">
        <f aca="false">IF(C1462="","",IF(OR(C1462="Material",C1462="Equipo",C1462="Suministro"),"Materiales y equipos",IF(C1462="Mano de obra contratista","Mano de obra contratista",IF(C1462="Transporte","Transporte y otros","Alquileres"))))</f>
        <v/>
      </c>
      <c r="M1462" s="6"/>
    </row>
    <row r="1463" customFormat="false" ht="16.5" hidden="false" customHeight="true" outlineLevel="0" collapsed="false">
      <c r="A1463" s="95" t="str">
        <f aca="false">IF(AND(B1463="",C1463=""),"",ROW()-6)</f>
        <v/>
      </c>
      <c r="B1463" s="83"/>
      <c r="C1463" s="15"/>
      <c r="D1463" s="15"/>
      <c r="E1463" s="85"/>
      <c r="F1463" s="15"/>
      <c r="G1463" s="15"/>
      <c r="H1463" s="96"/>
      <c r="I1463" s="16"/>
      <c r="J1463" s="37" t="str">
        <f aca="false">IF(I1463="","",IF(H1463="",1,H1463)*I1463)</f>
        <v/>
      </c>
      <c r="K1463" s="15"/>
      <c r="L1463" s="97" t="str">
        <f aca="false">IF(C1463="","",IF(OR(C1463="Material",C1463="Equipo",C1463="Suministro"),"Materiales y equipos",IF(C1463="Mano de obra contratista","Mano de obra contratista",IF(C1463="Transporte","Transporte y otros","Alquileres"))))</f>
        <v/>
      </c>
      <c r="M1463" s="6"/>
    </row>
    <row r="1464" customFormat="false" ht="16.5" hidden="false" customHeight="true" outlineLevel="0" collapsed="false">
      <c r="A1464" s="95" t="str">
        <f aca="false">IF(AND(B1464="",C1464=""),"",ROW()-6)</f>
        <v/>
      </c>
      <c r="B1464" s="83"/>
      <c r="C1464" s="15"/>
      <c r="D1464" s="15"/>
      <c r="E1464" s="85"/>
      <c r="F1464" s="15"/>
      <c r="G1464" s="15"/>
      <c r="H1464" s="96"/>
      <c r="I1464" s="16"/>
      <c r="J1464" s="37" t="str">
        <f aca="false">IF(I1464="","",IF(H1464="",1,H1464)*I1464)</f>
        <v/>
      </c>
      <c r="K1464" s="15"/>
      <c r="L1464" s="97" t="str">
        <f aca="false">IF(C1464="","",IF(OR(C1464="Material",C1464="Equipo",C1464="Suministro"),"Materiales y equipos",IF(C1464="Mano de obra contratista","Mano de obra contratista",IF(C1464="Transporte","Transporte y otros","Alquileres"))))</f>
        <v/>
      </c>
      <c r="M1464" s="6"/>
    </row>
    <row r="1465" customFormat="false" ht="16.5" hidden="false" customHeight="true" outlineLevel="0" collapsed="false">
      <c r="A1465" s="95" t="str">
        <f aca="false">IF(AND(B1465="",C1465=""),"",ROW()-6)</f>
        <v/>
      </c>
      <c r="B1465" s="83"/>
      <c r="C1465" s="15"/>
      <c r="D1465" s="15"/>
      <c r="E1465" s="85"/>
      <c r="F1465" s="15"/>
      <c r="G1465" s="15"/>
      <c r="H1465" s="96"/>
      <c r="I1465" s="16"/>
      <c r="J1465" s="37" t="str">
        <f aca="false">IF(I1465="","",IF(H1465="",1,H1465)*I1465)</f>
        <v/>
      </c>
      <c r="K1465" s="15"/>
      <c r="L1465" s="97" t="str">
        <f aca="false">IF(C1465="","",IF(OR(C1465="Material",C1465="Equipo",C1465="Suministro"),"Materiales y equipos",IF(C1465="Mano de obra contratista","Mano de obra contratista",IF(C1465="Transporte","Transporte y otros","Alquileres"))))</f>
        <v/>
      </c>
      <c r="M1465" s="6"/>
    </row>
    <row r="1466" customFormat="false" ht="16.5" hidden="false" customHeight="true" outlineLevel="0" collapsed="false">
      <c r="A1466" s="95" t="str">
        <f aca="false">IF(AND(B1466="",C1466=""),"",ROW()-6)</f>
        <v/>
      </c>
      <c r="B1466" s="83"/>
      <c r="C1466" s="15"/>
      <c r="D1466" s="15"/>
      <c r="E1466" s="85"/>
      <c r="F1466" s="15"/>
      <c r="G1466" s="15"/>
      <c r="H1466" s="96"/>
      <c r="I1466" s="16"/>
      <c r="J1466" s="37" t="str">
        <f aca="false">IF(I1466="","",IF(H1466="",1,H1466)*I1466)</f>
        <v/>
      </c>
      <c r="K1466" s="15"/>
      <c r="L1466" s="97" t="str">
        <f aca="false">IF(C1466="","",IF(OR(C1466="Material",C1466="Equipo",C1466="Suministro"),"Materiales y equipos",IF(C1466="Mano de obra contratista","Mano de obra contratista",IF(C1466="Transporte","Transporte y otros","Alquileres"))))</f>
        <v/>
      </c>
      <c r="M1466" s="6"/>
    </row>
    <row r="1467" customFormat="false" ht="16.5" hidden="false" customHeight="true" outlineLevel="0" collapsed="false">
      <c r="A1467" s="95" t="str">
        <f aca="false">IF(AND(B1467="",C1467=""),"",ROW()-6)</f>
        <v/>
      </c>
      <c r="B1467" s="83"/>
      <c r="C1467" s="15"/>
      <c r="D1467" s="15"/>
      <c r="E1467" s="85"/>
      <c r="F1467" s="15"/>
      <c r="G1467" s="15"/>
      <c r="H1467" s="96"/>
      <c r="I1467" s="16"/>
      <c r="J1467" s="37" t="str">
        <f aca="false">IF(I1467="","",IF(H1467="",1,H1467)*I1467)</f>
        <v/>
      </c>
      <c r="K1467" s="15"/>
      <c r="L1467" s="97" t="str">
        <f aca="false">IF(C1467="","",IF(OR(C1467="Material",C1467="Equipo",C1467="Suministro"),"Materiales y equipos",IF(C1467="Mano de obra contratista","Mano de obra contratista",IF(C1467="Transporte","Transporte y otros","Alquileres"))))</f>
        <v/>
      </c>
      <c r="M1467" s="6"/>
    </row>
    <row r="1468" customFormat="false" ht="16.5" hidden="false" customHeight="true" outlineLevel="0" collapsed="false">
      <c r="A1468" s="95" t="str">
        <f aca="false">IF(AND(B1468="",C1468=""),"",ROW()-6)</f>
        <v/>
      </c>
      <c r="B1468" s="83"/>
      <c r="C1468" s="15"/>
      <c r="D1468" s="15"/>
      <c r="E1468" s="85"/>
      <c r="F1468" s="15"/>
      <c r="G1468" s="15"/>
      <c r="H1468" s="96"/>
      <c r="I1468" s="16"/>
      <c r="J1468" s="37" t="str">
        <f aca="false">IF(I1468="","",IF(H1468="",1,H1468)*I1468)</f>
        <v/>
      </c>
      <c r="K1468" s="15"/>
      <c r="L1468" s="97" t="str">
        <f aca="false">IF(C1468="","",IF(OR(C1468="Material",C1468="Equipo",C1468="Suministro"),"Materiales y equipos",IF(C1468="Mano de obra contratista","Mano de obra contratista",IF(C1468="Transporte","Transporte y otros","Alquileres"))))</f>
        <v/>
      </c>
      <c r="M1468" s="6"/>
    </row>
    <row r="1469" customFormat="false" ht="16.5" hidden="false" customHeight="true" outlineLevel="0" collapsed="false">
      <c r="A1469" s="95" t="str">
        <f aca="false">IF(AND(B1469="",C1469=""),"",ROW()-6)</f>
        <v/>
      </c>
      <c r="B1469" s="83"/>
      <c r="C1469" s="15"/>
      <c r="D1469" s="15"/>
      <c r="E1469" s="85"/>
      <c r="F1469" s="15"/>
      <c r="G1469" s="15"/>
      <c r="H1469" s="96"/>
      <c r="I1469" s="16"/>
      <c r="J1469" s="37" t="str">
        <f aca="false">IF(I1469="","",IF(H1469="",1,H1469)*I1469)</f>
        <v/>
      </c>
      <c r="K1469" s="15"/>
      <c r="L1469" s="97" t="str">
        <f aca="false">IF(C1469="","",IF(OR(C1469="Material",C1469="Equipo",C1469="Suministro"),"Materiales y equipos",IF(C1469="Mano de obra contratista","Mano de obra contratista",IF(C1469="Transporte","Transporte y otros","Alquileres"))))</f>
        <v/>
      </c>
      <c r="M1469" s="6"/>
    </row>
    <row r="1470" customFormat="false" ht="16.5" hidden="false" customHeight="true" outlineLevel="0" collapsed="false">
      <c r="A1470" s="95" t="str">
        <f aca="false">IF(AND(B1470="",C1470=""),"",ROW()-6)</f>
        <v/>
      </c>
      <c r="B1470" s="83"/>
      <c r="C1470" s="15"/>
      <c r="D1470" s="15"/>
      <c r="E1470" s="85"/>
      <c r="F1470" s="15"/>
      <c r="G1470" s="15"/>
      <c r="H1470" s="96"/>
      <c r="I1470" s="16"/>
      <c r="J1470" s="37" t="str">
        <f aca="false">IF(I1470="","",IF(H1470="",1,H1470)*I1470)</f>
        <v/>
      </c>
      <c r="K1470" s="15"/>
      <c r="L1470" s="97" t="str">
        <f aca="false">IF(C1470="","",IF(OR(C1470="Material",C1470="Equipo",C1470="Suministro"),"Materiales y equipos",IF(C1470="Mano de obra contratista","Mano de obra contratista",IF(C1470="Transporte","Transporte y otros","Alquileres"))))</f>
        <v/>
      </c>
      <c r="M1470" s="6"/>
    </row>
    <row r="1471" customFormat="false" ht="16.5" hidden="false" customHeight="true" outlineLevel="0" collapsed="false">
      <c r="A1471" s="95" t="str">
        <f aca="false">IF(AND(B1471="",C1471=""),"",ROW()-6)</f>
        <v/>
      </c>
      <c r="B1471" s="83"/>
      <c r="C1471" s="15"/>
      <c r="D1471" s="15"/>
      <c r="E1471" s="85"/>
      <c r="F1471" s="15"/>
      <c r="G1471" s="15"/>
      <c r="H1471" s="96"/>
      <c r="I1471" s="16"/>
      <c r="J1471" s="37" t="str">
        <f aca="false">IF(I1471="","",IF(H1471="",1,H1471)*I1471)</f>
        <v/>
      </c>
      <c r="K1471" s="15"/>
      <c r="L1471" s="97" t="str">
        <f aca="false">IF(C1471="","",IF(OR(C1471="Material",C1471="Equipo",C1471="Suministro"),"Materiales y equipos",IF(C1471="Mano de obra contratista","Mano de obra contratista",IF(C1471="Transporte","Transporte y otros","Alquileres"))))</f>
        <v/>
      </c>
      <c r="M1471" s="6"/>
    </row>
    <row r="1472" customFormat="false" ht="16.5" hidden="false" customHeight="true" outlineLevel="0" collapsed="false">
      <c r="A1472" s="95" t="str">
        <f aca="false">IF(AND(B1472="",C1472=""),"",ROW()-6)</f>
        <v/>
      </c>
      <c r="B1472" s="83"/>
      <c r="C1472" s="15"/>
      <c r="D1472" s="15"/>
      <c r="E1472" s="85"/>
      <c r="F1472" s="15"/>
      <c r="G1472" s="15"/>
      <c r="H1472" s="96"/>
      <c r="I1472" s="16"/>
      <c r="J1472" s="37" t="str">
        <f aca="false">IF(I1472="","",IF(H1472="",1,H1472)*I1472)</f>
        <v/>
      </c>
      <c r="K1472" s="15"/>
      <c r="L1472" s="97" t="str">
        <f aca="false">IF(C1472="","",IF(OR(C1472="Material",C1472="Equipo",C1472="Suministro"),"Materiales y equipos",IF(C1472="Mano de obra contratista","Mano de obra contratista",IF(C1472="Transporte","Transporte y otros","Alquileres"))))</f>
        <v/>
      </c>
      <c r="M1472" s="6"/>
    </row>
    <row r="1473" customFormat="false" ht="16.5" hidden="false" customHeight="true" outlineLevel="0" collapsed="false">
      <c r="A1473" s="95" t="str">
        <f aca="false">IF(AND(B1473="",C1473=""),"",ROW()-6)</f>
        <v/>
      </c>
      <c r="B1473" s="83"/>
      <c r="C1473" s="15"/>
      <c r="D1473" s="15"/>
      <c r="E1473" s="85"/>
      <c r="F1473" s="15"/>
      <c r="G1473" s="15"/>
      <c r="H1473" s="96"/>
      <c r="I1473" s="16"/>
      <c r="J1473" s="37" t="str">
        <f aca="false">IF(I1473="","",IF(H1473="",1,H1473)*I1473)</f>
        <v/>
      </c>
      <c r="K1473" s="15"/>
      <c r="L1473" s="97" t="str">
        <f aca="false">IF(C1473="","",IF(OR(C1473="Material",C1473="Equipo",C1473="Suministro"),"Materiales y equipos",IF(C1473="Mano de obra contratista","Mano de obra contratista",IF(C1473="Transporte","Transporte y otros","Alquileres"))))</f>
        <v/>
      </c>
      <c r="M1473" s="6"/>
    </row>
    <row r="1474" customFormat="false" ht="16.5" hidden="false" customHeight="true" outlineLevel="0" collapsed="false">
      <c r="A1474" s="95" t="str">
        <f aca="false">IF(AND(B1474="",C1474=""),"",ROW()-6)</f>
        <v/>
      </c>
      <c r="B1474" s="83"/>
      <c r="C1474" s="15"/>
      <c r="D1474" s="15"/>
      <c r="E1474" s="85"/>
      <c r="F1474" s="15"/>
      <c r="G1474" s="15"/>
      <c r="H1474" s="96"/>
      <c r="I1474" s="16"/>
      <c r="J1474" s="37" t="str">
        <f aca="false">IF(I1474="","",IF(H1474="",1,H1474)*I1474)</f>
        <v/>
      </c>
      <c r="K1474" s="15"/>
      <c r="L1474" s="97" t="str">
        <f aca="false">IF(C1474="","",IF(OR(C1474="Material",C1474="Equipo",C1474="Suministro"),"Materiales y equipos",IF(C1474="Mano de obra contratista","Mano de obra contratista",IF(C1474="Transporte","Transporte y otros","Alquileres"))))</f>
        <v/>
      </c>
      <c r="M1474" s="6"/>
    </row>
    <row r="1475" customFormat="false" ht="16.5" hidden="false" customHeight="true" outlineLevel="0" collapsed="false">
      <c r="A1475" s="95" t="str">
        <f aca="false">IF(AND(B1475="",C1475=""),"",ROW()-6)</f>
        <v/>
      </c>
      <c r="B1475" s="83"/>
      <c r="C1475" s="15"/>
      <c r="D1475" s="15"/>
      <c r="E1475" s="85"/>
      <c r="F1475" s="15"/>
      <c r="G1475" s="15"/>
      <c r="H1475" s="96"/>
      <c r="I1475" s="16"/>
      <c r="J1475" s="37" t="str">
        <f aca="false">IF(I1475="","",IF(H1475="",1,H1475)*I1475)</f>
        <v/>
      </c>
      <c r="K1475" s="15"/>
      <c r="L1475" s="97" t="str">
        <f aca="false">IF(C1475="","",IF(OR(C1475="Material",C1475="Equipo",C1475="Suministro"),"Materiales y equipos",IF(C1475="Mano de obra contratista","Mano de obra contratista",IF(C1475="Transporte","Transporte y otros","Alquileres"))))</f>
        <v/>
      </c>
      <c r="M1475" s="6"/>
    </row>
    <row r="1476" customFormat="false" ht="16.5" hidden="false" customHeight="true" outlineLevel="0" collapsed="false">
      <c r="A1476" s="95" t="str">
        <f aca="false">IF(AND(B1476="",C1476=""),"",ROW()-6)</f>
        <v/>
      </c>
      <c r="B1476" s="83"/>
      <c r="C1476" s="15"/>
      <c r="D1476" s="15"/>
      <c r="E1476" s="85"/>
      <c r="F1476" s="15"/>
      <c r="G1476" s="15"/>
      <c r="H1476" s="96"/>
      <c r="I1476" s="16"/>
      <c r="J1476" s="37" t="str">
        <f aca="false">IF(I1476="","",IF(H1476="",1,H1476)*I1476)</f>
        <v/>
      </c>
      <c r="K1476" s="15"/>
      <c r="L1476" s="97" t="str">
        <f aca="false">IF(C1476="","",IF(OR(C1476="Material",C1476="Equipo",C1476="Suministro"),"Materiales y equipos",IF(C1476="Mano de obra contratista","Mano de obra contratista",IF(C1476="Transporte","Transporte y otros","Alquileres"))))</f>
        <v/>
      </c>
      <c r="M1476" s="6"/>
    </row>
    <row r="1477" customFormat="false" ht="16.5" hidden="false" customHeight="true" outlineLevel="0" collapsed="false">
      <c r="A1477" s="95" t="str">
        <f aca="false">IF(AND(B1477="",C1477=""),"",ROW()-6)</f>
        <v/>
      </c>
      <c r="B1477" s="83"/>
      <c r="C1477" s="15"/>
      <c r="D1477" s="15"/>
      <c r="E1477" s="85"/>
      <c r="F1477" s="15"/>
      <c r="G1477" s="15"/>
      <c r="H1477" s="96"/>
      <c r="I1477" s="16"/>
      <c r="J1477" s="37" t="str">
        <f aca="false">IF(I1477="","",IF(H1477="",1,H1477)*I1477)</f>
        <v/>
      </c>
      <c r="K1477" s="15"/>
      <c r="L1477" s="97" t="str">
        <f aca="false">IF(C1477="","",IF(OR(C1477="Material",C1477="Equipo",C1477="Suministro"),"Materiales y equipos",IF(C1477="Mano de obra contratista","Mano de obra contratista",IF(C1477="Transporte","Transporte y otros","Alquileres"))))</f>
        <v/>
      </c>
      <c r="M1477" s="6"/>
    </row>
    <row r="1478" customFormat="false" ht="16.5" hidden="false" customHeight="true" outlineLevel="0" collapsed="false">
      <c r="A1478" s="95" t="str">
        <f aca="false">IF(AND(B1478="",C1478=""),"",ROW()-6)</f>
        <v/>
      </c>
      <c r="B1478" s="83"/>
      <c r="C1478" s="15"/>
      <c r="D1478" s="15"/>
      <c r="E1478" s="85"/>
      <c r="F1478" s="15"/>
      <c r="G1478" s="15"/>
      <c r="H1478" s="96"/>
      <c r="I1478" s="16"/>
      <c r="J1478" s="37" t="str">
        <f aca="false">IF(I1478="","",IF(H1478="",1,H1478)*I1478)</f>
        <v/>
      </c>
      <c r="K1478" s="15"/>
      <c r="L1478" s="97" t="str">
        <f aca="false">IF(C1478="","",IF(OR(C1478="Material",C1478="Equipo",C1478="Suministro"),"Materiales y equipos",IF(C1478="Mano de obra contratista","Mano de obra contratista",IF(C1478="Transporte","Transporte y otros","Alquileres"))))</f>
        <v/>
      </c>
      <c r="M1478" s="6"/>
    </row>
    <row r="1479" customFormat="false" ht="16.5" hidden="false" customHeight="true" outlineLevel="0" collapsed="false">
      <c r="A1479" s="95" t="str">
        <f aca="false">IF(AND(B1479="",C1479=""),"",ROW()-6)</f>
        <v/>
      </c>
      <c r="B1479" s="83"/>
      <c r="C1479" s="15"/>
      <c r="D1479" s="15"/>
      <c r="E1479" s="85"/>
      <c r="F1479" s="15"/>
      <c r="G1479" s="15"/>
      <c r="H1479" s="96"/>
      <c r="I1479" s="16"/>
      <c r="J1479" s="37" t="str">
        <f aca="false">IF(I1479="","",IF(H1479="",1,H1479)*I1479)</f>
        <v/>
      </c>
      <c r="K1479" s="15"/>
      <c r="L1479" s="97" t="str">
        <f aca="false">IF(C1479="","",IF(OR(C1479="Material",C1479="Equipo",C1479="Suministro"),"Materiales y equipos",IF(C1479="Mano de obra contratista","Mano de obra contratista",IF(C1479="Transporte","Transporte y otros","Alquileres"))))</f>
        <v/>
      </c>
      <c r="M1479" s="6"/>
    </row>
    <row r="1480" customFormat="false" ht="16.5" hidden="false" customHeight="true" outlineLevel="0" collapsed="false">
      <c r="A1480" s="95" t="str">
        <f aca="false">IF(AND(B1480="",C1480=""),"",ROW()-6)</f>
        <v/>
      </c>
      <c r="B1480" s="83"/>
      <c r="C1480" s="15"/>
      <c r="D1480" s="15"/>
      <c r="E1480" s="85"/>
      <c r="F1480" s="15"/>
      <c r="G1480" s="15"/>
      <c r="H1480" s="96"/>
      <c r="I1480" s="16"/>
      <c r="J1480" s="37" t="str">
        <f aca="false">IF(I1480="","",IF(H1480="",1,H1480)*I1480)</f>
        <v/>
      </c>
      <c r="K1480" s="15"/>
      <c r="L1480" s="97" t="str">
        <f aca="false">IF(C1480="","",IF(OR(C1480="Material",C1480="Equipo",C1480="Suministro"),"Materiales y equipos",IF(C1480="Mano de obra contratista","Mano de obra contratista",IF(C1480="Transporte","Transporte y otros","Alquileres"))))</f>
        <v/>
      </c>
      <c r="M1480" s="6"/>
    </row>
    <row r="1481" customFormat="false" ht="16.5" hidden="false" customHeight="true" outlineLevel="0" collapsed="false">
      <c r="A1481" s="95" t="str">
        <f aca="false">IF(AND(B1481="",C1481=""),"",ROW()-6)</f>
        <v/>
      </c>
      <c r="B1481" s="83"/>
      <c r="C1481" s="15"/>
      <c r="D1481" s="15"/>
      <c r="E1481" s="85"/>
      <c r="F1481" s="15"/>
      <c r="G1481" s="15"/>
      <c r="H1481" s="96"/>
      <c r="I1481" s="16"/>
      <c r="J1481" s="37" t="str">
        <f aca="false">IF(I1481="","",IF(H1481="",1,H1481)*I1481)</f>
        <v/>
      </c>
      <c r="K1481" s="15"/>
      <c r="L1481" s="97" t="str">
        <f aca="false">IF(C1481="","",IF(OR(C1481="Material",C1481="Equipo",C1481="Suministro"),"Materiales y equipos",IF(C1481="Mano de obra contratista","Mano de obra contratista",IF(C1481="Transporte","Transporte y otros","Alquileres"))))</f>
        <v/>
      </c>
      <c r="M1481" s="6"/>
    </row>
    <row r="1482" customFormat="false" ht="16.5" hidden="false" customHeight="true" outlineLevel="0" collapsed="false">
      <c r="A1482" s="95" t="str">
        <f aca="false">IF(AND(B1482="",C1482=""),"",ROW()-6)</f>
        <v/>
      </c>
      <c r="B1482" s="83"/>
      <c r="C1482" s="15"/>
      <c r="D1482" s="15"/>
      <c r="E1482" s="85"/>
      <c r="F1482" s="15"/>
      <c r="G1482" s="15"/>
      <c r="H1482" s="96"/>
      <c r="I1482" s="16"/>
      <c r="J1482" s="37" t="str">
        <f aca="false">IF(I1482="","",IF(H1482="",1,H1482)*I1482)</f>
        <v/>
      </c>
      <c r="K1482" s="15"/>
      <c r="L1482" s="97" t="str">
        <f aca="false">IF(C1482="","",IF(OR(C1482="Material",C1482="Equipo",C1482="Suministro"),"Materiales y equipos",IF(C1482="Mano de obra contratista","Mano de obra contratista",IF(C1482="Transporte","Transporte y otros","Alquileres"))))</f>
        <v/>
      </c>
      <c r="M1482" s="6"/>
    </row>
    <row r="1483" customFormat="false" ht="16.5" hidden="false" customHeight="true" outlineLevel="0" collapsed="false">
      <c r="A1483" s="95" t="str">
        <f aca="false">IF(AND(B1483="",C1483=""),"",ROW()-6)</f>
        <v/>
      </c>
      <c r="B1483" s="83"/>
      <c r="C1483" s="15"/>
      <c r="D1483" s="15"/>
      <c r="E1483" s="85"/>
      <c r="F1483" s="15"/>
      <c r="G1483" s="15"/>
      <c r="H1483" s="96"/>
      <c r="I1483" s="16"/>
      <c r="J1483" s="37" t="str">
        <f aca="false">IF(I1483="","",IF(H1483="",1,H1483)*I1483)</f>
        <v/>
      </c>
      <c r="K1483" s="15"/>
      <c r="L1483" s="97" t="str">
        <f aca="false">IF(C1483="","",IF(OR(C1483="Material",C1483="Equipo",C1483="Suministro"),"Materiales y equipos",IF(C1483="Mano de obra contratista","Mano de obra contratista",IF(C1483="Transporte","Transporte y otros","Alquileres"))))</f>
        <v/>
      </c>
      <c r="M1483" s="6"/>
    </row>
    <row r="1484" customFormat="false" ht="16.5" hidden="false" customHeight="true" outlineLevel="0" collapsed="false">
      <c r="A1484" s="95" t="str">
        <f aca="false">IF(AND(B1484="",C1484=""),"",ROW()-6)</f>
        <v/>
      </c>
      <c r="B1484" s="83"/>
      <c r="C1484" s="15"/>
      <c r="D1484" s="15"/>
      <c r="E1484" s="85"/>
      <c r="F1484" s="15"/>
      <c r="G1484" s="15"/>
      <c r="H1484" s="96"/>
      <c r="I1484" s="16"/>
      <c r="J1484" s="37" t="str">
        <f aca="false">IF(I1484="","",IF(H1484="",1,H1484)*I1484)</f>
        <v/>
      </c>
      <c r="K1484" s="15"/>
      <c r="L1484" s="97" t="str">
        <f aca="false">IF(C1484="","",IF(OR(C1484="Material",C1484="Equipo",C1484="Suministro"),"Materiales y equipos",IF(C1484="Mano de obra contratista","Mano de obra contratista",IF(C1484="Transporte","Transporte y otros","Alquileres"))))</f>
        <v/>
      </c>
      <c r="M1484" s="6"/>
    </row>
    <row r="1485" customFormat="false" ht="16.5" hidden="false" customHeight="true" outlineLevel="0" collapsed="false">
      <c r="A1485" s="95" t="str">
        <f aca="false">IF(AND(B1485="",C1485=""),"",ROW()-6)</f>
        <v/>
      </c>
      <c r="B1485" s="83"/>
      <c r="C1485" s="15"/>
      <c r="D1485" s="15"/>
      <c r="E1485" s="85"/>
      <c r="F1485" s="15"/>
      <c r="G1485" s="15"/>
      <c r="H1485" s="96"/>
      <c r="I1485" s="16"/>
      <c r="J1485" s="37" t="str">
        <f aca="false">IF(I1485="","",IF(H1485="",1,H1485)*I1485)</f>
        <v/>
      </c>
      <c r="K1485" s="15"/>
      <c r="L1485" s="97" t="str">
        <f aca="false">IF(C1485="","",IF(OR(C1485="Material",C1485="Equipo",C1485="Suministro"),"Materiales y equipos",IF(C1485="Mano de obra contratista","Mano de obra contratista",IF(C1485="Transporte","Transporte y otros","Alquileres"))))</f>
        <v/>
      </c>
      <c r="M1485" s="6"/>
    </row>
    <row r="1486" customFormat="false" ht="16.5" hidden="false" customHeight="true" outlineLevel="0" collapsed="false">
      <c r="A1486" s="95" t="str">
        <f aca="false">IF(AND(B1486="",C1486=""),"",ROW()-6)</f>
        <v/>
      </c>
      <c r="B1486" s="83"/>
      <c r="C1486" s="15"/>
      <c r="D1486" s="15"/>
      <c r="E1486" s="85"/>
      <c r="F1486" s="15"/>
      <c r="G1486" s="15"/>
      <c r="H1486" s="96"/>
      <c r="I1486" s="16"/>
      <c r="J1486" s="37" t="str">
        <f aca="false">IF(I1486="","",IF(H1486="",1,H1486)*I1486)</f>
        <v/>
      </c>
      <c r="K1486" s="15"/>
      <c r="L1486" s="97" t="str">
        <f aca="false">IF(C1486="","",IF(OR(C1486="Material",C1486="Equipo",C1486="Suministro"),"Materiales y equipos",IF(C1486="Mano de obra contratista","Mano de obra contratista",IF(C1486="Transporte","Transporte y otros","Alquileres"))))</f>
        <v/>
      </c>
      <c r="M1486" s="6"/>
    </row>
    <row r="1487" customFormat="false" ht="16.5" hidden="false" customHeight="true" outlineLevel="0" collapsed="false">
      <c r="A1487" s="95" t="str">
        <f aca="false">IF(AND(B1487="",C1487=""),"",ROW()-6)</f>
        <v/>
      </c>
      <c r="B1487" s="83"/>
      <c r="C1487" s="15"/>
      <c r="D1487" s="15"/>
      <c r="E1487" s="85"/>
      <c r="F1487" s="15"/>
      <c r="G1487" s="15"/>
      <c r="H1487" s="96"/>
      <c r="I1487" s="16"/>
      <c r="J1487" s="37" t="str">
        <f aca="false">IF(I1487="","",IF(H1487="",1,H1487)*I1487)</f>
        <v/>
      </c>
      <c r="K1487" s="15"/>
      <c r="L1487" s="97" t="str">
        <f aca="false">IF(C1487="","",IF(OR(C1487="Material",C1487="Equipo",C1487="Suministro"),"Materiales y equipos",IF(C1487="Mano de obra contratista","Mano de obra contratista",IF(C1487="Transporte","Transporte y otros","Alquileres"))))</f>
        <v/>
      </c>
      <c r="M1487" s="6"/>
    </row>
    <row r="1488" customFormat="false" ht="16.5" hidden="false" customHeight="true" outlineLevel="0" collapsed="false">
      <c r="A1488" s="95" t="str">
        <f aca="false">IF(AND(B1488="",C1488=""),"",ROW()-6)</f>
        <v/>
      </c>
      <c r="B1488" s="83"/>
      <c r="C1488" s="15"/>
      <c r="D1488" s="15"/>
      <c r="E1488" s="85"/>
      <c r="F1488" s="15"/>
      <c r="G1488" s="15"/>
      <c r="H1488" s="96"/>
      <c r="I1488" s="16"/>
      <c r="J1488" s="37" t="str">
        <f aca="false">IF(I1488="","",IF(H1488="",1,H1488)*I1488)</f>
        <v/>
      </c>
      <c r="K1488" s="15"/>
      <c r="L1488" s="97" t="str">
        <f aca="false">IF(C1488="","",IF(OR(C1488="Material",C1488="Equipo",C1488="Suministro"),"Materiales y equipos",IF(C1488="Mano de obra contratista","Mano de obra contratista",IF(C1488="Transporte","Transporte y otros","Alquileres"))))</f>
        <v/>
      </c>
      <c r="M1488" s="6"/>
    </row>
    <row r="1489" customFormat="false" ht="16.5" hidden="false" customHeight="true" outlineLevel="0" collapsed="false">
      <c r="A1489" s="95" t="str">
        <f aca="false">IF(AND(B1489="",C1489=""),"",ROW()-6)</f>
        <v/>
      </c>
      <c r="B1489" s="83"/>
      <c r="C1489" s="15"/>
      <c r="D1489" s="15"/>
      <c r="E1489" s="85"/>
      <c r="F1489" s="15"/>
      <c r="G1489" s="15"/>
      <c r="H1489" s="96"/>
      <c r="I1489" s="16"/>
      <c r="J1489" s="37" t="str">
        <f aca="false">IF(I1489="","",IF(H1489="",1,H1489)*I1489)</f>
        <v/>
      </c>
      <c r="K1489" s="15"/>
      <c r="L1489" s="97" t="str">
        <f aca="false">IF(C1489="","",IF(OR(C1489="Material",C1489="Equipo",C1489="Suministro"),"Materiales y equipos",IF(C1489="Mano de obra contratista","Mano de obra contratista",IF(C1489="Transporte","Transporte y otros","Alquileres"))))</f>
        <v/>
      </c>
      <c r="M1489" s="6"/>
    </row>
    <row r="1490" customFormat="false" ht="16.5" hidden="false" customHeight="true" outlineLevel="0" collapsed="false">
      <c r="A1490" s="95" t="str">
        <f aca="false">IF(AND(B1490="",C1490=""),"",ROW()-6)</f>
        <v/>
      </c>
      <c r="B1490" s="83"/>
      <c r="C1490" s="15"/>
      <c r="D1490" s="15"/>
      <c r="E1490" s="85"/>
      <c r="F1490" s="15"/>
      <c r="G1490" s="15"/>
      <c r="H1490" s="96"/>
      <c r="I1490" s="16"/>
      <c r="J1490" s="37" t="str">
        <f aca="false">IF(I1490="","",IF(H1490="",1,H1490)*I1490)</f>
        <v/>
      </c>
      <c r="K1490" s="15"/>
      <c r="L1490" s="97" t="str">
        <f aca="false">IF(C1490="","",IF(OR(C1490="Material",C1490="Equipo",C1490="Suministro"),"Materiales y equipos",IF(C1490="Mano de obra contratista","Mano de obra contratista",IF(C1490="Transporte","Transporte y otros","Alquileres"))))</f>
        <v/>
      </c>
      <c r="M1490" s="6"/>
    </row>
    <row r="1491" customFormat="false" ht="16.5" hidden="false" customHeight="true" outlineLevel="0" collapsed="false">
      <c r="A1491" s="95" t="str">
        <f aca="false">IF(AND(B1491="",C1491=""),"",ROW()-6)</f>
        <v/>
      </c>
      <c r="B1491" s="83"/>
      <c r="C1491" s="15"/>
      <c r="D1491" s="15"/>
      <c r="E1491" s="85"/>
      <c r="F1491" s="15"/>
      <c r="G1491" s="15"/>
      <c r="H1491" s="96"/>
      <c r="I1491" s="16"/>
      <c r="J1491" s="37" t="str">
        <f aca="false">IF(I1491="","",IF(H1491="",1,H1491)*I1491)</f>
        <v/>
      </c>
      <c r="K1491" s="15"/>
      <c r="L1491" s="97" t="str">
        <f aca="false">IF(C1491="","",IF(OR(C1491="Material",C1491="Equipo",C1491="Suministro"),"Materiales y equipos",IF(C1491="Mano de obra contratista","Mano de obra contratista",IF(C1491="Transporte","Transporte y otros","Alquileres"))))</f>
        <v/>
      </c>
      <c r="M1491" s="6"/>
    </row>
    <row r="1492" customFormat="false" ht="16.5" hidden="false" customHeight="true" outlineLevel="0" collapsed="false">
      <c r="A1492" s="95" t="str">
        <f aca="false">IF(AND(B1492="",C1492=""),"",ROW()-6)</f>
        <v/>
      </c>
      <c r="B1492" s="83"/>
      <c r="C1492" s="15"/>
      <c r="D1492" s="15"/>
      <c r="E1492" s="85"/>
      <c r="F1492" s="15"/>
      <c r="G1492" s="15"/>
      <c r="H1492" s="96"/>
      <c r="I1492" s="16"/>
      <c r="J1492" s="37" t="str">
        <f aca="false">IF(I1492="","",IF(H1492="",1,H1492)*I1492)</f>
        <v/>
      </c>
      <c r="K1492" s="15"/>
      <c r="L1492" s="97" t="str">
        <f aca="false">IF(C1492="","",IF(OR(C1492="Material",C1492="Equipo",C1492="Suministro"),"Materiales y equipos",IF(C1492="Mano de obra contratista","Mano de obra contratista",IF(C1492="Transporte","Transporte y otros","Alquileres"))))</f>
        <v/>
      </c>
      <c r="M1492" s="6"/>
    </row>
    <row r="1493" customFormat="false" ht="16.5" hidden="false" customHeight="true" outlineLevel="0" collapsed="false">
      <c r="A1493" s="95" t="str">
        <f aca="false">IF(AND(B1493="",C1493=""),"",ROW()-6)</f>
        <v/>
      </c>
      <c r="B1493" s="83"/>
      <c r="C1493" s="15"/>
      <c r="D1493" s="15"/>
      <c r="E1493" s="85"/>
      <c r="F1493" s="15"/>
      <c r="G1493" s="15"/>
      <c r="H1493" s="96"/>
      <c r="I1493" s="16"/>
      <c r="J1493" s="37" t="str">
        <f aca="false">IF(I1493="","",IF(H1493="",1,H1493)*I1493)</f>
        <v/>
      </c>
      <c r="K1493" s="15"/>
      <c r="L1493" s="97" t="str">
        <f aca="false">IF(C1493="","",IF(OR(C1493="Material",C1493="Equipo",C1493="Suministro"),"Materiales y equipos",IF(C1493="Mano de obra contratista","Mano de obra contratista",IF(C1493="Transporte","Transporte y otros","Alquileres"))))</f>
        <v/>
      </c>
      <c r="M1493" s="6"/>
    </row>
    <row r="1494" customFormat="false" ht="16.5" hidden="false" customHeight="true" outlineLevel="0" collapsed="false">
      <c r="A1494" s="95" t="str">
        <f aca="false">IF(AND(B1494="",C1494=""),"",ROW()-6)</f>
        <v/>
      </c>
      <c r="B1494" s="83"/>
      <c r="C1494" s="15"/>
      <c r="D1494" s="15"/>
      <c r="E1494" s="85"/>
      <c r="F1494" s="15"/>
      <c r="G1494" s="15"/>
      <c r="H1494" s="96"/>
      <c r="I1494" s="16"/>
      <c r="J1494" s="37" t="str">
        <f aca="false">IF(I1494="","",IF(H1494="",1,H1494)*I1494)</f>
        <v/>
      </c>
      <c r="K1494" s="15"/>
      <c r="L1494" s="97" t="str">
        <f aca="false">IF(C1494="","",IF(OR(C1494="Material",C1494="Equipo",C1494="Suministro"),"Materiales y equipos",IF(C1494="Mano de obra contratista","Mano de obra contratista",IF(C1494="Transporte","Transporte y otros","Alquileres"))))</f>
        <v/>
      </c>
      <c r="M1494" s="6"/>
    </row>
    <row r="1495" customFormat="false" ht="16.5" hidden="false" customHeight="true" outlineLevel="0" collapsed="false">
      <c r="A1495" s="95" t="str">
        <f aca="false">IF(AND(B1495="",C1495=""),"",ROW()-6)</f>
        <v/>
      </c>
      <c r="B1495" s="83"/>
      <c r="C1495" s="15"/>
      <c r="D1495" s="15"/>
      <c r="E1495" s="85"/>
      <c r="F1495" s="15"/>
      <c r="G1495" s="15"/>
      <c r="H1495" s="96"/>
      <c r="I1495" s="16"/>
      <c r="J1495" s="37" t="str">
        <f aca="false">IF(I1495="","",IF(H1495="",1,H1495)*I1495)</f>
        <v/>
      </c>
      <c r="K1495" s="15"/>
      <c r="L1495" s="97" t="str">
        <f aca="false">IF(C1495="","",IF(OR(C1495="Material",C1495="Equipo",C1495="Suministro"),"Materiales y equipos",IF(C1495="Mano de obra contratista","Mano de obra contratista",IF(C1495="Transporte","Transporte y otros","Alquileres"))))</f>
        <v/>
      </c>
      <c r="M1495" s="6"/>
    </row>
    <row r="1496" customFormat="false" ht="16.5" hidden="false" customHeight="true" outlineLevel="0" collapsed="false">
      <c r="A1496" s="95" t="str">
        <f aca="false">IF(AND(B1496="",C1496=""),"",ROW()-6)</f>
        <v/>
      </c>
      <c r="B1496" s="83"/>
      <c r="C1496" s="15"/>
      <c r="D1496" s="15"/>
      <c r="E1496" s="85"/>
      <c r="F1496" s="15"/>
      <c r="G1496" s="15"/>
      <c r="H1496" s="96"/>
      <c r="I1496" s="16"/>
      <c r="J1496" s="37" t="str">
        <f aca="false">IF(I1496="","",IF(H1496="",1,H1496)*I1496)</f>
        <v/>
      </c>
      <c r="K1496" s="15"/>
      <c r="L1496" s="97" t="str">
        <f aca="false">IF(C1496="","",IF(OR(C1496="Material",C1496="Equipo",C1496="Suministro"),"Materiales y equipos",IF(C1496="Mano de obra contratista","Mano de obra contratista",IF(C1496="Transporte","Transporte y otros","Alquileres"))))</f>
        <v/>
      </c>
      <c r="M1496" s="6"/>
    </row>
    <row r="1497" customFormat="false" ht="16.5" hidden="false" customHeight="true" outlineLevel="0" collapsed="false">
      <c r="A1497" s="95" t="str">
        <f aca="false">IF(AND(B1497="",C1497=""),"",ROW()-6)</f>
        <v/>
      </c>
      <c r="B1497" s="83"/>
      <c r="C1497" s="15"/>
      <c r="D1497" s="15"/>
      <c r="E1497" s="85"/>
      <c r="F1497" s="15"/>
      <c r="G1497" s="15"/>
      <c r="H1497" s="96"/>
      <c r="I1497" s="16"/>
      <c r="J1497" s="37" t="str">
        <f aca="false">IF(I1497="","",IF(H1497="",1,H1497)*I1497)</f>
        <v/>
      </c>
      <c r="K1497" s="15"/>
      <c r="L1497" s="97" t="str">
        <f aca="false">IF(C1497="","",IF(OR(C1497="Material",C1497="Equipo",C1497="Suministro"),"Materiales y equipos",IF(C1497="Mano de obra contratista","Mano de obra contratista",IF(C1497="Transporte","Transporte y otros","Alquileres"))))</f>
        <v/>
      </c>
      <c r="M1497" s="6"/>
    </row>
    <row r="1498" customFormat="false" ht="16.5" hidden="false" customHeight="true" outlineLevel="0" collapsed="false">
      <c r="A1498" s="95" t="str">
        <f aca="false">IF(AND(B1498="",C1498=""),"",ROW()-6)</f>
        <v/>
      </c>
      <c r="B1498" s="83"/>
      <c r="C1498" s="15"/>
      <c r="D1498" s="15"/>
      <c r="E1498" s="85"/>
      <c r="F1498" s="15"/>
      <c r="G1498" s="15"/>
      <c r="H1498" s="96"/>
      <c r="I1498" s="16"/>
      <c r="J1498" s="37" t="str">
        <f aca="false">IF(I1498="","",IF(H1498="",1,H1498)*I1498)</f>
        <v/>
      </c>
      <c r="K1498" s="15"/>
      <c r="L1498" s="97" t="str">
        <f aca="false">IF(C1498="","",IF(OR(C1498="Material",C1498="Equipo",C1498="Suministro"),"Materiales y equipos",IF(C1498="Mano de obra contratista","Mano de obra contratista",IF(C1498="Transporte","Transporte y otros","Alquileres"))))</f>
        <v/>
      </c>
      <c r="M1498" s="6"/>
    </row>
    <row r="1499" customFormat="false" ht="16.5" hidden="false" customHeight="true" outlineLevel="0" collapsed="false">
      <c r="A1499" s="95" t="str">
        <f aca="false">IF(AND(B1499="",C1499=""),"",ROW()-6)</f>
        <v/>
      </c>
      <c r="B1499" s="83"/>
      <c r="C1499" s="15"/>
      <c r="D1499" s="15"/>
      <c r="E1499" s="85"/>
      <c r="F1499" s="15"/>
      <c r="G1499" s="15"/>
      <c r="H1499" s="96"/>
      <c r="I1499" s="16"/>
      <c r="J1499" s="37" t="str">
        <f aca="false">IF(I1499="","",IF(H1499="",1,H1499)*I1499)</f>
        <v/>
      </c>
      <c r="K1499" s="15"/>
      <c r="L1499" s="97" t="str">
        <f aca="false">IF(C1499="","",IF(OR(C1499="Material",C1499="Equipo",C1499="Suministro"),"Materiales y equipos",IF(C1499="Mano de obra contratista","Mano de obra contratista",IF(C1499="Transporte","Transporte y otros","Alquileres"))))</f>
        <v/>
      </c>
      <c r="M1499" s="6"/>
    </row>
    <row r="1500" customFormat="false" ht="16.5" hidden="false" customHeight="true" outlineLevel="0" collapsed="false">
      <c r="A1500" s="95" t="str">
        <f aca="false">IF(AND(B1500="",C1500=""),"",ROW()-6)</f>
        <v/>
      </c>
      <c r="B1500" s="83"/>
      <c r="C1500" s="15"/>
      <c r="D1500" s="15"/>
      <c r="E1500" s="85"/>
      <c r="F1500" s="15"/>
      <c r="G1500" s="15"/>
      <c r="H1500" s="96"/>
      <c r="I1500" s="16"/>
      <c r="J1500" s="37" t="str">
        <f aca="false">IF(I1500="","",IF(H1500="",1,H1500)*I1500)</f>
        <v/>
      </c>
      <c r="K1500" s="15"/>
      <c r="L1500" s="97" t="str">
        <f aca="false">IF(C1500="","",IF(OR(C1500="Material",C1500="Equipo",C1500="Suministro"),"Materiales y equipos",IF(C1500="Mano de obra contratista","Mano de obra contratista",IF(C1500="Transporte","Transporte y otros","Alquileres"))))</f>
        <v/>
      </c>
      <c r="M1500" s="6"/>
    </row>
    <row r="1501" customFormat="false" ht="16.5" hidden="false" customHeight="true" outlineLevel="0" collapsed="false">
      <c r="A1501" s="95" t="str">
        <f aca="false">IF(AND(B1501="",C1501=""),"",ROW()-6)</f>
        <v/>
      </c>
      <c r="B1501" s="83"/>
      <c r="C1501" s="15"/>
      <c r="D1501" s="15"/>
      <c r="E1501" s="85"/>
      <c r="F1501" s="15"/>
      <c r="G1501" s="15"/>
      <c r="H1501" s="96"/>
      <c r="I1501" s="16"/>
      <c r="J1501" s="37" t="str">
        <f aca="false">IF(I1501="","",IF(H1501="",1,H1501)*I1501)</f>
        <v/>
      </c>
      <c r="K1501" s="15"/>
      <c r="L1501" s="97" t="str">
        <f aca="false">IF(C1501="","",IF(OR(C1501="Material",C1501="Equipo",C1501="Suministro"),"Materiales y equipos",IF(C1501="Mano de obra contratista","Mano de obra contratista",IF(C1501="Transporte","Transporte y otros","Alquileres"))))</f>
        <v/>
      </c>
      <c r="M1501" s="6"/>
    </row>
    <row r="1502" customFormat="false" ht="16.5" hidden="false" customHeight="true" outlineLevel="0" collapsed="false">
      <c r="A1502" s="95" t="str">
        <f aca="false">IF(AND(B1502="",C1502=""),"",ROW()-6)</f>
        <v/>
      </c>
      <c r="B1502" s="83"/>
      <c r="C1502" s="15"/>
      <c r="D1502" s="15"/>
      <c r="E1502" s="85"/>
      <c r="F1502" s="15"/>
      <c r="G1502" s="15"/>
      <c r="H1502" s="96"/>
      <c r="I1502" s="16"/>
      <c r="J1502" s="37" t="str">
        <f aca="false">IF(I1502="","",IF(H1502="",1,H1502)*I1502)</f>
        <v/>
      </c>
      <c r="K1502" s="15"/>
      <c r="L1502" s="97" t="str">
        <f aca="false">IF(C1502="","",IF(OR(C1502="Material",C1502="Equipo",C1502="Suministro"),"Materiales y equipos",IF(C1502="Mano de obra contratista","Mano de obra contratista",IF(C1502="Transporte","Transporte y otros","Alquileres"))))</f>
        <v/>
      </c>
      <c r="M1502" s="6"/>
    </row>
    <row r="1503" customFormat="false" ht="16.5" hidden="false" customHeight="true" outlineLevel="0" collapsed="false">
      <c r="A1503" s="95" t="str">
        <f aca="false">IF(AND(B1503="",C1503=""),"",ROW()-6)</f>
        <v/>
      </c>
      <c r="B1503" s="83"/>
      <c r="C1503" s="15"/>
      <c r="D1503" s="15"/>
      <c r="E1503" s="85"/>
      <c r="F1503" s="15"/>
      <c r="G1503" s="15"/>
      <c r="H1503" s="96"/>
      <c r="I1503" s="16"/>
      <c r="J1503" s="37" t="str">
        <f aca="false">IF(I1503="","",IF(H1503="",1,H1503)*I1503)</f>
        <v/>
      </c>
      <c r="K1503" s="15"/>
      <c r="L1503" s="97" t="str">
        <f aca="false">IF(C1503="","",IF(OR(C1503="Material",C1503="Equipo",C1503="Suministro"),"Materiales y equipos",IF(C1503="Mano de obra contratista","Mano de obra contratista",IF(C1503="Transporte","Transporte y otros","Alquileres"))))</f>
        <v/>
      </c>
      <c r="M1503" s="6"/>
    </row>
    <row r="1504" customFormat="false" ht="16.5" hidden="false" customHeight="true" outlineLevel="0" collapsed="false">
      <c r="A1504" s="95" t="str">
        <f aca="false">IF(AND(B1504="",C1504=""),"",ROW()-6)</f>
        <v/>
      </c>
      <c r="B1504" s="83"/>
      <c r="C1504" s="15"/>
      <c r="D1504" s="15"/>
      <c r="E1504" s="85"/>
      <c r="F1504" s="15"/>
      <c r="G1504" s="15"/>
      <c r="H1504" s="96"/>
      <c r="I1504" s="16"/>
      <c r="J1504" s="37" t="str">
        <f aca="false">IF(I1504="","",IF(H1504="",1,H1504)*I1504)</f>
        <v/>
      </c>
      <c r="K1504" s="15"/>
      <c r="L1504" s="97" t="str">
        <f aca="false">IF(C1504="","",IF(OR(C1504="Material",C1504="Equipo",C1504="Suministro"),"Materiales y equipos",IF(C1504="Mano de obra contratista","Mano de obra contratista",IF(C1504="Transporte","Transporte y otros","Alquileres"))))</f>
        <v/>
      </c>
      <c r="M1504" s="6"/>
    </row>
    <row r="1505" customFormat="false" ht="16.5" hidden="false" customHeight="true" outlineLevel="0" collapsed="false">
      <c r="A1505" s="95" t="str">
        <f aca="false">IF(AND(B1505="",C1505=""),"",ROW()-6)</f>
        <v/>
      </c>
      <c r="B1505" s="83"/>
      <c r="C1505" s="15"/>
      <c r="D1505" s="15"/>
      <c r="E1505" s="85"/>
      <c r="F1505" s="15"/>
      <c r="G1505" s="15"/>
      <c r="H1505" s="96"/>
      <c r="I1505" s="16"/>
      <c r="J1505" s="37" t="str">
        <f aca="false">IF(I1505="","",IF(H1505="",1,H1505)*I1505)</f>
        <v/>
      </c>
      <c r="K1505" s="15"/>
      <c r="L1505" s="97" t="str">
        <f aca="false">IF(C1505="","",IF(OR(C1505="Material",C1505="Equipo",C1505="Suministro"),"Materiales y equipos",IF(C1505="Mano de obra contratista","Mano de obra contratista",IF(C1505="Transporte","Transporte y otros","Alquileres"))))</f>
        <v/>
      </c>
      <c r="M1505" s="6"/>
    </row>
    <row r="1506" customFormat="false" ht="16.5" hidden="false" customHeight="true" outlineLevel="0" collapsed="false">
      <c r="A1506" s="95" t="str">
        <f aca="false">IF(AND(B1506="",C1506=""),"",ROW()-6)</f>
        <v/>
      </c>
      <c r="B1506" s="83"/>
      <c r="C1506" s="15"/>
      <c r="D1506" s="15"/>
      <c r="E1506" s="85"/>
      <c r="F1506" s="15"/>
      <c r="G1506" s="15"/>
      <c r="H1506" s="96"/>
      <c r="I1506" s="16"/>
      <c r="J1506" s="37" t="str">
        <f aca="false">IF(I1506="","",IF(H1506="",1,H1506)*I1506)</f>
        <v/>
      </c>
      <c r="K1506" s="15"/>
      <c r="L1506" s="97" t="str">
        <f aca="false">IF(C1506="","",IF(OR(C1506="Material",C1506="Equipo",C1506="Suministro"),"Materiales y equipos",IF(C1506="Mano de obra contratista","Mano de obra contratista",IF(C1506="Transporte","Transporte y otros","Alquileres"))))</f>
        <v/>
      </c>
      <c r="M1506" s="6"/>
    </row>
    <row r="1507" customFormat="false" ht="12" hidden="false" customHeight="true" outlineLevel="0" collapsed="false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</row>
  </sheetData>
  <autoFilter ref="A6:K1506"/>
  <mergeCells count="7">
    <mergeCell ref="D1:E1"/>
    <mergeCell ref="F1:M1"/>
    <mergeCell ref="A2:B2"/>
    <mergeCell ref="F2:G2"/>
    <mergeCell ref="H2:I2"/>
    <mergeCell ref="L2:M2"/>
    <mergeCell ref="A4:I4"/>
  </mergeCells>
  <dataValidations count="2">
    <dataValidation allowBlank="true" error="Seleccione un valor de la lista" errorStyle="stop" operator="between" showDropDown="false" showErrorMessage="true" showInputMessage="false" sqref="C7:C2507" type="list">
      <formula1>lst_TipoGasto</formula1>
      <formula2>0</formula2>
    </dataValidation>
    <dataValidation allowBlank="true" error="Seleccione un valor de la lista" errorStyle="stop" operator="between" showDropDown="false" showErrorMessage="true" showInputMessage="false" sqref="F7:F2507" type="list">
      <formula1>lst_Items</formula1>
      <formula2>0</formula2>
    </dataValidation>
  </dataValidations>
  <hyperlinks>
    <hyperlink ref="A2" r:id="rId1" location="'INICIO'!A1" display="INICIO"/>
    <hyperlink ref="C2" r:id="rId2" location="'TABLERO'!A1" display="TABLERO"/>
    <hyperlink ref="D2" r:id="rId3" location="'CRONOGRAMA'!A1" display="CRONOGRAMA"/>
    <hyperlink ref="E2" r:id="rId4" location="'PRESUPUESTO'!A1" display="PRESUPUESTO"/>
    <hyperlink ref="F2" r:id="rId5" location="'CORTES%20CLIENTE'!A1" display="CORTES CLIENTE"/>
    <hyperlink ref="H2" r:id="rId6" location="'MANO%20DE%20OBRA'!A1" display="MANO DE OBRA"/>
    <hyperlink ref="J2" r:id="rId7" location="'GASTOS'!A1" display="● GASTOS"/>
    <hyperlink ref="K2" r:id="rId8" location="'CONTROL%20DE%20MATERIALES'!A1" display="MATERIALES"/>
    <hyperlink ref="L2" r:id="rId9" location="'GUÍA%20APP'!A1" display="GUÍ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5C7A"/>
    <pageSetUpPr fitToPage="true"/>
  </sheetPr>
  <dimension ref="A1:V21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13.00390625" defaultRowHeight="15" zeroHeight="tru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1" min="10" style="0" width="14"/>
    <col collapsed="false" customWidth="true" hidden="false" outlineLevel="0" max="12" min="12" style="0" width="7"/>
    <col collapsed="false" customWidth="true" hidden="false" outlineLevel="0" max="14" min="13" style="0" width="12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false" hidden="true" outlineLevel="1" max="16384" min="21" style="0" width="13"/>
  </cols>
  <sheetData>
    <row r="1" customFormat="false" ht="54" hidden="false" customHeight="true" outlineLevel="0" collapsed="false">
      <c r="A1" s="1"/>
      <c r="B1" s="1"/>
      <c r="C1" s="2" t="s">
        <v>82</v>
      </c>
      <c r="D1" s="2"/>
      <c r="E1" s="2"/>
      <c r="F1" s="2"/>
      <c r="G1" s="2"/>
      <c r="H1" s="3" t="s">
        <v>296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24" hidden="false" customHeight="true" outlineLevel="0" collapsed="false">
      <c r="A2" s="5" t="s">
        <v>88</v>
      </c>
      <c r="B2" s="5"/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 t="s">
        <v>7</v>
      </c>
      <c r="L2" s="5" t="s">
        <v>8</v>
      </c>
      <c r="M2" s="5"/>
      <c r="N2" s="4" t="s">
        <v>297</v>
      </c>
      <c r="O2" s="4"/>
      <c r="P2" s="5" t="s">
        <v>10</v>
      </c>
      <c r="Q2" s="5"/>
      <c r="R2" s="29"/>
      <c r="S2" s="29"/>
      <c r="T2" s="29"/>
    </row>
    <row r="3" customFormat="false" ht="16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customFormat="false" ht="16.5" hidden="false" customHeight="true" outlineLevel="0" collapsed="false">
      <c r="A4" s="98" t="s">
        <v>298</v>
      </c>
      <c r="B4" s="98"/>
      <c r="C4" s="98" t="s">
        <v>299</v>
      </c>
      <c r="D4" s="98"/>
      <c r="E4" s="98"/>
      <c r="F4" s="98" t="s">
        <v>300</v>
      </c>
      <c r="G4" s="98"/>
      <c r="H4" s="98"/>
      <c r="I4" s="98" t="s">
        <v>301</v>
      </c>
      <c r="J4" s="98"/>
      <c r="K4" s="98"/>
      <c r="L4" s="98" t="s">
        <v>302</v>
      </c>
      <c r="M4" s="98"/>
      <c r="N4" s="98"/>
      <c r="O4" s="98" t="s">
        <v>303</v>
      </c>
      <c r="P4" s="98"/>
      <c r="Q4" s="98"/>
      <c r="R4" s="6"/>
      <c r="S4" s="6"/>
      <c r="T4" s="6"/>
    </row>
    <row r="5" customFormat="false" ht="27.75" hidden="false" customHeight="true" outlineLevel="0" collapsed="false">
      <c r="A5" s="99" t="n">
        <f aca="false">SUM(R11:R210)</f>
        <v>0</v>
      </c>
      <c r="B5" s="99"/>
      <c r="C5" s="99" t="n">
        <f aca="false">SUMIFS(GASTOS!$J$7:$J$5000,GASTOS!$L$7:$L$5000,"Materiales y equipos")</f>
        <v>0</v>
      </c>
      <c r="D5" s="99"/>
      <c r="E5" s="99"/>
      <c r="F5" s="100" t="n">
        <f aca="false">COUNTIF(S11:S210,"Comprado")</f>
        <v>0</v>
      </c>
      <c r="G5" s="100"/>
      <c r="H5" s="100"/>
      <c r="I5" s="100" t="n">
        <f aca="false">COUNTIF(S11:S210,"Parcial")</f>
        <v>0</v>
      </c>
      <c r="J5" s="100"/>
      <c r="K5" s="100"/>
      <c r="L5" s="100" t="n">
        <f aca="false">COUNTIF(S11:S210,"Sin comprar")</f>
        <v>0</v>
      </c>
      <c r="M5" s="100"/>
      <c r="N5" s="100"/>
      <c r="O5" s="100" t="n">
        <f aca="false">COUNTIF(T11:T210,"Precio*")</f>
        <v>0</v>
      </c>
      <c r="P5" s="100"/>
      <c r="Q5" s="100"/>
      <c r="R5" s="6"/>
      <c r="S5" s="6"/>
      <c r="T5" s="6"/>
    </row>
    <row r="6" customFormat="false" ht="16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customFormat="false" ht="24" hidden="false" customHeight="true" outlineLevel="0" collapsed="false">
      <c r="A7" s="101" t="s">
        <v>304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</row>
    <row r="8" customFormat="false" ht="16.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customFormat="false" ht="33.75" hidden="false" customHeight="true" outlineLevel="0" collapsed="false">
      <c r="A9" s="35" t="s">
        <v>206</v>
      </c>
      <c r="B9" s="35" t="s">
        <v>207</v>
      </c>
      <c r="C9" s="35" t="s">
        <v>208</v>
      </c>
      <c r="D9" s="35" t="s">
        <v>305</v>
      </c>
      <c r="E9" s="77" t="s">
        <v>306</v>
      </c>
      <c r="F9" s="35" t="s">
        <v>307</v>
      </c>
      <c r="G9" s="35" t="s">
        <v>308</v>
      </c>
      <c r="H9" s="35" t="s">
        <v>309</v>
      </c>
      <c r="I9" s="35" t="s">
        <v>310</v>
      </c>
      <c r="J9" s="35" t="s">
        <v>311</v>
      </c>
      <c r="K9" s="35" t="s">
        <v>312</v>
      </c>
      <c r="L9" s="35" t="s">
        <v>313</v>
      </c>
      <c r="M9" s="35" t="s">
        <v>314</v>
      </c>
      <c r="N9" s="35" t="s">
        <v>315</v>
      </c>
      <c r="O9" s="35" t="s">
        <v>316</v>
      </c>
      <c r="P9" s="35" t="s">
        <v>317</v>
      </c>
      <c r="Q9" s="35" t="s">
        <v>318</v>
      </c>
      <c r="R9" s="35" t="s">
        <v>319</v>
      </c>
      <c r="S9" s="35" t="s">
        <v>103</v>
      </c>
      <c r="T9" s="35" t="s">
        <v>320</v>
      </c>
    </row>
    <row r="10" customFormat="false" ht="16.5" hidden="false" customHeight="true" outlineLevel="0" collapsed="false">
      <c r="A10" s="102" t="s">
        <v>321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3" t="n">
        <f aca="false">SUMIFS(GASTOS!$J$7:$J$5000,GASTOS!$L$7:$L$5000,"Materiales y equipos")-SUM(K11:K210)</f>
        <v>0</v>
      </c>
      <c r="L10" s="104"/>
      <c r="M10" s="104"/>
      <c r="N10" s="104"/>
      <c r="O10" s="104"/>
      <c r="P10" s="104"/>
      <c r="Q10" s="104"/>
      <c r="R10" s="104"/>
      <c r="S10" s="104"/>
      <c r="T10" s="104"/>
    </row>
    <row r="11" customFormat="false" ht="16.5" hidden="false" customHeight="true" outlineLevel="0" collapsed="false">
      <c r="A11" s="23" t="str">
        <f aca="false">IF(PRESUPUESTO!$A7="Ítem",PRESUPUESTO!B7,"")</f>
        <v/>
      </c>
      <c r="B11" s="23" t="str">
        <f aca="false">IF(PRESUPUESTO!C7="","",PRESUPUESTO!C7)</f>
        <v/>
      </c>
      <c r="C11" s="86" t="str">
        <f aca="false">IF(PRESUPUESTO!$A7="Ítem",PRESUPUESTO!D7,"")</f>
        <v/>
      </c>
      <c r="D11" s="87" t="str">
        <f aca="false">IF(PRESUPUESTO!$A7&lt;&gt;"Ítem","",MAX(N(PRESUPUESTO!E7),N('CORTES CLIENTE'!L20)))</f>
        <v/>
      </c>
      <c r="E11" s="80"/>
      <c r="F11" s="87" t="str">
        <f aca="false">IF(D11="","",SUMIFS(GASTOS!$H$7:$H$5000,GASTOS!$F$7:$F$5000,$A11,GASTOS!$L$7:$L$5000,"Materiales y equipos"))</f>
        <v/>
      </c>
      <c r="G11" s="88" t="str">
        <f aca="false">IF(D11="","",N(E11)+F11)</f>
        <v/>
      </c>
      <c r="H11" s="88" t="str">
        <f aca="false">IF(OR(D11="",S11="Servicio"),"",MAX(0,D11-G11))</f>
        <v/>
      </c>
      <c r="I11" s="36" t="str">
        <f aca="false">IF(OR(D11="",S11="Servicio",N(D11)=0),"",MIN(1,G11/D11))</f>
        <v/>
      </c>
      <c r="J11" s="10" t="str">
        <f aca="false">IF(D11="","",PRESUPUESTO!O7)</f>
        <v/>
      </c>
      <c r="K11" s="10" t="str">
        <f aca="false">IF(D11="","",SUMIFS(GASTOS!$J$7:$J$5000,GASTOS!$F$7:$F$5000,$A11,GASTOS!$L$7:$L$5000,"Materiales y equipos"))</f>
        <v/>
      </c>
      <c r="L11" s="105" t="str">
        <f aca="false">IF(D11="","",COUNTIFS(GASTOS!$F$7:$F$5000,$A11,GASTOS!$L$7:$L$5000,"Materiales y equipos"))</f>
        <v/>
      </c>
      <c r="M11" s="10" t="str">
        <f aca="false">IF(OR(D11="",N(F11)=0),"",K11/F11)</f>
        <v/>
      </c>
      <c r="N11" s="10" t="str">
        <f aca="false">IF(OR(D11="",N(L11)=0),"",IFERROR(LOOKUP(2,1/((GASTOS!$F$7:$F$5000=$A11)*(GASTOS!$L$7:$L$5000="Materiales y equipos")*(GASTOS!$I$7:$I$5000&lt;&gt;"")),GASTOS!$I$7:$I$5000),""))</f>
        <v/>
      </c>
      <c r="O11" s="23" t="str">
        <f aca="false">IF(OR(D11="",N(L11)=0),"",IFERROR(LOOKUP(2,1/((GASTOS!$F$7:$F$5000=$A11)*(GASTOS!$L$7:$L$5000="Materiales y equipos")*(GASTOS!$I$7:$I$5000&lt;&gt;"")),GASTOS!$D$7:$D$5000),""))</f>
        <v/>
      </c>
      <c r="P11" s="10" t="str">
        <f aca="false">IF(D11="","",N(PRESUPUESTO!I7))</f>
        <v/>
      </c>
      <c r="Q11" s="36" t="str">
        <f aca="false">IF(OR(D11="",N11="",N(P11)=0),"",N11/P11-1)</f>
        <v/>
      </c>
      <c r="R11" s="10" t="str">
        <f aca="false">IF(OR(D11="",S11="Servicio"),"",H11*IF(N11&lt;&gt;"",N11,P11))</f>
        <v/>
      </c>
      <c r="S11" s="39" t="str">
        <f aca="false">IF(D11="","",IF(N(PRESUPUESTO!H7)=0,"Servicio",IF(G11=0,"Sin comprar",IF(G11&gt;=D11,"Comprado","Parcial"))))</f>
        <v/>
      </c>
      <c r="T11" s="86" t="str">
        <f aca="false">IF(AND(ISNUMBER(Q11),N(Q11)&gt;0.1),"Precio +"&amp;TEXT(Q11,"0%"),"")</f>
        <v/>
      </c>
      <c r="U11" s="0" t="str">
        <f aca="false">IF(OR(D11="",S11="Servicio"),"",MIN(G11,D11)*P11)</f>
        <v/>
      </c>
      <c r="V11" s="0" t="str">
        <f aca="false">IF(OR(D11="",S11="Servicio"),"",D11*P11)</f>
        <v/>
      </c>
    </row>
    <row r="12" customFormat="false" ht="16.5" hidden="false" customHeight="true" outlineLevel="0" collapsed="false">
      <c r="A12" s="23" t="str">
        <f aca="false">IF(PRESUPUESTO!$A8="Ítem",PRESUPUESTO!B8,"")</f>
        <v/>
      </c>
      <c r="B12" s="23" t="str">
        <f aca="false">IF(PRESUPUESTO!C8="","",PRESUPUESTO!C8)</f>
        <v/>
      </c>
      <c r="C12" s="86" t="str">
        <f aca="false">IF(PRESUPUESTO!$A8="Ítem",PRESUPUESTO!D8,"")</f>
        <v/>
      </c>
      <c r="D12" s="87" t="str">
        <f aca="false">IF(PRESUPUESTO!$A8&lt;&gt;"Ítem","",MAX(N(PRESUPUESTO!E8),N('CORTES CLIENTE'!L21)))</f>
        <v/>
      </c>
      <c r="E12" s="80"/>
      <c r="F12" s="87" t="str">
        <f aca="false">IF(D12="","",SUMIFS(GASTOS!$H$7:$H$5000,GASTOS!$F$7:$F$5000,$A12,GASTOS!$L$7:$L$5000,"Materiales y equipos"))</f>
        <v/>
      </c>
      <c r="G12" s="88" t="str">
        <f aca="false">IF(D12="","",N(E12)+F12)</f>
        <v/>
      </c>
      <c r="H12" s="88" t="str">
        <f aca="false">IF(OR(D12="",S12="Servicio"),"",MAX(0,D12-G12))</f>
        <v/>
      </c>
      <c r="I12" s="36" t="str">
        <f aca="false">IF(OR(D12="",S12="Servicio",N(D12)=0),"",MIN(1,G12/D12))</f>
        <v/>
      </c>
      <c r="J12" s="10" t="str">
        <f aca="false">IF(D12="","",PRESUPUESTO!O8)</f>
        <v/>
      </c>
      <c r="K12" s="10" t="str">
        <f aca="false">IF(D12="","",SUMIFS(GASTOS!$J$7:$J$5000,GASTOS!$F$7:$F$5000,$A12,GASTOS!$L$7:$L$5000,"Materiales y equipos"))</f>
        <v/>
      </c>
      <c r="L12" s="105" t="str">
        <f aca="false">IF(D12="","",COUNTIFS(GASTOS!$F$7:$F$5000,$A12,GASTOS!$L$7:$L$5000,"Materiales y equipos"))</f>
        <v/>
      </c>
      <c r="M12" s="10" t="str">
        <f aca="false">IF(OR(D12="",N(F12)=0),"",K12/F12)</f>
        <v/>
      </c>
      <c r="N12" s="10" t="str">
        <f aca="false">IF(OR(D12="",N(L12)=0),"",IFERROR(LOOKUP(2,1/((GASTOS!$F$7:$F$5000=$A12)*(GASTOS!$L$7:$L$5000="Materiales y equipos")*(GASTOS!$I$7:$I$5000&lt;&gt;"")),GASTOS!$I$7:$I$5000),""))</f>
        <v/>
      </c>
      <c r="O12" s="23" t="str">
        <f aca="false">IF(OR(D12="",N(L12)=0),"",IFERROR(LOOKUP(2,1/((GASTOS!$F$7:$F$5000=$A12)*(GASTOS!$L$7:$L$5000="Materiales y equipos")*(GASTOS!$I$7:$I$5000&lt;&gt;"")),GASTOS!$D$7:$D$5000),""))</f>
        <v/>
      </c>
      <c r="P12" s="10" t="str">
        <f aca="false">IF(D12="","",N(PRESUPUESTO!I8))</f>
        <v/>
      </c>
      <c r="Q12" s="36" t="str">
        <f aca="false">IF(OR(D12="",N12="",N(P12)=0),"",N12/P12-1)</f>
        <v/>
      </c>
      <c r="R12" s="10" t="str">
        <f aca="false">IF(OR(D12="",S12="Servicio"),"",H12*IF(N12&lt;&gt;"",N12,P12))</f>
        <v/>
      </c>
      <c r="S12" s="39" t="str">
        <f aca="false">IF(D12="","",IF(N(PRESUPUESTO!H8)=0,"Servicio",IF(G12=0,"Sin comprar",IF(G12&gt;=D12,"Comprado","Parcial"))))</f>
        <v/>
      </c>
      <c r="T12" s="86" t="str">
        <f aca="false">IF(AND(ISNUMBER(Q12),N(Q12)&gt;0.1),"Precio +"&amp;TEXT(Q12,"0%"),"")</f>
        <v/>
      </c>
      <c r="U12" s="0" t="str">
        <f aca="false">IF(OR(D12="",S12="Servicio"),"",MIN(G12,D12)*P12)</f>
        <v/>
      </c>
      <c r="V12" s="0" t="str">
        <f aca="false">IF(OR(D12="",S12="Servicio"),"",D12*P12)</f>
        <v/>
      </c>
    </row>
    <row r="13" customFormat="false" ht="16.5" hidden="false" customHeight="true" outlineLevel="0" collapsed="false">
      <c r="A13" s="23" t="str">
        <f aca="false">IF(PRESUPUESTO!$A9="Ítem",PRESUPUESTO!B9,"")</f>
        <v/>
      </c>
      <c r="B13" s="23" t="str">
        <f aca="false">IF(PRESUPUESTO!C9="","",PRESUPUESTO!C9)</f>
        <v/>
      </c>
      <c r="C13" s="86" t="str">
        <f aca="false">IF(PRESUPUESTO!$A9="Ítem",PRESUPUESTO!D9,"")</f>
        <v/>
      </c>
      <c r="D13" s="87" t="str">
        <f aca="false">IF(PRESUPUESTO!$A9&lt;&gt;"Ítem","",MAX(N(PRESUPUESTO!E9),N('CORTES CLIENTE'!L22)))</f>
        <v/>
      </c>
      <c r="E13" s="80"/>
      <c r="F13" s="87" t="str">
        <f aca="false">IF(D13="","",SUMIFS(GASTOS!$H$7:$H$5000,GASTOS!$F$7:$F$5000,$A13,GASTOS!$L$7:$L$5000,"Materiales y equipos"))</f>
        <v/>
      </c>
      <c r="G13" s="88" t="str">
        <f aca="false">IF(D13="","",N(E13)+F13)</f>
        <v/>
      </c>
      <c r="H13" s="88" t="str">
        <f aca="false">IF(OR(D13="",S13="Servicio"),"",MAX(0,D13-G13))</f>
        <v/>
      </c>
      <c r="I13" s="36" t="str">
        <f aca="false">IF(OR(D13="",S13="Servicio",N(D13)=0),"",MIN(1,G13/D13))</f>
        <v/>
      </c>
      <c r="J13" s="10" t="str">
        <f aca="false">IF(D13="","",PRESUPUESTO!O9)</f>
        <v/>
      </c>
      <c r="K13" s="10" t="str">
        <f aca="false">IF(D13="","",SUMIFS(GASTOS!$J$7:$J$5000,GASTOS!$F$7:$F$5000,$A13,GASTOS!$L$7:$L$5000,"Materiales y equipos"))</f>
        <v/>
      </c>
      <c r="L13" s="105" t="str">
        <f aca="false">IF(D13="","",COUNTIFS(GASTOS!$F$7:$F$5000,$A13,GASTOS!$L$7:$L$5000,"Materiales y equipos"))</f>
        <v/>
      </c>
      <c r="M13" s="10" t="str">
        <f aca="false">IF(OR(D13="",N(F13)=0),"",K13/F13)</f>
        <v/>
      </c>
      <c r="N13" s="10" t="str">
        <f aca="false">IF(OR(D13="",N(L13)=0),"",IFERROR(LOOKUP(2,1/((GASTOS!$F$7:$F$5000=$A13)*(GASTOS!$L$7:$L$5000="Materiales y equipos")*(GASTOS!$I$7:$I$5000&lt;&gt;"")),GASTOS!$I$7:$I$5000),""))</f>
        <v/>
      </c>
      <c r="O13" s="23" t="str">
        <f aca="false">IF(OR(D13="",N(L13)=0),"",IFERROR(LOOKUP(2,1/((GASTOS!$F$7:$F$5000=$A13)*(GASTOS!$L$7:$L$5000="Materiales y equipos")*(GASTOS!$I$7:$I$5000&lt;&gt;"")),GASTOS!$D$7:$D$5000),""))</f>
        <v/>
      </c>
      <c r="P13" s="10" t="str">
        <f aca="false">IF(D13="","",N(PRESUPUESTO!I9))</f>
        <v/>
      </c>
      <c r="Q13" s="36" t="str">
        <f aca="false">IF(OR(D13="",N13="",N(P13)=0),"",N13/P13-1)</f>
        <v/>
      </c>
      <c r="R13" s="10" t="str">
        <f aca="false">IF(OR(D13="",S13="Servicio"),"",H13*IF(N13&lt;&gt;"",N13,P13))</f>
        <v/>
      </c>
      <c r="S13" s="39" t="str">
        <f aca="false">IF(D13="","",IF(N(PRESUPUESTO!H9)=0,"Servicio",IF(G13=0,"Sin comprar",IF(G13&gt;=D13,"Comprado","Parcial"))))</f>
        <v/>
      </c>
      <c r="T13" s="86" t="str">
        <f aca="false">IF(AND(ISNUMBER(Q13),N(Q13)&gt;0.1),"Precio +"&amp;TEXT(Q13,"0%"),"")</f>
        <v/>
      </c>
      <c r="U13" s="0" t="str">
        <f aca="false">IF(OR(D13="",S13="Servicio"),"",MIN(G13,D13)*P13)</f>
        <v/>
      </c>
      <c r="V13" s="0" t="str">
        <f aca="false">IF(OR(D13="",S13="Servicio"),"",D13*P13)</f>
        <v/>
      </c>
    </row>
    <row r="14" customFormat="false" ht="16.5" hidden="false" customHeight="true" outlineLevel="0" collapsed="false">
      <c r="A14" s="23" t="str">
        <f aca="false">IF(PRESUPUESTO!$A10="Ítem",PRESUPUESTO!B10,"")</f>
        <v/>
      </c>
      <c r="B14" s="23" t="str">
        <f aca="false">IF(PRESUPUESTO!C10="","",PRESUPUESTO!C10)</f>
        <v/>
      </c>
      <c r="C14" s="86" t="str">
        <f aca="false">IF(PRESUPUESTO!$A10="Ítem",PRESUPUESTO!D10,"")</f>
        <v/>
      </c>
      <c r="D14" s="87" t="str">
        <f aca="false">IF(PRESUPUESTO!$A10&lt;&gt;"Ítem","",MAX(N(PRESUPUESTO!E10),N('CORTES CLIENTE'!L23)))</f>
        <v/>
      </c>
      <c r="E14" s="80"/>
      <c r="F14" s="87" t="str">
        <f aca="false">IF(D14="","",SUMIFS(GASTOS!$H$7:$H$5000,GASTOS!$F$7:$F$5000,$A14,GASTOS!$L$7:$L$5000,"Materiales y equipos"))</f>
        <v/>
      </c>
      <c r="G14" s="88" t="str">
        <f aca="false">IF(D14="","",N(E14)+F14)</f>
        <v/>
      </c>
      <c r="H14" s="88" t="str">
        <f aca="false">IF(OR(D14="",S14="Servicio"),"",MAX(0,D14-G14))</f>
        <v/>
      </c>
      <c r="I14" s="36" t="str">
        <f aca="false">IF(OR(D14="",S14="Servicio",N(D14)=0),"",MIN(1,G14/D14))</f>
        <v/>
      </c>
      <c r="J14" s="10" t="str">
        <f aca="false">IF(D14="","",PRESUPUESTO!O10)</f>
        <v/>
      </c>
      <c r="K14" s="10" t="str">
        <f aca="false">IF(D14="","",SUMIFS(GASTOS!$J$7:$J$5000,GASTOS!$F$7:$F$5000,$A14,GASTOS!$L$7:$L$5000,"Materiales y equipos"))</f>
        <v/>
      </c>
      <c r="L14" s="105" t="str">
        <f aca="false">IF(D14="","",COUNTIFS(GASTOS!$F$7:$F$5000,$A14,GASTOS!$L$7:$L$5000,"Materiales y equipos"))</f>
        <v/>
      </c>
      <c r="M14" s="10" t="str">
        <f aca="false">IF(OR(D14="",N(F14)=0),"",K14/F14)</f>
        <v/>
      </c>
      <c r="N14" s="10" t="str">
        <f aca="false">IF(OR(D14="",N(L14)=0),"",IFERROR(LOOKUP(2,1/((GASTOS!$F$7:$F$5000=$A14)*(GASTOS!$L$7:$L$5000="Materiales y equipos")*(GASTOS!$I$7:$I$5000&lt;&gt;"")),GASTOS!$I$7:$I$5000),""))</f>
        <v/>
      </c>
      <c r="O14" s="23" t="str">
        <f aca="false">IF(OR(D14="",N(L14)=0),"",IFERROR(LOOKUP(2,1/((GASTOS!$F$7:$F$5000=$A14)*(GASTOS!$L$7:$L$5000="Materiales y equipos")*(GASTOS!$I$7:$I$5000&lt;&gt;"")),GASTOS!$D$7:$D$5000),""))</f>
        <v/>
      </c>
      <c r="P14" s="10" t="str">
        <f aca="false">IF(D14="","",N(PRESUPUESTO!I10))</f>
        <v/>
      </c>
      <c r="Q14" s="36" t="str">
        <f aca="false">IF(OR(D14="",N14="",N(P14)=0),"",N14/P14-1)</f>
        <v/>
      </c>
      <c r="R14" s="10" t="str">
        <f aca="false">IF(OR(D14="",S14="Servicio"),"",H14*IF(N14&lt;&gt;"",N14,P14))</f>
        <v/>
      </c>
      <c r="S14" s="39" t="str">
        <f aca="false">IF(D14="","",IF(N(PRESUPUESTO!H10)=0,"Servicio",IF(G14=0,"Sin comprar",IF(G14&gt;=D14,"Comprado","Parcial"))))</f>
        <v/>
      </c>
      <c r="T14" s="86" t="str">
        <f aca="false">IF(AND(ISNUMBER(Q14),N(Q14)&gt;0.1),"Precio +"&amp;TEXT(Q14,"0%"),"")</f>
        <v/>
      </c>
      <c r="U14" s="0" t="str">
        <f aca="false">IF(OR(D14="",S14="Servicio"),"",MIN(G14,D14)*P14)</f>
        <v/>
      </c>
      <c r="V14" s="0" t="str">
        <f aca="false">IF(OR(D14="",S14="Servicio"),"",D14*P14)</f>
        <v/>
      </c>
    </row>
    <row r="15" customFormat="false" ht="16.5" hidden="false" customHeight="true" outlineLevel="0" collapsed="false">
      <c r="A15" s="23" t="str">
        <f aca="false">IF(PRESUPUESTO!$A11="Ítem",PRESUPUESTO!B11,"")</f>
        <v/>
      </c>
      <c r="B15" s="23" t="str">
        <f aca="false">IF(PRESUPUESTO!C11="","",PRESUPUESTO!C11)</f>
        <v/>
      </c>
      <c r="C15" s="86" t="str">
        <f aca="false">IF(PRESUPUESTO!$A11="Ítem",PRESUPUESTO!D11,"")</f>
        <v/>
      </c>
      <c r="D15" s="87" t="str">
        <f aca="false">IF(PRESUPUESTO!$A11&lt;&gt;"Ítem","",MAX(N(PRESUPUESTO!E11),N('CORTES CLIENTE'!L24)))</f>
        <v/>
      </c>
      <c r="E15" s="80"/>
      <c r="F15" s="87" t="str">
        <f aca="false">IF(D15="","",SUMIFS(GASTOS!$H$7:$H$5000,GASTOS!$F$7:$F$5000,$A15,GASTOS!$L$7:$L$5000,"Materiales y equipos"))</f>
        <v/>
      </c>
      <c r="G15" s="88" t="str">
        <f aca="false">IF(D15="","",N(E15)+F15)</f>
        <v/>
      </c>
      <c r="H15" s="88" t="str">
        <f aca="false">IF(OR(D15="",S15="Servicio"),"",MAX(0,D15-G15))</f>
        <v/>
      </c>
      <c r="I15" s="36" t="str">
        <f aca="false">IF(OR(D15="",S15="Servicio",N(D15)=0),"",MIN(1,G15/D15))</f>
        <v/>
      </c>
      <c r="J15" s="10" t="str">
        <f aca="false">IF(D15="","",PRESUPUESTO!O11)</f>
        <v/>
      </c>
      <c r="K15" s="10" t="str">
        <f aca="false">IF(D15="","",SUMIFS(GASTOS!$J$7:$J$5000,GASTOS!$F$7:$F$5000,$A15,GASTOS!$L$7:$L$5000,"Materiales y equipos"))</f>
        <v/>
      </c>
      <c r="L15" s="105" t="str">
        <f aca="false">IF(D15="","",COUNTIFS(GASTOS!$F$7:$F$5000,$A15,GASTOS!$L$7:$L$5000,"Materiales y equipos"))</f>
        <v/>
      </c>
      <c r="M15" s="10" t="str">
        <f aca="false">IF(OR(D15="",N(F15)=0),"",K15/F15)</f>
        <v/>
      </c>
      <c r="N15" s="10" t="str">
        <f aca="false">IF(OR(D15="",N(L15)=0),"",IFERROR(LOOKUP(2,1/((GASTOS!$F$7:$F$5000=$A15)*(GASTOS!$L$7:$L$5000="Materiales y equipos")*(GASTOS!$I$7:$I$5000&lt;&gt;"")),GASTOS!$I$7:$I$5000),""))</f>
        <v/>
      </c>
      <c r="O15" s="23" t="str">
        <f aca="false">IF(OR(D15="",N(L15)=0),"",IFERROR(LOOKUP(2,1/((GASTOS!$F$7:$F$5000=$A15)*(GASTOS!$L$7:$L$5000="Materiales y equipos")*(GASTOS!$I$7:$I$5000&lt;&gt;"")),GASTOS!$D$7:$D$5000),""))</f>
        <v/>
      </c>
      <c r="P15" s="10" t="str">
        <f aca="false">IF(D15="","",N(PRESUPUESTO!I11))</f>
        <v/>
      </c>
      <c r="Q15" s="36" t="str">
        <f aca="false">IF(OR(D15="",N15="",N(P15)=0),"",N15/P15-1)</f>
        <v/>
      </c>
      <c r="R15" s="10" t="str">
        <f aca="false">IF(OR(D15="",S15="Servicio"),"",H15*IF(N15&lt;&gt;"",N15,P15))</f>
        <v/>
      </c>
      <c r="S15" s="39" t="str">
        <f aca="false">IF(D15="","",IF(N(PRESUPUESTO!H11)=0,"Servicio",IF(G15=0,"Sin comprar",IF(G15&gt;=D15,"Comprado","Parcial"))))</f>
        <v/>
      </c>
      <c r="T15" s="86" t="str">
        <f aca="false">IF(AND(ISNUMBER(Q15),N(Q15)&gt;0.1),"Precio +"&amp;TEXT(Q15,"0%"),"")</f>
        <v/>
      </c>
      <c r="U15" s="0" t="str">
        <f aca="false">IF(OR(D15="",S15="Servicio"),"",MIN(G15,D15)*P15)</f>
        <v/>
      </c>
      <c r="V15" s="0" t="str">
        <f aca="false">IF(OR(D15="",S15="Servicio"),"",D15*P15)</f>
        <v/>
      </c>
    </row>
    <row r="16" customFormat="false" ht="16.5" hidden="false" customHeight="true" outlineLevel="0" collapsed="false">
      <c r="A16" s="23" t="str">
        <f aca="false">IF(PRESUPUESTO!$A12="Ítem",PRESUPUESTO!B12,"")</f>
        <v/>
      </c>
      <c r="B16" s="23" t="str">
        <f aca="false">IF(PRESUPUESTO!C12="","",PRESUPUESTO!C12)</f>
        <v/>
      </c>
      <c r="C16" s="86" t="str">
        <f aca="false">IF(PRESUPUESTO!$A12="Ítem",PRESUPUESTO!D12,"")</f>
        <v/>
      </c>
      <c r="D16" s="87" t="str">
        <f aca="false">IF(PRESUPUESTO!$A12&lt;&gt;"Ítem","",MAX(N(PRESUPUESTO!E12),N('CORTES CLIENTE'!L25)))</f>
        <v/>
      </c>
      <c r="E16" s="80"/>
      <c r="F16" s="87" t="str">
        <f aca="false">IF(D16="","",SUMIFS(GASTOS!$H$7:$H$5000,GASTOS!$F$7:$F$5000,$A16,GASTOS!$L$7:$L$5000,"Materiales y equipos"))</f>
        <v/>
      </c>
      <c r="G16" s="88" t="str">
        <f aca="false">IF(D16="","",N(E16)+F16)</f>
        <v/>
      </c>
      <c r="H16" s="88" t="str">
        <f aca="false">IF(OR(D16="",S16="Servicio"),"",MAX(0,D16-G16))</f>
        <v/>
      </c>
      <c r="I16" s="36" t="str">
        <f aca="false">IF(OR(D16="",S16="Servicio",N(D16)=0),"",MIN(1,G16/D16))</f>
        <v/>
      </c>
      <c r="J16" s="10" t="str">
        <f aca="false">IF(D16="","",PRESUPUESTO!O12)</f>
        <v/>
      </c>
      <c r="K16" s="10" t="str">
        <f aca="false">IF(D16="","",SUMIFS(GASTOS!$J$7:$J$5000,GASTOS!$F$7:$F$5000,$A16,GASTOS!$L$7:$L$5000,"Materiales y equipos"))</f>
        <v/>
      </c>
      <c r="L16" s="105" t="str">
        <f aca="false">IF(D16="","",COUNTIFS(GASTOS!$F$7:$F$5000,$A16,GASTOS!$L$7:$L$5000,"Materiales y equipos"))</f>
        <v/>
      </c>
      <c r="M16" s="10" t="str">
        <f aca="false">IF(OR(D16="",N(F16)=0),"",K16/F16)</f>
        <v/>
      </c>
      <c r="N16" s="10" t="str">
        <f aca="false">IF(OR(D16="",N(L16)=0),"",IFERROR(LOOKUP(2,1/((GASTOS!$F$7:$F$5000=$A16)*(GASTOS!$L$7:$L$5000="Materiales y equipos")*(GASTOS!$I$7:$I$5000&lt;&gt;"")),GASTOS!$I$7:$I$5000),""))</f>
        <v/>
      </c>
      <c r="O16" s="23" t="str">
        <f aca="false">IF(OR(D16="",N(L16)=0),"",IFERROR(LOOKUP(2,1/((GASTOS!$F$7:$F$5000=$A16)*(GASTOS!$L$7:$L$5000="Materiales y equipos")*(GASTOS!$I$7:$I$5000&lt;&gt;"")),GASTOS!$D$7:$D$5000),""))</f>
        <v/>
      </c>
      <c r="P16" s="10" t="str">
        <f aca="false">IF(D16="","",N(PRESUPUESTO!I12))</f>
        <v/>
      </c>
      <c r="Q16" s="36" t="str">
        <f aca="false">IF(OR(D16="",N16="",N(P16)=0),"",N16/P16-1)</f>
        <v/>
      </c>
      <c r="R16" s="10" t="str">
        <f aca="false">IF(OR(D16="",S16="Servicio"),"",H16*IF(N16&lt;&gt;"",N16,P16))</f>
        <v/>
      </c>
      <c r="S16" s="39" t="str">
        <f aca="false">IF(D16="","",IF(N(PRESUPUESTO!H12)=0,"Servicio",IF(G16=0,"Sin comprar",IF(G16&gt;=D16,"Comprado","Parcial"))))</f>
        <v/>
      </c>
      <c r="T16" s="86" t="str">
        <f aca="false">IF(AND(ISNUMBER(Q16),N(Q16)&gt;0.1),"Precio +"&amp;TEXT(Q16,"0%"),"")</f>
        <v/>
      </c>
      <c r="U16" s="0" t="str">
        <f aca="false">IF(OR(D16="",S16="Servicio"),"",MIN(G16,D16)*P16)</f>
        <v/>
      </c>
      <c r="V16" s="0" t="str">
        <f aca="false">IF(OR(D16="",S16="Servicio"),"",D16*P16)</f>
        <v/>
      </c>
    </row>
    <row r="17" customFormat="false" ht="16.5" hidden="false" customHeight="true" outlineLevel="0" collapsed="false">
      <c r="A17" s="23" t="str">
        <f aca="false">IF(PRESUPUESTO!$A13="Ítem",PRESUPUESTO!B13,"")</f>
        <v/>
      </c>
      <c r="B17" s="23" t="str">
        <f aca="false">IF(PRESUPUESTO!C13="","",PRESUPUESTO!C13)</f>
        <v/>
      </c>
      <c r="C17" s="86" t="str">
        <f aca="false">IF(PRESUPUESTO!$A13="Ítem",PRESUPUESTO!D13,"")</f>
        <v/>
      </c>
      <c r="D17" s="87" t="str">
        <f aca="false">IF(PRESUPUESTO!$A13&lt;&gt;"Ítem","",MAX(N(PRESUPUESTO!E13),N('CORTES CLIENTE'!L26)))</f>
        <v/>
      </c>
      <c r="E17" s="80"/>
      <c r="F17" s="87" t="str">
        <f aca="false">IF(D17="","",SUMIFS(GASTOS!$H$7:$H$5000,GASTOS!$F$7:$F$5000,$A17,GASTOS!$L$7:$L$5000,"Materiales y equipos"))</f>
        <v/>
      </c>
      <c r="G17" s="88" t="str">
        <f aca="false">IF(D17="","",N(E17)+F17)</f>
        <v/>
      </c>
      <c r="H17" s="88" t="str">
        <f aca="false">IF(OR(D17="",S17="Servicio"),"",MAX(0,D17-G17))</f>
        <v/>
      </c>
      <c r="I17" s="36" t="str">
        <f aca="false">IF(OR(D17="",S17="Servicio",N(D17)=0),"",MIN(1,G17/D17))</f>
        <v/>
      </c>
      <c r="J17" s="10" t="str">
        <f aca="false">IF(D17="","",PRESUPUESTO!O13)</f>
        <v/>
      </c>
      <c r="K17" s="10" t="str">
        <f aca="false">IF(D17="","",SUMIFS(GASTOS!$J$7:$J$5000,GASTOS!$F$7:$F$5000,$A17,GASTOS!$L$7:$L$5000,"Materiales y equipos"))</f>
        <v/>
      </c>
      <c r="L17" s="105" t="str">
        <f aca="false">IF(D17="","",COUNTIFS(GASTOS!$F$7:$F$5000,$A17,GASTOS!$L$7:$L$5000,"Materiales y equipos"))</f>
        <v/>
      </c>
      <c r="M17" s="10" t="str">
        <f aca="false">IF(OR(D17="",N(F17)=0),"",K17/F17)</f>
        <v/>
      </c>
      <c r="N17" s="10" t="str">
        <f aca="false">IF(OR(D17="",N(L17)=0),"",IFERROR(LOOKUP(2,1/((GASTOS!$F$7:$F$5000=$A17)*(GASTOS!$L$7:$L$5000="Materiales y equipos")*(GASTOS!$I$7:$I$5000&lt;&gt;"")),GASTOS!$I$7:$I$5000),""))</f>
        <v/>
      </c>
      <c r="O17" s="23" t="str">
        <f aca="false">IF(OR(D17="",N(L17)=0),"",IFERROR(LOOKUP(2,1/((GASTOS!$F$7:$F$5000=$A17)*(GASTOS!$L$7:$L$5000="Materiales y equipos")*(GASTOS!$I$7:$I$5000&lt;&gt;"")),GASTOS!$D$7:$D$5000),""))</f>
        <v/>
      </c>
      <c r="P17" s="10" t="str">
        <f aca="false">IF(D17="","",N(PRESUPUESTO!I13))</f>
        <v/>
      </c>
      <c r="Q17" s="36" t="str">
        <f aca="false">IF(OR(D17="",N17="",N(P17)=0),"",N17/P17-1)</f>
        <v/>
      </c>
      <c r="R17" s="10" t="str">
        <f aca="false">IF(OR(D17="",S17="Servicio"),"",H17*IF(N17&lt;&gt;"",N17,P17))</f>
        <v/>
      </c>
      <c r="S17" s="39" t="str">
        <f aca="false">IF(D17="","",IF(N(PRESUPUESTO!H13)=0,"Servicio",IF(G17=0,"Sin comprar",IF(G17&gt;=D17,"Comprado","Parcial"))))</f>
        <v/>
      </c>
      <c r="T17" s="86" t="str">
        <f aca="false">IF(AND(ISNUMBER(Q17),N(Q17)&gt;0.1),"Precio +"&amp;TEXT(Q17,"0%"),"")</f>
        <v/>
      </c>
      <c r="U17" s="0" t="str">
        <f aca="false">IF(OR(D17="",S17="Servicio"),"",MIN(G17,D17)*P17)</f>
        <v/>
      </c>
      <c r="V17" s="0" t="str">
        <f aca="false">IF(OR(D17="",S17="Servicio"),"",D17*P17)</f>
        <v/>
      </c>
    </row>
    <row r="18" customFormat="false" ht="16.5" hidden="false" customHeight="true" outlineLevel="0" collapsed="false">
      <c r="A18" s="23" t="str">
        <f aca="false">IF(PRESUPUESTO!$A14="Ítem",PRESUPUESTO!B14,"")</f>
        <v/>
      </c>
      <c r="B18" s="23" t="str">
        <f aca="false">IF(PRESUPUESTO!C14="","",PRESUPUESTO!C14)</f>
        <v/>
      </c>
      <c r="C18" s="86" t="str">
        <f aca="false">IF(PRESUPUESTO!$A14="Ítem",PRESUPUESTO!D14,"")</f>
        <v/>
      </c>
      <c r="D18" s="87" t="str">
        <f aca="false">IF(PRESUPUESTO!$A14&lt;&gt;"Ítem","",MAX(N(PRESUPUESTO!E14),N('CORTES CLIENTE'!L27)))</f>
        <v/>
      </c>
      <c r="E18" s="80"/>
      <c r="F18" s="87" t="str">
        <f aca="false">IF(D18="","",SUMIFS(GASTOS!$H$7:$H$5000,GASTOS!$F$7:$F$5000,$A18,GASTOS!$L$7:$L$5000,"Materiales y equipos"))</f>
        <v/>
      </c>
      <c r="G18" s="88" t="str">
        <f aca="false">IF(D18="","",N(E18)+F18)</f>
        <v/>
      </c>
      <c r="H18" s="88" t="str">
        <f aca="false">IF(OR(D18="",S18="Servicio"),"",MAX(0,D18-G18))</f>
        <v/>
      </c>
      <c r="I18" s="36" t="str">
        <f aca="false">IF(OR(D18="",S18="Servicio",N(D18)=0),"",MIN(1,G18/D18))</f>
        <v/>
      </c>
      <c r="J18" s="10" t="str">
        <f aca="false">IF(D18="","",PRESUPUESTO!O14)</f>
        <v/>
      </c>
      <c r="K18" s="10" t="str">
        <f aca="false">IF(D18="","",SUMIFS(GASTOS!$J$7:$J$5000,GASTOS!$F$7:$F$5000,$A18,GASTOS!$L$7:$L$5000,"Materiales y equipos"))</f>
        <v/>
      </c>
      <c r="L18" s="105" t="str">
        <f aca="false">IF(D18="","",COUNTIFS(GASTOS!$F$7:$F$5000,$A18,GASTOS!$L$7:$L$5000,"Materiales y equipos"))</f>
        <v/>
      </c>
      <c r="M18" s="10" t="str">
        <f aca="false">IF(OR(D18="",N(F18)=0),"",K18/F18)</f>
        <v/>
      </c>
      <c r="N18" s="10" t="str">
        <f aca="false">IF(OR(D18="",N(L18)=0),"",IFERROR(LOOKUP(2,1/((GASTOS!$F$7:$F$5000=$A18)*(GASTOS!$L$7:$L$5000="Materiales y equipos")*(GASTOS!$I$7:$I$5000&lt;&gt;"")),GASTOS!$I$7:$I$5000),""))</f>
        <v/>
      </c>
      <c r="O18" s="23" t="str">
        <f aca="false">IF(OR(D18="",N(L18)=0),"",IFERROR(LOOKUP(2,1/((GASTOS!$F$7:$F$5000=$A18)*(GASTOS!$L$7:$L$5000="Materiales y equipos")*(GASTOS!$I$7:$I$5000&lt;&gt;"")),GASTOS!$D$7:$D$5000),""))</f>
        <v/>
      </c>
      <c r="P18" s="10" t="str">
        <f aca="false">IF(D18="","",N(PRESUPUESTO!I14))</f>
        <v/>
      </c>
      <c r="Q18" s="36" t="str">
        <f aca="false">IF(OR(D18="",N18="",N(P18)=0),"",N18/P18-1)</f>
        <v/>
      </c>
      <c r="R18" s="10" t="str">
        <f aca="false">IF(OR(D18="",S18="Servicio"),"",H18*IF(N18&lt;&gt;"",N18,P18))</f>
        <v/>
      </c>
      <c r="S18" s="39" t="str">
        <f aca="false">IF(D18="","",IF(N(PRESUPUESTO!H14)=0,"Servicio",IF(G18=0,"Sin comprar",IF(G18&gt;=D18,"Comprado","Parcial"))))</f>
        <v/>
      </c>
      <c r="T18" s="86" t="str">
        <f aca="false">IF(AND(ISNUMBER(Q18),N(Q18)&gt;0.1),"Precio +"&amp;TEXT(Q18,"0%"),"")</f>
        <v/>
      </c>
      <c r="U18" s="0" t="str">
        <f aca="false">IF(OR(D18="",S18="Servicio"),"",MIN(G18,D18)*P18)</f>
        <v/>
      </c>
      <c r="V18" s="0" t="str">
        <f aca="false">IF(OR(D18="",S18="Servicio"),"",D18*P18)</f>
        <v/>
      </c>
    </row>
    <row r="19" customFormat="false" ht="16.5" hidden="false" customHeight="true" outlineLevel="0" collapsed="false">
      <c r="A19" s="23" t="str">
        <f aca="false">IF(PRESUPUESTO!$A15="Ítem",PRESUPUESTO!B15,"")</f>
        <v/>
      </c>
      <c r="B19" s="23" t="str">
        <f aca="false">IF(PRESUPUESTO!C15="","",PRESUPUESTO!C15)</f>
        <v/>
      </c>
      <c r="C19" s="86" t="str">
        <f aca="false">IF(PRESUPUESTO!$A15="Ítem",PRESUPUESTO!D15,"")</f>
        <v/>
      </c>
      <c r="D19" s="87" t="str">
        <f aca="false">IF(PRESUPUESTO!$A15&lt;&gt;"Ítem","",MAX(N(PRESUPUESTO!E15),N('CORTES CLIENTE'!L28)))</f>
        <v/>
      </c>
      <c r="E19" s="80"/>
      <c r="F19" s="87" t="str">
        <f aca="false">IF(D19="","",SUMIFS(GASTOS!$H$7:$H$5000,GASTOS!$F$7:$F$5000,$A19,GASTOS!$L$7:$L$5000,"Materiales y equipos"))</f>
        <v/>
      </c>
      <c r="G19" s="88" t="str">
        <f aca="false">IF(D19="","",N(E19)+F19)</f>
        <v/>
      </c>
      <c r="H19" s="88" t="str">
        <f aca="false">IF(OR(D19="",S19="Servicio"),"",MAX(0,D19-G19))</f>
        <v/>
      </c>
      <c r="I19" s="36" t="str">
        <f aca="false">IF(OR(D19="",S19="Servicio",N(D19)=0),"",MIN(1,G19/D19))</f>
        <v/>
      </c>
      <c r="J19" s="10" t="str">
        <f aca="false">IF(D19="","",PRESUPUESTO!O15)</f>
        <v/>
      </c>
      <c r="K19" s="10" t="str">
        <f aca="false">IF(D19="","",SUMIFS(GASTOS!$J$7:$J$5000,GASTOS!$F$7:$F$5000,$A19,GASTOS!$L$7:$L$5000,"Materiales y equipos"))</f>
        <v/>
      </c>
      <c r="L19" s="105" t="str">
        <f aca="false">IF(D19="","",COUNTIFS(GASTOS!$F$7:$F$5000,$A19,GASTOS!$L$7:$L$5000,"Materiales y equipos"))</f>
        <v/>
      </c>
      <c r="M19" s="10" t="str">
        <f aca="false">IF(OR(D19="",N(F19)=0),"",K19/F19)</f>
        <v/>
      </c>
      <c r="N19" s="10" t="str">
        <f aca="false">IF(OR(D19="",N(L19)=0),"",IFERROR(LOOKUP(2,1/((GASTOS!$F$7:$F$5000=$A19)*(GASTOS!$L$7:$L$5000="Materiales y equipos")*(GASTOS!$I$7:$I$5000&lt;&gt;"")),GASTOS!$I$7:$I$5000),""))</f>
        <v/>
      </c>
      <c r="O19" s="23" t="str">
        <f aca="false">IF(OR(D19="",N(L19)=0),"",IFERROR(LOOKUP(2,1/((GASTOS!$F$7:$F$5000=$A19)*(GASTOS!$L$7:$L$5000="Materiales y equipos")*(GASTOS!$I$7:$I$5000&lt;&gt;"")),GASTOS!$D$7:$D$5000),""))</f>
        <v/>
      </c>
      <c r="P19" s="10" t="str">
        <f aca="false">IF(D19="","",N(PRESUPUESTO!I15))</f>
        <v/>
      </c>
      <c r="Q19" s="36" t="str">
        <f aca="false">IF(OR(D19="",N19="",N(P19)=0),"",N19/P19-1)</f>
        <v/>
      </c>
      <c r="R19" s="10" t="str">
        <f aca="false">IF(OR(D19="",S19="Servicio"),"",H19*IF(N19&lt;&gt;"",N19,P19))</f>
        <v/>
      </c>
      <c r="S19" s="39" t="str">
        <f aca="false">IF(D19="","",IF(N(PRESUPUESTO!H15)=0,"Servicio",IF(G19=0,"Sin comprar",IF(G19&gt;=D19,"Comprado","Parcial"))))</f>
        <v/>
      </c>
      <c r="T19" s="86" t="str">
        <f aca="false">IF(AND(ISNUMBER(Q19),N(Q19)&gt;0.1),"Precio +"&amp;TEXT(Q19,"0%"),"")</f>
        <v/>
      </c>
      <c r="U19" s="0" t="str">
        <f aca="false">IF(OR(D19="",S19="Servicio"),"",MIN(G19,D19)*P19)</f>
        <v/>
      </c>
      <c r="V19" s="0" t="str">
        <f aca="false">IF(OR(D19="",S19="Servicio"),"",D19*P19)</f>
        <v/>
      </c>
    </row>
    <row r="20" customFormat="false" ht="16.5" hidden="false" customHeight="true" outlineLevel="0" collapsed="false">
      <c r="A20" s="23" t="str">
        <f aca="false">IF(PRESUPUESTO!$A16="Ítem",PRESUPUESTO!B16,"")</f>
        <v/>
      </c>
      <c r="B20" s="23" t="str">
        <f aca="false">IF(PRESUPUESTO!C16="","",PRESUPUESTO!C16)</f>
        <v/>
      </c>
      <c r="C20" s="86" t="str">
        <f aca="false">IF(PRESUPUESTO!$A16="Ítem",PRESUPUESTO!D16,"")</f>
        <v/>
      </c>
      <c r="D20" s="87" t="str">
        <f aca="false">IF(PRESUPUESTO!$A16&lt;&gt;"Ítem","",MAX(N(PRESUPUESTO!E16),N('CORTES CLIENTE'!L29)))</f>
        <v/>
      </c>
      <c r="E20" s="80"/>
      <c r="F20" s="87" t="str">
        <f aca="false">IF(D20="","",SUMIFS(GASTOS!$H$7:$H$5000,GASTOS!$F$7:$F$5000,$A20,GASTOS!$L$7:$L$5000,"Materiales y equipos"))</f>
        <v/>
      </c>
      <c r="G20" s="88" t="str">
        <f aca="false">IF(D20="","",N(E20)+F20)</f>
        <v/>
      </c>
      <c r="H20" s="88" t="str">
        <f aca="false">IF(OR(D20="",S20="Servicio"),"",MAX(0,D20-G20))</f>
        <v/>
      </c>
      <c r="I20" s="36" t="str">
        <f aca="false">IF(OR(D20="",S20="Servicio",N(D20)=0),"",MIN(1,G20/D20))</f>
        <v/>
      </c>
      <c r="J20" s="10" t="str">
        <f aca="false">IF(D20="","",PRESUPUESTO!O16)</f>
        <v/>
      </c>
      <c r="K20" s="10" t="str">
        <f aca="false">IF(D20="","",SUMIFS(GASTOS!$J$7:$J$5000,GASTOS!$F$7:$F$5000,$A20,GASTOS!$L$7:$L$5000,"Materiales y equipos"))</f>
        <v/>
      </c>
      <c r="L20" s="105" t="str">
        <f aca="false">IF(D20="","",COUNTIFS(GASTOS!$F$7:$F$5000,$A20,GASTOS!$L$7:$L$5000,"Materiales y equipos"))</f>
        <v/>
      </c>
      <c r="M20" s="10" t="str">
        <f aca="false">IF(OR(D20="",N(F20)=0),"",K20/F20)</f>
        <v/>
      </c>
      <c r="N20" s="10" t="str">
        <f aca="false">IF(OR(D20="",N(L20)=0),"",IFERROR(LOOKUP(2,1/((GASTOS!$F$7:$F$5000=$A20)*(GASTOS!$L$7:$L$5000="Materiales y equipos")*(GASTOS!$I$7:$I$5000&lt;&gt;"")),GASTOS!$I$7:$I$5000),""))</f>
        <v/>
      </c>
      <c r="O20" s="23" t="str">
        <f aca="false">IF(OR(D20="",N(L20)=0),"",IFERROR(LOOKUP(2,1/((GASTOS!$F$7:$F$5000=$A20)*(GASTOS!$L$7:$L$5000="Materiales y equipos")*(GASTOS!$I$7:$I$5000&lt;&gt;"")),GASTOS!$D$7:$D$5000),""))</f>
        <v/>
      </c>
      <c r="P20" s="10" t="str">
        <f aca="false">IF(D20="","",N(PRESUPUESTO!I16))</f>
        <v/>
      </c>
      <c r="Q20" s="36" t="str">
        <f aca="false">IF(OR(D20="",N20="",N(P20)=0),"",N20/P20-1)</f>
        <v/>
      </c>
      <c r="R20" s="10" t="str">
        <f aca="false">IF(OR(D20="",S20="Servicio"),"",H20*IF(N20&lt;&gt;"",N20,P20))</f>
        <v/>
      </c>
      <c r="S20" s="39" t="str">
        <f aca="false">IF(D20="","",IF(N(PRESUPUESTO!H16)=0,"Servicio",IF(G20=0,"Sin comprar",IF(G20&gt;=D20,"Comprado","Parcial"))))</f>
        <v/>
      </c>
      <c r="T20" s="86" t="str">
        <f aca="false">IF(AND(ISNUMBER(Q20),N(Q20)&gt;0.1),"Precio +"&amp;TEXT(Q20,"0%"),"")</f>
        <v/>
      </c>
      <c r="U20" s="0" t="str">
        <f aca="false">IF(OR(D20="",S20="Servicio"),"",MIN(G20,D20)*P20)</f>
        <v/>
      </c>
      <c r="V20" s="0" t="str">
        <f aca="false">IF(OR(D20="",S20="Servicio"),"",D20*P20)</f>
        <v/>
      </c>
    </row>
    <row r="21" customFormat="false" ht="16.5" hidden="false" customHeight="true" outlineLevel="0" collapsed="false">
      <c r="A21" s="23" t="str">
        <f aca="false">IF(PRESUPUESTO!$A17="Ítem",PRESUPUESTO!B17,"")</f>
        <v/>
      </c>
      <c r="B21" s="23" t="str">
        <f aca="false">IF(PRESUPUESTO!C17="","",PRESUPUESTO!C17)</f>
        <v/>
      </c>
      <c r="C21" s="86" t="str">
        <f aca="false">IF(PRESUPUESTO!$A17="Ítem",PRESUPUESTO!D17,"")</f>
        <v/>
      </c>
      <c r="D21" s="87" t="str">
        <f aca="false">IF(PRESUPUESTO!$A17&lt;&gt;"Ítem","",MAX(N(PRESUPUESTO!E17),N('CORTES CLIENTE'!L30)))</f>
        <v/>
      </c>
      <c r="E21" s="80"/>
      <c r="F21" s="87" t="str">
        <f aca="false">IF(D21="","",SUMIFS(GASTOS!$H$7:$H$5000,GASTOS!$F$7:$F$5000,$A21,GASTOS!$L$7:$L$5000,"Materiales y equipos"))</f>
        <v/>
      </c>
      <c r="G21" s="88" t="str">
        <f aca="false">IF(D21="","",N(E21)+F21)</f>
        <v/>
      </c>
      <c r="H21" s="88" t="str">
        <f aca="false">IF(OR(D21="",S21="Servicio"),"",MAX(0,D21-G21))</f>
        <v/>
      </c>
      <c r="I21" s="36" t="str">
        <f aca="false">IF(OR(D21="",S21="Servicio",N(D21)=0),"",MIN(1,G21/D21))</f>
        <v/>
      </c>
      <c r="J21" s="10" t="str">
        <f aca="false">IF(D21="","",PRESUPUESTO!O17)</f>
        <v/>
      </c>
      <c r="K21" s="10" t="str">
        <f aca="false">IF(D21="","",SUMIFS(GASTOS!$J$7:$J$5000,GASTOS!$F$7:$F$5000,$A21,GASTOS!$L$7:$L$5000,"Materiales y equipos"))</f>
        <v/>
      </c>
      <c r="L21" s="105" t="str">
        <f aca="false">IF(D21="","",COUNTIFS(GASTOS!$F$7:$F$5000,$A21,GASTOS!$L$7:$L$5000,"Materiales y equipos"))</f>
        <v/>
      </c>
      <c r="M21" s="10" t="str">
        <f aca="false">IF(OR(D21="",N(F21)=0),"",K21/F21)</f>
        <v/>
      </c>
      <c r="N21" s="10" t="str">
        <f aca="false">IF(OR(D21="",N(L21)=0),"",IFERROR(LOOKUP(2,1/((GASTOS!$F$7:$F$5000=$A21)*(GASTOS!$L$7:$L$5000="Materiales y equipos")*(GASTOS!$I$7:$I$5000&lt;&gt;"")),GASTOS!$I$7:$I$5000),""))</f>
        <v/>
      </c>
      <c r="O21" s="23" t="str">
        <f aca="false">IF(OR(D21="",N(L21)=0),"",IFERROR(LOOKUP(2,1/((GASTOS!$F$7:$F$5000=$A21)*(GASTOS!$L$7:$L$5000="Materiales y equipos")*(GASTOS!$I$7:$I$5000&lt;&gt;"")),GASTOS!$D$7:$D$5000),""))</f>
        <v/>
      </c>
      <c r="P21" s="10" t="str">
        <f aca="false">IF(D21="","",N(PRESUPUESTO!I17))</f>
        <v/>
      </c>
      <c r="Q21" s="36" t="str">
        <f aca="false">IF(OR(D21="",N21="",N(P21)=0),"",N21/P21-1)</f>
        <v/>
      </c>
      <c r="R21" s="10" t="str">
        <f aca="false">IF(OR(D21="",S21="Servicio"),"",H21*IF(N21&lt;&gt;"",N21,P21))</f>
        <v/>
      </c>
      <c r="S21" s="39" t="str">
        <f aca="false">IF(D21="","",IF(N(PRESUPUESTO!H17)=0,"Servicio",IF(G21=0,"Sin comprar",IF(G21&gt;=D21,"Comprado","Parcial"))))</f>
        <v/>
      </c>
      <c r="T21" s="86" t="str">
        <f aca="false">IF(AND(ISNUMBER(Q21),N(Q21)&gt;0.1),"Precio +"&amp;TEXT(Q21,"0%"),"")</f>
        <v/>
      </c>
      <c r="U21" s="0" t="str">
        <f aca="false">IF(OR(D21="",S21="Servicio"),"",MIN(G21,D21)*P21)</f>
        <v/>
      </c>
      <c r="V21" s="0" t="str">
        <f aca="false">IF(OR(D21="",S21="Servicio"),"",D21*P21)</f>
        <v/>
      </c>
    </row>
    <row r="22" customFormat="false" ht="16.5" hidden="false" customHeight="true" outlineLevel="0" collapsed="false">
      <c r="A22" s="23" t="str">
        <f aca="false">IF(PRESUPUESTO!$A18="Ítem",PRESUPUESTO!B18,"")</f>
        <v/>
      </c>
      <c r="B22" s="23" t="str">
        <f aca="false">IF(PRESUPUESTO!C18="","",PRESUPUESTO!C18)</f>
        <v/>
      </c>
      <c r="C22" s="86" t="str">
        <f aca="false">IF(PRESUPUESTO!$A18="Ítem",PRESUPUESTO!D18,"")</f>
        <v/>
      </c>
      <c r="D22" s="87" t="str">
        <f aca="false">IF(PRESUPUESTO!$A18&lt;&gt;"Ítem","",MAX(N(PRESUPUESTO!E18),N('CORTES CLIENTE'!L31)))</f>
        <v/>
      </c>
      <c r="E22" s="80"/>
      <c r="F22" s="87" t="str">
        <f aca="false">IF(D22="","",SUMIFS(GASTOS!$H$7:$H$5000,GASTOS!$F$7:$F$5000,$A22,GASTOS!$L$7:$L$5000,"Materiales y equipos"))</f>
        <v/>
      </c>
      <c r="G22" s="88" t="str">
        <f aca="false">IF(D22="","",N(E22)+F22)</f>
        <v/>
      </c>
      <c r="H22" s="88" t="str">
        <f aca="false">IF(OR(D22="",S22="Servicio"),"",MAX(0,D22-G22))</f>
        <v/>
      </c>
      <c r="I22" s="36" t="str">
        <f aca="false">IF(OR(D22="",S22="Servicio",N(D22)=0),"",MIN(1,G22/D22))</f>
        <v/>
      </c>
      <c r="J22" s="10" t="str">
        <f aca="false">IF(D22="","",PRESUPUESTO!O18)</f>
        <v/>
      </c>
      <c r="K22" s="10" t="str">
        <f aca="false">IF(D22="","",SUMIFS(GASTOS!$J$7:$J$5000,GASTOS!$F$7:$F$5000,$A22,GASTOS!$L$7:$L$5000,"Materiales y equipos"))</f>
        <v/>
      </c>
      <c r="L22" s="105" t="str">
        <f aca="false">IF(D22="","",COUNTIFS(GASTOS!$F$7:$F$5000,$A22,GASTOS!$L$7:$L$5000,"Materiales y equipos"))</f>
        <v/>
      </c>
      <c r="M22" s="10" t="str">
        <f aca="false">IF(OR(D22="",N(F22)=0),"",K22/F22)</f>
        <v/>
      </c>
      <c r="N22" s="10" t="str">
        <f aca="false">IF(OR(D22="",N(L22)=0),"",IFERROR(LOOKUP(2,1/((GASTOS!$F$7:$F$5000=$A22)*(GASTOS!$L$7:$L$5000="Materiales y equipos")*(GASTOS!$I$7:$I$5000&lt;&gt;"")),GASTOS!$I$7:$I$5000),""))</f>
        <v/>
      </c>
      <c r="O22" s="23" t="str">
        <f aca="false">IF(OR(D22="",N(L22)=0),"",IFERROR(LOOKUP(2,1/((GASTOS!$F$7:$F$5000=$A22)*(GASTOS!$L$7:$L$5000="Materiales y equipos")*(GASTOS!$I$7:$I$5000&lt;&gt;"")),GASTOS!$D$7:$D$5000),""))</f>
        <v/>
      </c>
      <c r="P22" s="10" t="str">
        <f aca="false">IF(D22="","",N(PRESUPUESTO!I18))</f>
        <v/>
      </c>
      <c r="Q22" s="36" t="str">
        <f aca="false">IF(OR(D22="",N22="",N(P22)=0),"",N22/P22-1)</f>
        <v/>
      </c>
      <c r="R22" s="10" t="str">
        <f aca="false">IF(OR(D22="",S22="Servicio"),"",H22*IF(N22&lt;&gt;"",N22,P22))</f>
        <v/>
      </c>
      <c r="S22" s="39" t="str">
        <f aca="false">IF(D22="","",IF(N(PRESUPUESTO!H18)=0,"Servicio",IF(G22=0,"Sin comprar",IF(G22&gt;=D22,"Comprado","Parcial"))))</f>
        <v/>
      </c>
      <c r="T22" s="86" t="str">
        <f aca="false">IF(AND(ISNUMBER(Q22),N(Q22)&gt;0.1),"Precio +"&amp;TEXT(Q22,"0%"),"")</f>
        <v/>
      </c>
      <c r="U22" s="0" t="str">
        <f aca="false">IF(OR(D22="",S22="Servicio"),"",MIN(G22,D22)*P22)</f>
        <v/>
      </c>
      <c r="V22" s="0" t="str">
        <f aca="false">IF(OR(D22="",S22="Servicio"),"",D22*P22)</f>
        <v/>
      </c>
    </row>
    <row r="23" customFormat="false" ht="16.5" hidden="false" customHeight="true" outlineLevel="0" collapsed="false">
      <c r="A23" s="23" t="str">
        <f aca="false">IF(PRESUPUESTO!$A19="Ítem",PRESUPUESTO!B19,"")</f>
        <v/>
      </c>
      <c r="B23" s="23" t="str">
        <f aca="false">IF(PRESUPUESTO!C19="","",PRESUPUESTO!C19)</f>
        <v/>
      </c>
      <c r="C23" s="86" t="str">
        <f aca="false">IF(PRESUPUESTO!$A19="Ítem",PRESUPUESTO!D19,"")</f>
        <v/>
      </c>
      <c r="D23" s="87" t="str">
        <f aca="false">IF(PRESUPUESTO!$A19&lt;&gt;"Ítem","",MAX(N(PRESUPUESTO!E19),N('CORTES CLIENTE'!L32)))</f>
        <v/>
      </c>
      <c r="E23" s="80"/>
      <c r="F23" s="87" t="str">
        <f aca="false">IF(D23="","",SUMIFS(GASTOS!$H$7:$H$5000,GASTOS!$F$7:$F$5000,$A23,GASTOS!$L$7:$L$5000,"Materiales y equipos"))</f>
        <v/>
      </c>
      <c r="G23" s="88" t="str">
        <f aca="false">IF(D23="","",N(E23)+F23)</f>
        <v/>
      </c>
      <c r="H23" s="88" t="str">
        <f aca="false">IF(OR(D23="",S23="Servicio"),"",MAX(0,D23-G23))</f>
        <v/>
      </c>
      <c r="I23" s="36" t="str">
        <f aca="false">IF(OR(D23="",S23="Servicio",N(D23)=0),"",MIN(1,G23/D23))</f>
        <v/>
      </c>
      <c r="J23" s="10" t="str">
        <f aca="false">IF(D23="","",PRESUPUESTO!O19)</f>
        <v/>
      </c>
      <c r="K23" s="10" t="str">
        <f aca="false">IF(D23="","",SUMIFS(GASTOS!$J$7:$J$5000,GASTOS!$F$7:$F$5000,$A23,GASTOS!$L$7:$L$5000,"Materiales y equipos"))</f>
        <v/>
      </c>
      <c r="L23" s="105" t="str">
        <f aca="false">IF(D23="","",COUNTIFS(GASTOS!$F$7:$F$5000,$A23,GASTOS!$L$7:$L$5000,"Materiales y equipos"))</f>
        <v/>
      </c>
      <c r="M23" s="10" t="str">
        <f aca="false">IF(OR(D23="",N(F23)=0),"",K23/F23)</f>
        <v/>
      </c>
      <c r="N23" s="10" t="str">
        <f aca="false">IF(OR(D23="",N(L23)=0),"",IFERROR(LOOKUP(2,1/((GASTOS!$F$7:$F$5000=$A23)*(GASTOS!$L$7:$L$5000="Materiales y equipos")*(GASTOS!$I$7:$I$5000&lt;&gt;"")),GASTOS!$I$7:$I$5000),""))</f>
        <v/>
      </c>
      <c r="O23" s="23" t="str">
        <f aca="false">IF(OR(D23="",N(L23)=0),"",IFERROR(LOOKUP(2,1/((GASTOS!$F$7:$F$5000=$A23)*(GASTOS!$L$7:$L$5000="Materiales y equipos")*(GASTOS!$I$7:$I$5000&lt;&gt;"")),GASTOS!$D$7:$D$5000),""))</f>
        <v/>
      </c>
      <c r="P23" s="10" t="str">
        <f aca="false">IF(D23="","",N(PRESUPUESTO!I19))</f>
        <v/>
      </c>
      <c r="Q23" s="36" t="str">
        <f aca="false">IF(OR(D23="",N23="",N(P23)=0),"",N23/P23-1)</f>
        <v/>
      </c>
      <c r="R23" s="10" t="str">
        <f aca="false">IF(OR(D23="",S23="Servicio"),"",H23*IF(N23&lt;&gt;"",N23,P23))</f>
        <v/>
      </c>
      <c r="S23" s="39" t="str">
        <f aca="false">IF(D23="","",IF(N(PRESUPUESTO!H19)=0,"Servicio",IF(G23=0,"Sin comprar",IF(G23&gt;=D23,"Comprado","Parcial"))))</f>
        <v/>
      </c>
      <c r="T23" s="86" t="str">
        <f aca="false">IF(AND(ISNUMBER(Q23),N(Q23)&gt;0.1),"Precio +"&amp;TEXT(Q23,"0%"),"")</f>
        <v/>
      </c>
      <c r="U23" s="0" t="str">
        <f aca="false">IF(OR(D23="",S23="Servicio"),"",MIN(G23,D23)*P23)</f>
        <v/>
      </c>
      <c r="V23" s="0" t="str">
        <f aca="false">IF(OR(D23="",S23="Servicio"),"",D23*P23)</f>
        <v/>
      </c>
    </row>
    <row r="24" customFormat="false" ht="16.5" hidden="false" customHeight="true" outlineLevel="0" collapsed="false">
      <c r="A24" s="23" t="str">
        <f aca="false">IF(PRESUPUESTO!$A20="Ítem",PRESUPUESTO!B20,"")</f>
        <v/>
      </c>
      <c r="B24" s="23" t="str">
        <f aca="false">IF(PRESUPUESTO!C20="","",PRESUPUESTO!C20)</f>
        <v/>
      </c>
      <c r="C24" s="86" t="str">
        <f aca="false">IF(PRESUPUESTO!$A20="Ítem",PRESUPUESTO!D20,"")</f>
        <v/>
      </c>
      <c r="D24" s="87" t="str">
        <f aca="false">IF(PRESUPUESTO!$A20&lt;&gt;"Ítem","",MAX(N(PRESUPUESTO!E20),N('CORTES CLIENTE'!L33)))</f>
        <v/>
      </c>
      <c r="E24" s="80"/>
      <c r="F24" s="87" t="str">
        <f aca="false">IF(D24="","",SUMIFS(GASTOS!$H$7:$H$5000,GASTOS!$F$7:$F$5000,$A24,GASTOS!$L$7:$L$5000,"Materiales y equipos"))</f>
        <v/>
      </c>
      <c r="G24" s="88" t="str">
        <f aca="false">IF(D24="","",N(E24)+F24)</f>
        <v/>
      </c>
      <c r="H24" s="88" t="str">
        <f aca="false">IF(OR(D24="",S24="Servicio"),"",MAX(0,D24-G24))</f>
        <v/>
      </c>
      <c r="I24" s="36" t="str">
        <f aca="false">IF(OR(D24="",S24="Servicio",N(D24)=0),"",MIN(1,G24/D24))</f>
        <v/>
      </c>
      <c r="J24" s="10" t="str">
        <f aca="false">IF(D24="","",PRESUPUESTO!O20)</f>
        <v/>
      </c>
      <c r="K24" s="10" t="str">
        <f aca="false">IF(D24="","",SUMIFS(GASTOS!$J$7:$J$5000,GASTOS!$F$7:$F$5000,$A24,GASTOS!$L$7:$L$5000,"Materiales y equipos"))</f>
        <v/>
      </c>
      <c r="L24" s="105" t="str">
        <f aca="false">IF(D24="","",COUNTIFS(GASTOS!$F$7:$F$5000,$A24,GASTOS!$L$7:$L$5000,"Materiales y equipos"))</f>
        <v/>
      </c>
      <c r="M24" s="10" t="str">
        <f aca="false">IF(OR(D24="",N(F24)=0),"",K24/F24)</f>
        <v/>
      </c>
      <c r="N24" s="10" t="str">
        <f aca="false">IF(OR(D24="",N(L24)=0),"",IFERROR(LOOKUP(2,1/((GASTOS!$F$7:$F$5000=$A24)*(GASTOS!$L$7:$L$5000="Materiales y equipos")*(GASTOS!$I$7:$I$5000&lt;&gt;"")),GASTOS!$I$7:$I$5000),""))</f>
        <v/>
      </c>
      <c r="O24" s="23" t="str">
        <f aca="false">IF(OR(D24="",N(L24)=0),"",IFERROR(LOOKUP(2,1/((GASTOS!$F$7:$F$5000=$A24)*(GASTOS!$L$7:$L$5000="Materiales y equipos")*(GASTOS!$I$7:$I$5000&lt;&gt;"")),GASTOS!$D$7:$D$5000),""))</f>
        <v/>
      </c>
      <c r="P24" s="10" t="str">
        <f aca="false">IF(D24="","",N(PRESUPUESTO!I20))</f>
        <v/>
      </c>
      <c r="Q24" s="36" t="str">
        <f aca="false">IF(OR(D24="",N24="",N(P24)=0),"",N24/P24-1)</f>
        <v/>
      </c>
      <c r="R24" s="10" t="str">
        <f aca="false">IF(OR(D24="",S24="Servicio"),"",H24*IF(N24&lt;&gt;"",N24,P24))</f>
        <v/>
      </c>
      <c r="S24" s="39" t="str">
        <f aca="false">IF(D24="","",IF(N(PRESUPUESTO!H20)=0,"Servicio",IF(G24=0,"Sin comprar",IF(G24&gt;=D24,"Comprado","Parcial"))))</f>
        <v/>
      </c>
      <c r="T24" s="86" t="str">
        <f aca="false">IF(AND(ISNUMBER(Q24),N(Q24)&gt;0.1),"Precio +"&amp;TEXT(Q24,"0%"),"")</f>
        <v/>
      </c>
      <c r="U24" s="0" t="str">
        <f aca="false">IF(OR(D24="",S24="Servicio"),"",MIN(G24,D24)*P24)</f>
        <v/>
      </c>
      <c r="V24" s="0" t="str">
        <f aca="false">IF(OR(D24="",S24="Servicio"),"",D24*P24)</f>
        <v/>
      </c>
    </row>
    <row r="25" customFormat="false" ht="16.5" hidden="false" customHeight="true" outlineLevel="0" collapsed="false">
      <c r="A25" s="23" t="str">
        <f aca="false">IF(PRESUPUESTO!$A21="Ítem",PRESUPUESTO!B21,"")</f>
        <v/>
      </c>
      <c r="B25" s="23" t="str">
        <f aca="false">IF(PRESUPUESTO!C21="","",PRESUPUESTO!C21)</f>
        <v/>
      </c>
      <c r="C25" s="86" t="str">
        <f aca="false">IF(PRESUPUESTO!$A21="Ítem",PRESUPUESTO!D21,"")</f>
        <v/>
      </c>
      <c r="D25" s="87" t="str">
        <f aca="false">IF(PRESUPUESTO!$A21&lt;&gt;"Ítem","",MAX(N(PRESUPUESTO!E21),N('CORTES CLIENTE'!L34)))</f>
        <v/>
      </c>
      <c r="E25" s="80"/>
      <c r="F25" s="87" t="str">
        <f aca="false">IF(D25="","",SUMIFS(GASTOS!$H$7:$H$5000,GASTOS!$F$7:$F$5000,$A25,GASTOS!$L$7:$L$5000,"Materiales y equipos"))</f>
        <v/>
      </c>
      <c r="G25" s="88" t="str">
        <f aca="false">IF(D25="","",N(E25)+F25)</f>
        <v/>
      </c>
      <c r="H25" s="88" t="str">
        <f aca="false">IF(OR(D25="",S25="Servicio"),"",MAX(0,D25-G25))</f>
        <v/>
      </c>
      <c r="I25" s="36" t="str">
        <f aca="false">IF(OR(D25="",S25="Servicio",N(D25)=0),"",MIN(1,G25/D25))</f>
        <v/>
      </c>
      <c r="J25" s="10" t="str">
        <f aca="false">IF(D25="","",PRESUPUESTO!O21)</f>
        <v/>
      </c>
      <c r="K25" s="10" t="str">
        <f aca="false">IF(D25="","",SUMIFS(GASTOS!$J$7:$J$5000,GASTOS!$F$7:$F$5000,$A25,GASTOS!$L$7:$L$5000,"Materiales y equipos"))</f>
        <v/>
      </c>
      <c r="L25" s="105" t="str">
        <f aca="false">IF(D25="","",COUNTIFS(GASTOS!$F$7:$F$5000,$A25,GASTOS!$L$7:$L$5000,"Materiales y equipos"))</f>
        <v/>
      </c>
      <c r="M25" s="10" t="str">
        <f aca="false">IF(OR(D25="",N(F25)=0),"",K25/F25)</f>
        <v/>
      </c>
      <c r="N25" s="10" t="str">
        <f aca="false">IF(OR(D25="",N(L25)=0),"",IFERROR(LOOKUP(2,1/((GASTOS!$F$7:$F$5000=$A25)*(GASTOS!$L$7:$L$5000="Materiales y equipos")*(GASTOS!$I$7:$I$5000&lt;&gt;"")),GASTOS!$I$7:$I$5000),""))</f>
        <v/>
      </c>
      <c r="O25" s="23" t="str">
        <f aca="false">IF(OR(D25="",N(L25)=0),"",IFERROR(LOOKUP(2,1/((GASTOS!$F$7:$F$5000=$A25)*(GASTOS!$L$7:$L$5000="Materiales y equipos")*(GASTOS!$I$7:$I$5000&lt;&gt;"")),GASTOS!$D$7:$D$5000),""))</f>
        <v/>
      </c>
      <c r="P25" s="10" t="str">
        <f aca="false">IF(D25="","",N(PRESUPUESTO!I21))</f>
        <v/>
      </c>
      <c r="Q25" s="36" t="str">
        <f aca="false">IF(OR(D25="",N25="",N(P25)=0),"",N25/P25-1)</f>
        <v/>
      </c>
      <c r="R25" s="10" t="str">
        <f aca="false">IF(OR(D25="",S25="Servicio"),"",H25*IF(N25&lt;&gt;"",N25,P25))</f>
        <v/>
      </c>
      <c r="S25" s="39" t="str">
        <f aca="false">IF(D25="","",IF(N(PRESUPUESTO!H21)=0,"Servicio",IF(G25=0,"Sin comprar",IF(G25&gt;=D25,"Comprado","Parcial"))))</f>
        <v/>
      </c>
      <c r="T25" s="86" t="str">
        <f aca="false">IF(AND(ISNUMBER(Q25),N(Q25)&gt;0.1),"Precio +"&amp;TEXT(Q25,"0%"),"")</f>
        <v/>
      </c>
      <c r="U25" s="0" t="str">
        <f aca="false">IF(OR(D25="",S25="Servicio"),"",MIN(G25,D25)*P25)</f>
        <v/>
      </c>
      <c r="V25" s="0" t="str">
        <f aca="false">IF(OR(D25="",S25="Servicio"),"",D25*P25)</f>
        <v/>
      </c>
    </row>
    <row r="26" customFormat="false" ht="16.5" hidden="false" customHeight="true" outlineLevel="0" collapsed="false">
      <c r="A26" s="23" t="str">
        <f aca="false">IF(PRESUPUESTO!$A22="Ítem",PRESUPUESTO!B22,"")</f>
        <v/>
      </c>
      <c r="B26" s="23" t="str">
        <f aca="false">IF(PRESUPUESTO!C22="","",PRESUPUESTO!C22)</f>
        <v/>
      </c>
      <c r="C26" s="86" t="str">
        <f aca="false">IF(PRESUPUESTO!$A22="Ítem",PRESUPUESTO!D22,"")</f>
        <v/>
      </c>
      <c r="D26" s="87" t="str">
        <f aca="false">IF(PRESUPUESTO!$A22&lt;&gt;"Ítem","",MAX(N(PRESUPUESTO!E22),N('CORTES CLIENTE'!L35)))</f>
        <v/>
      </c>
      <c r="E26" s="80"/>
      <c r="F26" s="87" t="str">
        <f aca="false">IF(D26="","",SUMIFS(GASTOS!$H$7:$H$5000,GASTOS!$F$7:$F$5000,$A26,GASTOS!$L$7:$L$5000,"Materiales y equipos"))</f>
        <v/>
      </c>
      <c r="G26" s="88" t="str">
        <f aca="false">IF(D26="","",N(E26)+F26)</f>
        <v/>
      </c>
      <c r="H26" s="88" t="str">
        <f aca="false">IF(OR(D26="",S26="Servicio"),"",MAX(0,D26-G26))</f>
        <v/>
      </c>
      <c r="I26" s="36" t="str">
        <f aca="false">IF(OR(D26="",S26="Servicio",N(D26)=0),"",MIN(1,G26/D26))</f>
        <v/>
      </c>
      <c r="J26" s="10" t="str">
        <f aca="false">IF(D26="","",PRESUPUESTO!O22)</f>
        <v/>
      </c>
      <c r="K26" s="10" t="str">
        <f aca="false">IF(D26="","",SUMIFS(GASTOS!$J$7:$J$5000,GASTOS!$F$7:$F$5000,$A26,GASTOS!$L$7:$L$5000,"Materiales y equipos"))</f>
        <v/>
      </c>
      <c r="L26" s="105" t="str">
        <f aca="false">IF(D26="","",COUNTIFS(GASTOS!$F$7:$F$5000,$A26,GASTOS!$L$7:$L$5000,"Materiales y equipos"))</f>
        <v/>
      </c>
      <c r="M26" s="10" t="str">
        <f aca="false">IF(OR(D26="",N(F26)=0),"",K26/F26)</f>
        <v/>
      </c>
      <c r="N26" s="10" t="str">
        <f aca="false">IF(OR(D26="",N(L26)=0),"",IFERROR(LOOKUP(2,1/((GASTOS!$F$7:$F$5000=$A26)*(GASTOS!$L$7:$L$5000="Materiales y equipos")*(GASTOS!$I$7:$I$5000&lt;&gt;"")),GASTOS!$I$7:$I$5000),""))</f>
        <v/>
      </c>
      <c r="O26" s="23" t="str">
        <f aca="false">IF(OR(D26="",N(L26)=0),"",IFERROR(LOOKUP(2,1/((GASTOS!$F$7:$F$5000=$A26)*(GASTOS!$L$7:$L$5000="Materiales y equipos")*(GASTOS!$I$7:$I$5000&lt;&gt;"")),GASTOS!$D$7:$D$5000),""))</f>
        <v/>
      </c>
      <c r="P26" s="10" t="str">
        <f aca="false">IF(D26="","",N(PRESUPUESTO!I22))</f>
        <v/>
      </c>
      <c r="Q26" s="36" t="str">
        <f aca="false">IF(OR(D26="",N26="",N(P26)=0),"",N26/P26-1)</f>
        <v/>
      </c>
      <c r="R26" s="10" t="str">
        <f aca="false">IF(OR(D26="",S26="Servicio"),"",H26*IF(N26&lt;&gt;"",N26,P26))</f>
        <v/>
      </c>
      <c r="S26" s="39" t="str">
        <f aca="false">IF(D26="","",IF(N(PRESUPUESTO!H22)=0,"Servicio",IF(G26=0,"Sin comprar",IF(G26&gt;=D26,"Comprado","Parcial"))))</f>
        <v/>
      </c>
      <c r="T26" s="86" t="str">
        <f aca="false">IF(AND(ISNUMBER(Q26),N(Q26)&gt;0.1),"Precio +"&amp;TEXT(Q26,"0%"),"")</f>
        <v/>
      </c>
      <c r="U26" s="0" t="str">
        <f aca="false">IF(OR(D26="",S26="Servicio"),"",MIN(G26,D26)*P26)</f>
        <v/>
      </c>
      <c r="V26" s="0" t="str">
        <f aca="false">IF(OR(D26="",S26="Servicio"),"",D26*P26)</f>
        <v/>
      </c>
    </row>
    <row r="27" customFormat="false" ht="16.5" hidden="false" customHeight="true" outlineLevel="0" collapsed="false">
      <c r="A27" s="23" t="str">
        <f aca="false">IF(PRESUPUESTO!$A23="Ítem",PRESUPUESTO!B23,"")</f>
        <v/>
      </c>
      <c r="B27" s="23" t="str">
        <f aca="false">IF(PRESUPUESTO!C23="","",PRESUPUESTO!C23)</f>
        <v/>
      </c>
      <c r="C27" s="86" t="str">
        <f aca="false">IF(PRESUPUESTO!$A23="Ítem",PRESUPUESTO!D23,"")</f>
        <v/>
      </c>
      <c r="D27" s="87" t="str">
        <f aca="false">IF(PRESUPUESTO!$A23&lt;&gt;"Ítem","",MAX(N(PRESUPUESTO!E23),N('CORTES CLIENTE'!L36)))</f>
        <v/>
      </c>
      <c r="E27" s="80"/>
      <c r="F27" s="87" t="str">
        <f aca="false">IF(D27="","",SUMIFS(GASTOS!$H$7:$H$5000,GASTOS!$F$7:$F$5000,$A27,GASTOS!$L$7:$L$5000,"Materiales y equipos"))</f>
        <v/>
      </c>
      <c r="G27" s="88" t="str">
        <f aca="false">IF(D27="","",N(E27)+F27)</f>
        <v/>
      </c>
      <c r="H27" s="88" t="str">
        <f aca="false">IF(OR(D27="",S27="Servicio"),"",MAX(0,D27-G27))</f>
        <v/>
      </c>
      <c r="I27" s="36" t="str">
        <f aca="false">IF(OR(D27="",S27="Servicio",N(D27)=0),"",MIN(1,G27/D27))</f>
        <v/>
      </c>
      <c r="J27" s="10" t="str">
        <f aca="false">IF(D27="","",PRESUPUESTO!O23)</f>
        <v/>
      </c>
      <c r="K27" s="10" t="str">
        <f aca="false">IF(D27="","",SUMIFS(GASTOS!$J$7:$J$5000,GASTOS!$F$7:$F$5000,$A27,GASTOS!$L$7:$L$5000,"Materiales y equipos"))</f>
        <v/>
      </c>
      <c r="L27" s="105" t="str">
        <f aca="false">IF(D27="","",COUNTIFS(GASTOS!$F$7:$F$5000,$A27,GASTOS!$L$7:$L$5000,"Materiales y equipos"))</f>
        <v/>
      </c>
      <c r="M27" s="10" t="str">
        <f aca="false">IF(OR(D27="",N(F27)=0),"",K27/F27)</f>
        <v/>
      </c>
      <c r="N27" s="10" t="str">
        <f aca="false">IF(OR(D27="",N(L27)=0),"",IFERROR(LOOKUP(2,1/((GASTOS!$F$7:$F$5000=$A27)*(GASTOS!$L$7:$L$5000="Materiales y equipos")*(GASTOS!$I$7:$I$5000&lt;&gt;"")),GASTOS!$I$7:$I$5000),""))</f>
        <v/>
      </c>
      <c r="O27" s="23" t="str">
        <f aca="false">IF(OR(D27="",N(L27)=0),"",IFERROR(LOOKUP(2,1/((GASTOS!$F$7:$F$5000=$A27)*(GASTOS!$L$7:$L$5000="Materiales y equipos")*(GASTOS!$I$7:$I$5000&lt;&gt;"")),GASTOS!$D$7:$D$5000),""))</f>
        <v/>
      </c>
      <c r="P27" s="10" t="str">
        <f aca="false">IF(D27="","",N(PRESUPUESTO!I23))</f>
        <v/>
      </c>
      <c r="Q27" s="36" t="str">
        <f aca="false">IF(OR(D27="",N27="",N(P27)=0),"",N27/P27-1)</f>
        <v/>
      </c>
      <c r="R27" s="10" t="str">
        <f aca="false">IF(OR(D27="",S27="Servicio"),"",H27*IF(N27&lt;&gt;"",N27,P27))</f>
        <v/>
      </c>
      <c r="S27" s="39" t="str">
        <f aca="false">IF(D27="","",IF(N(PRESUPUESTO!H23)=0,"Servicio",IF(G27=0,"Sin comprar",IF(G27&gt;=D27,"Comprado","Parcial"))))</f>
        <v/>
      </c>
      <c r="T27" s="86" t="str">
        <f aca="false">IF(AND(ISNUMBER(Q27),N(Q27)&gt;0.1),"Precio +"&amp;TEXT(Q27,"0%"),"")</f>
        <v/>
      </c>
      <c r="U27" s="0" t="str">
        <f aca="false">IF(OR(D27="",S27="Servicio"),"",MIN(G27,D27)*P27)</f>
        <v/>
      </c>
      <c r="V27" s="0" t="str">
        <f aca="false">IF(OR(D27="",S27="Servicio"),"",D27*P27)</f>
        <v/>
      </c>
    </row>
    <row r="28" customFormat="false" ht="16.5" hidden="false" customHeight="true" outlineLevel="0" collapsed="false">
      <c r="A28" s="23" t="str">
        <f aca="false">IF(PRESUPUESTO!$A24="Ítem",PRESUPUESTO!B24,"")</f>
        <v/>
      </c>
      <c r="B28" s="23" t="str">
        <f aca="false">IF(PRESUPUESTO!C24="","",PRESUPUESTO!C24)</f>
        <v/>
      </c>
      <c r="C28" s="86" t="str">
        <f aca="false">IF(PRESUPUESTO!$A24="Ítem",PRESUPUESTO!D24,"")</f>
        <v/>
      </c>
      <c r="D28" s="87" t="str">
        <f aca="false">IF(PRESUPUESTO!$A24&lt;&gt;"Ítem","",MAX(N(PRESUPUESTO!E24),N('CORTES CLIENTE'!L37)))</f>
        <v/>
      </c>
      <c r="E28" s="80"/>
      <c r="F28" s="87" t="str">
        <f aca="false">IF(D28="","",SUMIFS(GASTOS!$H$7:$H$5000,GASTOS!$F$7:$F$5000,$A28,GASTOS!$L$7:$L$5000,"Materiales y equipos"))</f>
        <v/>
      </c>
      <c r="G28" s="88" t="str">
        <f aca="false">IF(D28="","",N(E28)+F28)</f>
        <v/>
      </c>
      <c r="H28" s="88" t="str">
        <f aca="false">IF(OR(D28="",S28="Servicio"),"",MAX(0,D28-G28))</f>
        <v/>
      </c>
      <c r="I28" s="36" t="str">
        <f aca="false">IF(OR(D28="",S28="Servicio",N(D28)=0),"",MIN(1,G28/D28))</f>
        <v/>
      </c>
      <c r="J28" s="10" t="str">
        <f aca="false">IF(D28="","",PRESUPUESTO!O24)</f>
        <v/>
      </c>
      <c r="K28" s="10" t="str">
        <f aca="false">IF(D28="","",SUMIFS(GASTOS!$J$7:$J$5000,GASTOS!$F$7:$F$5000,$A28,GASTOS!$L$7:$L$5000,"Materiales y equipos"))</f>
        <v/>
      </c>
      <c r="L28" s="105" t="str">
        <f aca="false">IF(D28="","",COUNTIFS(GASTOS!$F$7:$F$5000,$A28,GASTOS!$L$7:$L$5000,"Materiales y equipos"))</f>
        <v/>
      </c>
      <c r="M28" s="10" t="str">
        <f aca="false">IF(OR(D28="",N(F28)=0),"",K28/F28)</f>
        <v/>
      </c>
      <c r="N28" s="10" t="str">
        <f aca="false">IF(OR(D28="",N(L28)=0),"",IFERROR(LOOKUP(2,1/((GASTOS!$F$7:$F$5000=$A28)*(GASTOS!$L$7:$L$5000="Materiales y equipos")*(GASTOS!$I$7:$I$5000&lt;&gt;"")),GASTOS!$I$7:$I$5000),""))</f>
        <v/>
      </c>
      <c r="O28" s="23" t="str">
        <f aca="false">IF(OR(D28="",N(L28)=0),"",IFERROR(LOOKUP(2,1/((GASTOS!$F$7:$F$5000=$A28)*(GASTOS!$L$7:$L$5000="Materiales y equipos")*(GASTOS!$I$7:$I$5000&lt;&gt;"")),GASTOS!$D$7:$D$5000),""))</f>
        <v/>
      </c>
      <c r="P28" s="10" t="str">
        <f aca="false">IF(D28="","",N(PRESUPUESTO!I24))</f>
        <v/>
      </c>
      <c r="Q28" s="36" t="str">
        <f aca="false">IF(OR(D28="",N28="",N(P28)=0),"",N28/P28-1)</f>
        <v/>
      </c>
      <c r="R28" s="10" t="str">
        <f aca="false">IF(OR(D28="",S28="Servicio"),"",H28*IF(N28&lt;&gt;"",N28,P28))</f>
        <v/>
      </c>
      <c r="S28" s="39" t="str">
        <f aca="false">IF(D28="","",IF(N(PRESUPUESTO!H24)=0,"Servicio",IF(G28=0,"Sin comprar",IF(G28&gt;=D28,"Comprado","Parcial"))))</f>
        <v/>
      </c>
      <c r="T28" s="86" t="str">
        <f aca="false">IF(AND(ISNUMBER(Q28),N(Q28)&gt;0.1),"Precio +"&amp;TEXT(Q28,"0%"),"")</f>
        <v/>
      </c>
      <c r="U28" s="0" t="str">
        <f aca="false">IF(OR(D28="",S28="Servicio"),"",MIN(G28,D28)*P28)</f>
        <v/>
      </c>
      <c r="V28" s="0" t="str">
        <f aca="false">IF(OR(D28="",S28="Servicio"),"",D28*P28)</f>
        <v/>
      </c>
    </row>
    <row r="29" customFormat="false" ht="16.5" hidden="false" customHeight="true" outlineLevel="0" collapsed="false">
      <c r="A29" s="23" t="str">
        <f aca="false">IF(PRESUPUESTO!$A25="Ítem",PRESUPUESTO!B25,"")</f>
        <v/>
      </c>
      <c r="B29" s="23" t="str">
        <f aca="false">IF(PRESUPUESTO!C25="","",PRESUPUESTO!C25)</f>
        <v/>
      </c>
      <c r="C29" s="86" t="str">
        <f aca="false">IF(PRESUPUESTO!$A25="Ítem",PRESUPUESTO!D25,"")</f>
        <v/>
      </c>
      <c r="D29" s="87" t="str">
        <f aca="false">IF(PRESUPUESTO!$A25&lt;&gt;"Ítem","",MAX(N(PRESUPUESTO!E25),N('CORTES CLIENTE'!L38)))</f>
        <v/>
      </c>
      <c r="E29" s="80"/>
      <c r="F29" s="87" t="str">
        <f aca="false">IF(D29="","",SUMIFS(GASTOS!$H$7:$H$5000,GASTOS!$F$7:$F$5000,$A29,GASTOS!$L$7:$L$5000,"Materiales y equipos"))</f>
        <v/>
      </c>
      <c r="G29" s="88" t="str">
        <f aca="false">IF(D29="","",N(E29)+F29)</f>
        <v/>
      </c>
      <c r="H29" s="88" t="str">
        <f aca="false">IF(OR(D29="",S29="Servicio"),"",MAX(0,D29-G29))</f>
        <v/>
      </c>
      <c r="I29" s="36" t="str">
        <f aca="false">IF(OR(D29="",S29="Servicio",N(D29)=0),"",MIN(1,G29/D29))</f>
        <v/>
      </c>
      <c r="J29" s="10" t="str">
        <f aca="false">IF(D29="","",PRESUPUESTO!O25)</f>
        <v/>
      </c>
      <c r="K29" s="10" t="str">
        <f aca="false">IF(D29="","",SUMIFS(GASTOS!$J$7:$J$5000,GASTOS!$F$7:$F$5000,$A29,GASTOS!$L$7:$L$5000,"Materiales y equipos"))</f>
        <v/>
      </c>
      <c r="L29" s="105" t="str">
        <f aca="false">IF(D29="","",COUNTIFS(GASTOS!$F$7:$F$5000,$A29,GASTOS!$L$7:$L$5000,"Materiales y equipos"))</f>
        <v/>
      </c>
      <c r="M29" s="10" t="str">
        <f aca="false">IF(OR(D29="",N(F29)=0),"",K29/F29)</f>
        <v/>
      </c>
      <c r="N29" s="10" t="str">
        <f aca="false">IF(OR(D29="",N(L29)=0),"",IFERROR(LOOKUP(2,1/((GASTOS!$F$7:$F$5000=$A29)*(GASTOS!$L$7:$L$5000="Materiales y equipos")*(GASTOS!$I$7:$I$5000&lt;&gt;"")),GASTOS!$I$7:$I$5000),""))</f>
        <v/>
      </c>
      <c r="O29" s="23" t="str">
        <f aca="false">IF(OR(D29="",N(L29)=0),"",IFERROR(LOOKUP(2,1/((GASTOS!$F$7:$F$5000=$A29)*(GASTOS!$L$7:$L$5000="Materiales y equipos")*(GASTOS!$I$7:$I$5000&lt;&gt;"")),GASTOS!$D$7:$D$5000),""))</f>
        <v/>
      </c>
      <c r="P29" s="10" t="str">
        <f aca="false">IF(D29="","",N(PRESUPUESTO!I25))</f>
        <v/>
      </c>
      <c r="Q29" s="36" t="str">
        <f aca="false">IF(OR(D29="",N29="",N(P29)=0),"",N29/P29-1)</f>
        <v/>
      </c>
      <c r="R29" s="10" t="str">
        <f aca="false">IF(OR(D29="",S29="Servicio"),"",H29*IF(N29&lt;&gt;"",N29,P29))</f>
        <v/>
      </c>
      <c r="S29" s="39" t="str">
        <f aca="false">IF(D29="","",IF(N(PRESUPUESTO!H25)=0,"Servicio",IF(G29=0,"Sin comprar",IF(G29&gt;=D29,"Comprado","Parcial"))))</f>
        <v/>
      </c>
      <c r="T29" s="86" t="str">
        <f aca="false">IF(AND(ISNUMBER(Q29),N(Q29)&gt;0.1),"Precio +"&amp;TEXT(Q29,"0%"),"")</f>
        <v/>
      </c>
      <c r="U29" s="0" t="str">
        <f aca="false">IF(OR(D29="",S29="Servicio"),"",MIN(G29,D29)*P29)</f>
        <v/>
      </c>
      <c r="V29" s="0" t="str">
        <f aca="false">IF(OR(D29="",S29="Servicio"),"",D29*P29)</f>
        <v/>
      </c>
    </row>
    <row r="30" customFormat="false" ht="16.5" hidden="false" customHeight="true" outlineLevel="0" collapsed="false">
      <c r="A30" s="23" t="str">
        <f aca="false">IF(PRESUPUESTO!$A26="Ítem",PRESUPUESTO!B26,"")</f>
        <v/>
      </c>
      <c r="B30" s="23" t="str">
        <f aca="false">IF(PRESUPUESTO!C26="","",PRESUPUESTO!C26)</f>
        <v/>
      </c>
      <c r="C30" s="86" t="str">
        <f aca="false">IF(PRESUPUESTO!$A26="Ítem",PRESUPUESTO!D26,"")</f>
        <v/>
      </c>
      <c r="D30" s="87" t="str">
        <f aca="false">IF(PRESUPUESTO!$A26&lt;&gt;"Ítem","",MAX(N(PRESUPUESTO!E26),N('CORTES CLIENTE'!L39)))</f>
        <v/>
      </c>
      <c r="E30" s="80"/>
      <c r="F30" s="87" t="str">
        <f aca="false">IF(D30="","",SUMIFS(GASTOS!$H$7:$H$5000,GASTOS!$F$7:$F$5000,$A30,GASTOS!$L$7:$L$5000,"Materiales y equipos"))</f>
        <v/>
      </c>
      <c r="G30" s="88" t="str">
        <f aca="false">IF(D30="","",N(E30)+F30)</f>
        <v/>
      </c>
      <c r="H30" s="88" t="str">
        <f aca="false">IF(OR(D30="",S30="Servicio"),"",MAX(0,D30-G30))</f>
        <v/>
      </c>
      <c r="I30" s="36" t="str">
        <f aca="false">IF(OR(D30="",S30="Servicio",N(D30)=0),"",MIN(1,G30/D30))</f>
        <v/>
      </c>
      <c r="J30" s="10" t="str">
        <f aca="false">IF(D30="","",PRESUPUESTO!O26)</f>
        <v/>
      </c>
      <c r="K30" s="10" t="str">
        <f aca="false">IF(D30="","",SUMIFS(GASTOS!$J$7:$J$5000,GASTOS!$F$7:$F$5000,$A30,GASTOS!$L$7:$L$5000,"Materiales y equipos"))</f>
        <v/>
      </c>
      <c r="L30" s="105" t="str">
        <f aca="false">IF(D30="","",COUNTIFS(GASTOS!$F$7:$F$5000,$A30,GASTOS!$L$7:$L$5000,"Materiales y equipos"))</f>
        <v/>
      </c>
      <c r="M30" s="10" t="str">
        <f aca="false">IF(OR(D30="",N(F30)=0),"",K30/F30)</f>
        <v/>
      </c>
      <c r="N30" s="10" t="str">
        <f aca="false">IF(OR(D30="",N(L30)=0),"",IFERROR(LOOKUP(2,1/((GASTOS!$F$7:$F$5000=$A30)*(GASTOS!$L$7:$L$5000="Materiales y equipos")*(GASTOS!$I$7:$I$5000&lt;&gt;"")),GASTOS!$I$7:$I$5000),""))</f>
        <v/>
      </c>
      <c r="O30" s="23" t="str">
        <f aca="false">IF(OR(D30="",N(L30)=0),"",IFERROR(LOOKUP(2,1/((GASTOS!$F$7:$F$5000=$A30)*(GASTOS!$L$7:$L$5000="Materiales y equipos")*(GASTOS!$I$7:$I$5000&lt;&gt;"")),GASTOS!$D$7:$D$5000),""))</f>
        <v/>
      </c>
      <c r="P30" s="10" t="str">
        <f aca="false">IF(D30="","",N(PRESUPUESTO!I26))</f>
        <v/>
      </c>
      <c r="Q30" s="36" t="str">
        <f aca="false">IF(OR(D30="",N30="",N(P30)=0),"",N30/P30-1)</f>
        <v/>
      </c>
      <c r="R30" s="10" t="str">
        <f aca="false">IF(OR(D30="",S30="Servicio"),"",H30*IF(N30&lt;&gt;"",N30,P30))</f>
        <v/>
      </c>
      <c r="S30" s="39" t="str">
        <f aca="false">IF(D30="","",IF(N(PRESUPUESTO!H26)=0,"Servicio",IF(G30=0,"Sin comprar",IF(G30&gt;=D30,"Comprado","Parcial"))))</f>
        <v/>
      </c>
      <c r="T30" s="86" t="str">
        <f aca="false">IF(AND(ISNUMBER(Q30),N(Q30)&gt;0.1),"Precio +"&amp;TEXT(Q30,"0%"),"")</f>
        <v/>
      </c>
      <c r="U30" s="0" t="str">
        <f aca="false">IF(OR(D30="",S30="Servicio"),"",MIN(G30,D30)*P30)</f>
        <v/>
      </c>
      <c r="V30" s="0" t="str">
        <f aca="false">IF(OR(D30="",S30="Servicio"),"",D30*P30)</f>
        <v/>
      </c>
    </row>
    <row r="31" customFormat="false" ht="16.5" hidden="false" customHeight="true" outlineLevel="0" collapsed="false">
      <c r="A31" s="23" t="str">
        <f aca="false">IF(PRESUPUESTO!$A27="Ítem",PRESUPUESTO!B27,"")</f>
        <v/>
      </c>
      <c r="B31" s="23" t="str">
        <f aca="false">IF(PRESUPUESTO!C27="","",PRESUPUESTO!C27)</f>
        <v/>
      </c>
      <c r="C31" s="86" t="str">
        <f aca="false">IF(PRESUPUESTO!$A27="Ítem",PRESUPUESTO!D27,"")</f>
        <v/>
      </c>
      <c r="D31" s="87" t="str">
        <f aca="false">IF(PRESUPUESTO!$A27&lt;&gt;"Ítem","",MAX(N(PRESUPUESTO!E27),N('CORTES CLIENTE'!L40)))</f>
        <v/>
      </c>
      <c r="E31" s="80"/>
      <c r="F31" s="87" t="str">
        <f aca="false">IF(D31="","",SUMIFS(GASTOS!$H$7:$H$5000,GASTOS!$F$7:$F$5000,$A31,GASTOS!$L$7:$L$5000,"Materiales y equipos"))</f>
        <v/>
      </c>
      <c r="G31" s="88" t="str">
        <f aca="false">IF(D31="","",N(E31)+F31)</f>
        <v/>
      </c>
      <c r="H31" s="88" t="str">
        <f aca="false">IF(OR(D31="",S31="Servicio"),"",MAX(0,D31-G31))</f>
        <v/>
      </c>
      <c r="I31" s="36" t="str">
        <f aca="false">IF(OR(D31="",S31="Servicio",N(D31)=0),"",MIN(1,G31/D31))</f>
        <v/>
      </c>
      <c r="J31" s="10" t="str">
        <f aca="false">IF(D31="","",PRESUPUESTO!O27)</f>
        <v/>
      </c>
      <c r="K31" s="10" t="str">
        <f aca="false">IF(D31="","",SUMIFS(GASTOS!$J$7:$J$5000,GASTOS!$F$7:$F$5000,$A31,GASTOS!$L$7:$L$5000,"Materiales y equipos"))</f>
        <v/>
      </c>
      <c r="L31" s="105" t="str">
        <f aca="false">IF(D31="","",COUNTIFS(GASTOS!$F$7:$F$5000,$A31,GASTOS!$L$7:$L$5000,"Materiales y equipos"))</f>
        <v/>
      </c>
      <c r="M31" s="10" t="str">
        <f aca="false">IF(OR(D31="",N(F31)=0),"",K31/F31)</f>
        <v/>
      </c>
      <c r="N31" s="10" t="str">
        <f aca="false">IF(OR(D31="",N(L31)=0),"",IFERROR(LOOKUP(2,1/((GASTOS!$F$7:$F$5000=$A31)*(GASTOS!$L$7:$L$5000="Materiales y equipos")*(GASTOS!$I$7:$I$5000&lt;&gt;"")),GASTOS!$I$7:$I$5000),""))</f>
        <v/>
      </c>
      <c r="O31" s="23" t="str">
        <f aca="false">IF(OR(D31="",N(L31)=0),"",IFERROR(LOOKUP(2,1/((GASTOS!$F$7:$F$5000=$A31)*(GASTOS!$L$7:$L$5000="Materiales y equipos")*(GASTOS!$I$7:$I$5000&lt;&gt;"")),GASTOS!$D$7:$D$5000),""))</f>
        <v/>
      </c>
      <c r="P31" s="10" t="str">
        <f aca="false">IF(D31="","",N(PRESUPUESTO!I27))</f>
        <v/>
      </c>
      <c r="Q31" s="36" t="str">
        <f aca="false">IF(OR(D31="",N31="",N(P31)=0),"",N31/P31-1)</f>
        <v/>
      </c>
      <c r="R31" s="10" t="str">
        <f aca="false">IF(OR(D31="",S31="Servicio"),"",H31*IF(N31&lt;&gt;"",N31,P31))</f>
        <v/>
      </c>
      <c r="S31" s="39" t="str">
        <f aca="false">IF(D31="","",IF(N(PRESUPUESTO!H27)=0,"Servicio",IF(G31=0,"Sin comprar",IF(G31&gt;=D31,"Comprado","Parcial"))))</f>
        <v/>
      </c>
      <c r="T31" s="86" t="str">
        <f aca="false">IF(AND(ISNUMBER(Q31),N(Q31)&gt;0.1),"Precio +"&amp;TEXT(Q31,"0%"),"")</f>
        <v/>
      </c>
      <c r="U31" s="0" t="str">
        <f aca="false">IF(OR(D31="",S31="Servicio"),"",MIN(G31,D31)*P31)</f>
        <v/>
      </c>
      <c r="V31" s="0" t="str">
        <f aca="false">IF(OR(D31="",S31="Servicio"),"",D31*P31)</f>
        <v/>
      </c>
    </row>
    <row r="32" customFormat="false" ht="16.5" hidden="false" customHeight="true" outlineLevel="0" collapsed="false">
      <c r="A32" s="23" t="str">
        <f aca="false">IF(PRESUPUESTO!$A28="Ítem",PRESUPUESTO!B28,"")</f>
        <v/>
      </c>
      <c r="B32" s="23" t="str">
        <f aca="false">IF(PRESUPUESTO!C28="","",PRESUPUESTO!C28)</f>
        <v/>
      </c>
      <c r="C32" s="86" t="str">
        <f aca="false">IF(PRESUPUESTO!$A28="Ítem",PRESUPUESTO!D28,"")</f>
        <v/>
      </c>
      <c r="D32" s="87" t="str">
        <f aca="false">IF(PRESUPUESTO!$A28&lt;&gt;"Ítem","",MAX(N(PRESUPUESTO!E28),N('CORTES CLIENTE'!L41)))</f>
        <v/>
      </c>
      <c r="E32" s="80"/>
      <c r="F32" s="87" t="str">
        <f aca="false">IF(D32="","",SUMIFS(GASTOS!$H$7:$H$5000,GASTOS!$F$7:$F$5000,$A32,GASTOS!$L$7:$L$5000,"Materiales y equipos"))</f>
        <v/>
      </c>
      <c r="G32" s="88" t="str">
        <f aca="false">IF(D32="","",N(E32)+F32)</f>
        <v/>
      </c>
      <c r="H32" s="88" t="str">
        <f aca="false">IF(OR(D32="",S32="Servicio"),"",MAX(0,D32-G32))</f>
        <v/>
      </c>
      <c r="I32" s="36" t="str">
        <f aca="false">IF(OR(D32="",S32="Servicio",N(D32)=0),"",MIN(1,G32/D32))</f>
        <v/>
      </c>
      <c r="J32" s="10" t="str">
        <f aca="false">IF(D32="","",PRESUPUESTO!O28)</f>
        <v/>
      </c>
      <c r="K32" s="10" t="str">
        <f aca="false">IF(D32="","",SUMIFS(GASTOS!$J$7:$J$5000,GASTOS!$F$7:$F$5000,$A32,GASTOS!$L$7:$L$5000,"Materiales y equipos"))</f>
        <v/>
      </c>
      <c r="L32" s="105" t="str">
        <f aca="false">IF(D32="","",COUNTIFS(GASTOS!$F$7:$F$5000,$A32,GASTOS!$L$7:$L$5000,"Materiales y equipos"))</f>
        <v/>
      </c>
      <c r="M32" s="10" t="str">
        <f aca="false">IF(OR(D32="",N(F32)=0),"",K32/F32)</f>
        <v/>
      </c>
      <c r="N32" s="10" t="str">
        <f aca="false">IF(OR(D32="",N(L32)=0),"",IFERROR(LOOKUP(2,1/((GASTOS!$F$7:$F$5000=$A32)*(GASTOS!$L$7:$L$5000="Materiales y equipos")*(GASTOS!$I$7:$I$5000&lt;&gt;"")),GASTOS!$I$7:$I$5000),""))</f>
        <v/>
      </c>
      <c r="O32" s="23" t="str">
        <f aca="false">IF(OR(D32="",N(L32)=0),"",IFERROR(LOOKUP(2,1/((GASTOS!$F$7:$F$5000=$A32)*(GASTOS!$L$7:$L$5000="Materiales y equipos")*(GASTOS!$I$7:$I$5000&lt;&gt;"")),GASTOS!$D$7:$D$5000),""))</f>
        <v/>
      </c>
      <c r="P32" s="10" t="str">
        <f aca="false">IF(D32="","",N(PRESUPUESTO!I28))</f>
        <v/>
      </c>
      <c r="Q32" s="36" t="str">
        <f aca="false">IF(OR(D32="",N32="",N(P32)=0),"",N32/P32-1)</f>
        <v/>
      </c>
      <c r="R32" s="10" t="str">
        <f aca="false">IF(OR(D32="",S32="Servicio"),"",H32*IF(N32&lt;&gt;"",N32,P32))</f>
        <v/>
      </c>
      <c r="S32" s="39" t="str">
        <f aca="false">IF(D32="","",IF(N(PRESUPUESTO!H28)=0,"Servicio",IF(G32=0,"Sin comprar",IF(G32&gt;=D32,"Comprado","Parcial"))))</f>
        <v/>
      </c>
      <c r="T32" s="86" t="str">
        <f aca="false">IF(AND(ISNUMBER(Q32),N(Q32)&gt;0.1),"Precio +"&amp;TEXT(Q32,"0%"),"")</f>
        <v/>
      </c>
      <c r="U32" s="0" t="str">
        <f aca="false">IF(OR(D32="",S32="Servicio"),"",MIN(G32,D32)*P32)</f>
        <v/>
      </c>
      <c r="V32" s="0" t="str">
        <f aca="false">IF(OR(D32="",S32="Servicio"),"",D32*P32)</f>
        <v/>
      </c>
    </row>
    <row r="33" customFormat="false" ht="16.5" hidden="false" customHeight="true" outlineLevel="0" collapsed="false">
      <c r="A33" s="23" t="str">
        <f aca="false">IF(PRESUPUESTO!$A29="Ítem",PRESUPUESTO!B29,"")</f>
        <v/>
      </c>
      <c r="B33" s="23" t="str">
        <f aca="false">IF(PRESUPUESTO!C29="","",PRESUPUESTO!C29)</f>
        <v/>
      </c>
      <c r="C33" s="86" t="str">
        <f aca="false">IF(PRESUPUESTO!$A29="Ítem",PRESUPUESTO!D29,"")</f>
        <v/>
      </c>
      <c r="D33" s="87" t="str">
        <f aca="false">IF(PRESUPUESTO!$A29&lt;&gt;"Ítem","",MAX(N(PRESUPUESTO!E29),N('CORTES CLIENTE'!L42)))</f>
        <v/>
      </c>
      <c r="E33" s="80"/>
      <c r="F33" s="87" t="str">
        <f aca="false">IF(D33="","",SUMIFS(GASTOS!$H$7:$H$5000,GASTOS!$F$7:$F$5000,$A33,GASTOS!$L$7:$L$5000,"Materiales y equipos"))</f>
        <v/>
      </c>
      <c r="G33" s="88" t="str">
        <f aca="false">IF(D33="","",N(E33)+F33)</f>
        <v/>
      </c>
      <c r="H33" s="88" t="str">
        <f aca="false">IF(OR(D33="",S33="Servicio"),"",MAX(0,D33-G33))</f>
        <v/>
      </c>
      <c r="I33" s="36" t="str">
        <f aca="false">IF(OR(D33="",S33="Servicio",N(D33)=0),"",MIN(1,G33/D33))</f>
        <v/>
      </c>
      <c r="J33" s="10" t="str">
        <f aca="false">IF(D33="","",PRESUPUESTO!O29)</f>
        <v/>
      </c>
      <c r="K33" s="10" t="str">
        <f aca="false">IF(D33="","",SUMIFS(GASTOS!$J$7:$J$5000,GASTOS!$F$7:$F$5000,$A33,GASTOS!$L$7:$L$5000,"Materiales y equipos"))</f>
        <v/>
      </c>
      <c r="L33" s="105" t="str">
        <f aca="false">IF(D33="","",COUNTIFS(GASTOS!$F$7:$F$5000,$A33,GASTOS!$L$7:$L$5000,"Materiales y equipos"))</f>
        <v/>
      </c>
      <c r="M33" s="10" t="str">
        <f aca="false">IF(OR(D33="",N(F33)=0),"",K33/F33)</f>
        <v/>
      </c>
      <c r="N33" s="10" t="str">
        <f aca="false">IF(OR(D33="",N(L33)=0),"",IFERROR(LOOKUP(2,1/((GASTOS!$F$7:$F$5000=$A33)*(GASTOS!$L$7:$L$5000="Materiales y equipos")*(GASTOS!$I$7:$I$5000&lt;&gt;"")),GASTOS!$I$7:$I$5000),""))</f>
        <v/>
      </c>
      <c r="O33" s="23" t="str">
        <f aca="false">IF(OR(D33="",N(L33)=0),"",IFERROR(LOOKUP(2,1/((GASTOS!$F$7:$F$5000=$A33)*(GASTOS!$L$7:$L$5000="Materiales y equipos")*(GASTOS!$I$7:$I$5000&lt;&gt;"")),GASTOS!$D$7:$D$5000),""))</f>
        <v/>
      </c>
      <c r="P33" s="10" t="str">
        <f aca="false">IF(D33="","",N(PRESUPUESTO!I29))</f>
        <v/>
      </c>
      <c r="Q33" s="36" t="str">
        <f aca="false">IF(OR(D33="",N33="",N(P33)=0),"",N33/P33-1)</f>
        <v/>
      </c>
      <c r="R33" s="10" t="str">
        <f aca="false">IF(OR(D33="",S33="Servicio"),"",H33*IF(N33&lt;&gt;"",N33,P33))</f>
        <v/>
      </c>
      <c r="S33" s="39" t="str">
        <f aca="false">IF(D33="","",IF(N(PRESUPUESTO!H29)=0,"Servicio",IF(G33=0,"Sin comprar",IF(G33&gt;=D33,"Comprado","Parcial"))))</f>
        <v/>
      </c>
      <c r="T33" s="86" t="str">
        <f aca="false">IF(AND(ISNUMBER(Q33),N(Q33)&gt;0.1),"Precio +"&amp;TEXT(Q33,"0%"),"")</f>
        <v/>
      </c>
      <c r="U33" s="0" t="str">
        <f aca="false">IF(OR(D33="",S33="Servicio"),"",MIN(G33,D33)*P33)</f>
        <v/>
      </c>
      <c r="V33" s="0" t="str">
        <f aca="false">IF(OR(D33="",S33="Servicio"),"",D33*P33)</f>
        <v/>
      </c>
    </row>
    <row r="34" customFormat="false" ht="16.5" hidden="false" customHeight="true" outlineLevel="0" collapsed="false">
      <c r="A34" s="23" t="str">
        <f aca="false">IF(PRESUPUESTO!$A30="Ítem",PRESUPUESTO!B30,"")</f>
        <v/>
      </c>
      <c r="B34" s="23" t="str">
        <f aca="false">IF(PRESUPUESTO!C30="","",PRESUPUESTO!C30)</f>
        <v/>
      </c>
      <c r="C34" s="86" t="str">
        <f aca="false">IF(PRESUPUESTO!$A30="Ítem",PRESUPUESTO!D30,"")</f>
        <v/>
      </c>
      <c r="D34" s="87" t="str">
        <f aca="false">IF(PRESUPUESTO!$A30&lt;&gt;"Ítem","",MAX(N(PRESUPUESTO!E30),N('CORTES CLIENTE'!L43)))</f>
        <v/>
      </c>
      <c r="E34" s="80"/>
      <c r="F34" s="87" t="str">
        <f aca="false">IF(D34="","",SUMIFS(GASTOS!$H$7:$H$5000,GASTOS!$F$7:$F$5000,$A34,GASTOS!$L$7:$L$5000,"Materiales y equipos"))</f>
        <v/>
      </c>
      <c r="G34" s="88" t="str">
        <f aca="false">IF(D34="","",N(E34)+F34)</f>
        <v/>
      </c>
      <c r="H34" s="88" t="str">
        <f aca="false">IF(OR(D34="",S34="Servicio"),"",MAX(0,D34-G34))</f>
        <v/>
      </c>
      <c r="I34" s="36" t="str">
        <f aca="false">IF(OR(D34="",S34="Servicio",N(D34)=0),"",MIN(1,G34/D34))</f>
        <v/>
      </c>
      <c r="J34" s="10" t="str">
        <f aca="false">IF(D34="","",PRESUPUESTO!O30)</f>
        <v/>
      </c>
      <c r="K34" s="10" t="str">
        <f aca="false">IF(D34="","",SUMIFS(GASTOS!$J$7:$J$5000,GASTOS!$F$7:$F$5000,$A34,GASTOS!$L$7:$L$5000,"Materiales y equipos"))</f>
        <v/>
      </c>
      <c r="L34" s="105" t="str">
        <f aca="false">IF(D34="","",COUNTIFS(GASTOS!$F$7:$F$5000,$A34,GASTOS!$L$7:$L$5000,"Materiales y equipos"))</f>
        <v/>
      </c>
      <c r="M34" s="10" t="str">
        <f aca="false">IF(OR(D34="",N(F34)=0),"",K34/F34)</f>
        <v/>
      </c>
      <c r="N34" s="10" t="str">
        <f aca="false">IF(OR(D34="",N(L34)=0),"",IFERROR(LOOKUP(2,1/((GASTOS!$F$7:$F$5000=$A34)*(GASTOS!$L$7:$L$5000="Materiales y equipos")*(GASTOS!$I$7:$I$5000&lt;&gt;"")),GASTOS!$I$7:$I$5000),""))</f>
        <v/>
      </c>
      <c r="O34" s="23" t="str">
        <f aca="false">IF(OR(D34="",N(L34)=0),"",IFERROR(LOOKUP(2,1/((GASTOS!$F$7:$F$5000=$A34)*(GASTOS!$L$7:$L$5000="Materiales y equipos")*(GASTOS!$I$7:$I$5000&lt;&gt;"")),GASTOS!$D$7:$D$5000),""))</f>
        <v/>
      </c>
      <c r="P34" s="10" t="str">
        <f aca="false">IF(D34="","",N(PRESUPUESTO!I30))</f>
        <v/>
      </c>
      <c r="Q34" s="36" t="str">
        <f aca="false">IF(OR(D34="",N34="",N(P34)=0),"",N34/P34-1)</f>
        <v/>
      </c>
      <c r="R34" s="10" t="str">
        <f aca="false">IF(OR(D34="",S34="Servicio"),"",H34*IF(N34&lt;&gt;"",N34,P34))</f>
        <v/>
      </c>
      <c r="S34" s="39" t="str">
        <f aca="false">IF(D34="","",IF(N(PRESUPUESTO!H30)=0,"Servicio",IF(G34=0,"Sin comprar",IF(G34&gt;=D34,"Comprado","Parcial"))))</f>
        <v/>
      </c>
      <c r="T34" s="86" t="str">
        <f aca="false">IF(AND(ISNUMBER(Q34),N(Q34)&gt;0.1),"Precio +"&amp;TEXT(Q34,"0%"),"")</f>
        <v/>
      </c>
      <c r="U34" s="0" t="str">
        <f aca="false">IF(OR(D34="",S34="Servicio"),"",MIN(G34,D34)*P34)</f>
        <v/>
      </c>
      <c r="V34" s="0" t="str">
        <f aca="false">IF(OR(D34="",S34="Servicio"),"",D34*P34)</f>
        <v/>
      </c>
    </row>
    <row r="35" customFormat="false" ht="16.5" hidden="false" customHeight="true" outlineLevel="0" collapsed="false">
      <c r="A35" s="23" t="str">
        <f aca="false">IF(PRESUPUESTO!$A31="Ítem",PRESUPUESTO!B31,"")</f>
        <v/>
      </c>
      <c r="B35" s="23" t="str">
        <f aca="false">IF(PRESUPUESTO!C31="","",PRESUPUESTO!C31)</f>
        <v/>
      </c>
      <c r="C35" s="86" t="str">
        <f aca="false">IF(PRESUPUESTO!$A31="Ítem",PRESUPUESTO!D31,"")</f>
        <v/>
      </c>
      <c r="D35" s="87" t="str">
        <f aca="false">IF(PRESUPUESTO!$A31&lt;&gt;"Ítem","",MAX(N(PRESUPUESTO!E31),N('CORTES CLIENTE'!L44)))</f>
        <v/>
      </c>
      <c r="E35" s="80"/>
      <c r="F35" s="87" t="str">
        <f aca="false">IF(D35="","",SUMIFS(GASTOS!$H$7:$H$5000,GASTOS!$F$7:$F$5000,$A35,GASTOS!$L$7:$L$5000,"Materiales y equipos"))</f>
        <v/>
      </c>
      <c r="G35" s="88" t="str">
        <f aca="false">IF(D35="","",N(E35)+F35)</f>
        <v/>
      </c>
      <c r="H35" s="88" t="str">
        <f aca="false">IF(OR(D35="",S35="Servicio"),"",MAX(0,D35-G35))</f>
        <v/>
      </c>
      <c r="I35" s="36" t="str">
        <f aca="false">IF(OR(D35="",S35="Servicio",N(D35)=0),"",MIN(1,G35/D35))</f>
        <v/>
      </c>
      <c r="J35" s="10" t="str">
        <f aca="false">IF(D35="","",PRESUPUESTO!O31)</f>
        <v/>
      </c>
      <c r="K35" s="10" t="str">
        <f aca="false">IF(D35="","",SUMIFS(GASTOS!$J$7:$J$5000,GASTOS!$F$7:$F$5000,$A35,GASTOS!$L$7:$L$5000,"Materiales y equipos"))</f>
        <v/>
      </c>
      <c r="L35" s="105" t="str">
        <f aca="false">IF(D35="","",COUNTIFS(GASTOS!$F$7:$F$5000,$A35,GASTOS!$L$7:$L$5000,"Materiales y equipos"))</f>
        <v/>
      </c>
      <c r="M35" s="10" t="str">
        <f aca="false">IF(OR(D35="",N(F35)=0),"",K35/F35)</f>
        <v/>
      </c>
      <c r="N35" s="10" t="str">
        <f aca="false">IF(OR(D35="",N(L35)=0),"",IFERROR(LOOKUP(2,1/((GASTOS!$F$7:$F$5000=$A35)*(GASTOS!$L$7:$L$5000="Materiales y equipos")*(GASTOS!$I$7:$I$5000&lt;&gt;"")),GASTOS!$I$7:$I$5000),""))</f>
        <v/>
      </c>
      <c r="O35" s="23" t="str">
        <f aca="false">IF(OR(D35="",N(L35)=0),"",IFERROR(LOOKUP(2,1/((GASTOS!$F$7:$F$5000=$A35)*(GASTOS!$L$7:$L$5000="Materiales y equipos")*(GASTOS!$I$7:$I$5000&lt;&gt;"")),GASTOS!$D$7:$D$5000),""))</f>
        <v/>
      </c>
      <c r="P35" s="10" t="str">
        <f aca="false">IF(D35="","",N(PRESUPUESTO!I31))</f>
        <v/>
      </c>
      <c r="Q35" s="36" t="str">
        <f aca="false">IF(OR(D35="",N35="",N(P35)=0),"",N35/P35-1)</f>
        <v/>
      </c>
      <c r="R35" s="10" t="str">
        <f aca="false">IF(OR(D35="",S35="Servicio"),"",H35*IF(N35&lt;&gt;"",N35,P35))</f>
        <v/>
      </c>
      <c r="S35" s="39" t="str">
        <f aca="false">IF(D35="","",IF(N(PRESUPUESTO!H31)=0,"Servicio",IF(G35=0,"Sin comprar",IF(G35&gt;=D35,"Comprado","Parcial"))))</f>
        <v/>
      </c>
      <c r="T35" s="86" t="str">
        <f aca="false">IF(AND(ISNUMBER(Q35),N(Q35)&gt;0.1),"Precio +"&amp;TEXT(Q35,"0%"),"")</f>
        <v/>
      </c>
      <c r="U35" s="0" t="str">
        <f aca="false">IF(OR(D35="",S35="Servicio"),"",MIN(G35,D35)*P35)</f>
        <v/>
      </c>
      <c r="V35" s="0" t="str">
        <f aca="false">IF(OR(D35="",S35="Servicio"),"",D35*P35)</f>
        <v/>
      </c>
    </row>
    <row r="36" customFormat="false" ht="16.5" hidden="false" customHeight="true" outlineLevel="0" collapsed="false">
      <c r="A36" s="23" t="str">
        <f aca="false">IF(PRESUPUESTO!$A32="Ítem",PRESUPUESTO!B32,"")</f>
        <v/>
      </c>
      <c r="B36" s="23" t="str">
        <f aca="false">IF(PRESUPUESTO!C32="","",PRESUPUESTO!C32)</f>
        <v/>
      </c>
      <c r="C36" s="86" t="str">
        <f aca="false">IF(PRESUPUESTO!$A32="Ítem",PRESUPUESTO!D32,"")</f>
        <v/>
      </c>
      <c r="D36" s="87" t="str">
        <f aca="false">IF(PRESUPUESTO!$A32&lt;&gt;"Ítem","",MAX(N(PRESUPUESTO!E32),N('CORTES CLIENTE'!L45)))</f>
        <v/>
      </c>
      <c r="E36" s="80"/>
      <c r="F36" s="87" t="str">
        <f aca="false">IF(D36="","",SUMIFS(GASTOS!$H$7:$H$5000,GASTOS!$F$7:$F$5000,$A36,GASTOS!$L$7:$L$5000,"Materiales y equipos"))</f>
        <v/>
      </c>
      <c r="G36" s="88" t="str">
        <f aca="false">IF(D36="","",N(E36)+F36)</f>
        <v/>
      </c>
      <c r="H36" s="88" t="str">
        <f aca="false">IF(OR(D36="",S36="Servicio"),"",MAX(0,D36-G36))</f>
        <v/>
      </c>
      <c r="I36" s="36" t="str">
        <f aca="false">IF(OR(D36="",S36="Servicio",N(D36)=0),"",MIN(1,G36/D36))</f>
        <v/>
      </c>
      <c r="J36" s="10" t="str">
        <f aca="false">IF(D36="","",PRESUPUESTO!O32)</f>
        <v/>
      </c>
      <c r="K36" s="10" t="str">
        <f aca="false">IF(D36="","",SUMIFS(GASTOS!$J$7:$J$5000,GASTOS!$F$7:$F$5000,$A36,GASTOS!$L$7:$L$5000,"Materiales y equipos"))</f>
        <v/>
      </c>
      <c r="L36" s="105" t="str">
        <f aca="false">IF(D36="","",COUNTIFS(GASTOS!$F$7:$F$5000,$A36,GASTOS!$L$7:$L$5000,"Materiales y equipos"))</f>
        <v/>
      </c>
      <c r="M36" s="10" t="str">
        <f aca="false">IF(OR(D36="",N(F36)=0),"",K36/F36)</f>
        <v/>
      </c>
      <c r="N36" s="10" t="str">
        <f aca="false">IF(OR(D36="",N(L36)=0),"",IFERROR(LOOKUP(2,1/((GASTOS!$F$7:$F$5000=$A36)*(GASTOS!$L$7:$L$5000="Materiales y equipos")*(GASTOS!$I$7:$I$5000&lt;&gt;"")),GASTOS!$I$7:$I$5000),""))</f>
        <v/>
      </c>
      <c r="O36" s="23" t="str">
        <f aca="false">IF(OR(D36="",N(L36)=0),"",IFERROR(LOOKUP(2,1/((GASTOS!$F$7:$F$5000=$A36)*(GASTOS!$L$7:$L$5000="Materiales y equipos")*(GASTOS!$I$7:$I$5000&lt;&gt;"")),GASTOS!$D$7:$D$5000),""))</f>
        <v/>
      </c>
      <c r="P36" s="10" t="str">
        <f aca="false">IF(D36="","",N(PRESUPUESTO!I32))</f>
        <v/>
      </c>
      <c r="Q36" s="36" t="str">
        <f aca="false">IF(OR(D36="",N36="",N(P36)=0),"",N36/P36-1)</f>
        <v/>
      </c>
      <c r="R36" s="10" t="str">
        <f aca="false">IF(OR(D36="",S36="Servicio"),"",H36*IF(N36&lt;&gt;"",N36,P36))</f>
        <v/>
      </c>
      <c r="S36" s="39" t="str">
        <f aca="false">IF(D36="","",IF(N(PRESUPUESTO!H32)=0,"Servicio",IF(G36=0,"Sin comprar",IF(G36&gt;=D36,"Comprado","Parcial"))))</f>
        <v/>
      </c>
      <c r="T36" s="86" t="str">
        <f aca="false">IF(AND(ISNUMBER(Q36),N(Q36)&gt;0.1),"Precio +"&amp;TEXT(Q36,"0%"),"")</f>
        <v/>
      </c>
      <c r="U36" s="0" t="str">
        <f aca="false">IF(OR(D36="",S36="Servicio"),"",MIN(G36,D36)*P36)</f>
        <v/>
      </c>
      <c r="V36" s="0" t="str">
        <f aca="false">IF(OR(D36="",S36="Servicio"),"",D36*P36)</f>
        <v/>
      </c>
    </row>
    <row r="37" customFormat="false" ht="16.5" hidden="false" customHeight="true" outlineLevel="0" collapsed="false">
      <c r="A37" s="23" t="str">
        <f aca="false">IF(PRESUPUESTO!$A33="Ítem",PRESUPUESTO!B33,"")</f>
        <v/>
      </c>
      <c r="B37" s="23" t="str">
        <f aca="false">IF(PRESUPUESTO!C33="","",PRESUPUESTO!C33)</f>
        <v/>
      </c>
      <c r="C37" s="86" t="str">
        <f aca="false">IF(PRESUPUESTO!$A33="Ítem",PRESUPUESTO!D33,"")</f>
        <v/>
      </c>
      <c r="D37" s="87" t="str">
        <f aca="false">IF(PRESUPUESTO!$A33&lt;&gt;"Ítem","",MAX(N(PRESUPUESTO!E33),N('CORTES CLIENTE'!L46)))</f>
        <v/>
      </c>
      <c r="E37" s="80"/>
      <c r="F37" s="87" t="str">
        <f aca="false">IF(D37="","",SUMIFS(GASTOS!$H$7:$H$5000,GASTOS!$F$7:$F$5000,$A37,GASTOS!$L$7:$L$5000,"Materiales y equipos"))</f>
        <v/>
      </c>
      <c r="G37" s="88" t="str">
        <f aca="false">IF(D37="","",N(E37)+F37)</f>
        <v/>
      </c>
      <c r="H37" s="88" t="str">
        <f aca="false">IF(OR(D37="",S37="Servicio"),"",MAX(0,D37-G37))</f>
        <v/>
      </c>
      <c r="I37" s="36" t="str">
        <f aca="false">IF(OR(D37="",S37="Servicio",N(D37)=0),"",MIN(1,G37/D37))</f>
        <v/>
      </c>
      <c r="J37" s="10" t="str">
        <f aca="false">IF(D37="","",PRESUPUESTO!O33)</f>
        <v/>
      </c>
      <c r="K37" s="10" t="str">
        <f aca="false">IF(D37="","",SUMIFS(GASTOS!$J$7:$J$5000,GASTOS!$F$7:$F$5000,$A37,GASTOS!$L$7:$L$5000,"Materiales y equipos"))</f>
        <v/>
      </c>
      <c r="L37" s="105" t="str">
        <f aca="false">IF(D37="","",COUNTIFS(GASTOS!$F$7:$F$5000,$A37,GASTOS!$L$7:$L$5000,"Materiales y equipos"))</f>
        <v/>
      </c>
      <c r="M37" s="10" t="str">
        <f aca="false">IF(OR(D37="",N(F37)=0),"",K37/F37)</f>
        <v/>
      </c>
      <c r="N37" s="10" t="str">
        <f aca="false">IF(OR(D37="",N(L37)=0),"",IFERROR(LOOKUP(2,1/((GASTOS!$F$7:$F$5000=$A37)*(GASTOS!$L$7:$L$5000="Materiales y equipos")*(GASTOS!$I$7:$I$5000&lt;&gt;"")),GASTOS!$I$7:$I$5000),""))</f>
        <v/>
      </c>
      <c r="O37" s="23" t="str">
        <f aca="false">IF(OR(D37="",N(L37)=0),"",IFERROR(LOOKUP(2,1/((GASTOS!$F$7:$F$5000=$A37)*(GASTOS!$L$7:$L$5000="Materiales y equipos")*(GASTOS!$I$7:$I$5000&lt;&gt;"")),GASTOS!$D$7:$D$5000),""))</f>
        <v/>
      </c>
      <c r="P37" s="10" t="str">
        <f aca="false">IF(D37="","",N(PRESUPUESTO!I33))</f>
        <v/>
      </c>
      <c r="Q37" s="36" t="str">
        <f aca="false">IF(OR(D37="",N37="",N(P37)=0),"",N37/P37-1)</f>
        <v/>
      </c>
      <c r="R37" s="10" t="str">
        <f aca="false">IF(OR(D37="",S37="Servicio"),"",H37*IF(N37&lt;&gt;"",N37,P37))</f>
        <v/>
      </c>
      <c r="S37" s="39" t="str">
        <f aca="false">IF(D37="","",IF(N(PRESUPUESTO!H33)=0,"Servicio",IF(G37=0,"Sin comprar",IF(G37&gt;=D37,"Comprado","Parcial"))))</f>
        <v/>
      </c>
      <c r="T37" s="86" t="str">
        <f aca="false">IF(AND(ISNUMBER(Q37),N(Q37)&gt;0.1),"Precio +"&amp;TEXT(Q37,"0%"),"")</f>
        <v/>
      </c>
      <c r="U37" s="0" t="str">
        <f aca="false">IF(OR(D37="",S37="Servicio"),"",MIN(G37,D37)*P37)</f>
        <v/>
      </c>
      <c r="V37" s="0" t="str">
        <f aca="false">IF(OR(D37="",S37="Servicio"),"",D37*P37)</f>
        <v/>
      </c>
    </row>
    <row r="38" customFormat="false" ht="16.5" hidden="false" customHeight="true" outlineLevel="0" collapsed="false">
      <c r="A38" s="23" t="str">
        <f aca="false">IF(PRESUPUESTO!$A34="Ítem",PRESUPUESTO!B34,"")</f>
        <v/>
      </c>
      <c r="B38" s="23" t="str">
        <f aca="false">IF(PRESUPUESTO!C34="","",PRESUPUESTO!C34)</f>
        <v/>
      </c>
      <c r="C38" s="86" t="str">
        <f aca="false">IF(PRESUPUESTO!$A34="Ítem",PRESUPUESTO!D34,"")</f>
        <v/>
      </c>
      <c r="D38" s="87" t="str">
        <f aca="false">IF(PRESUPUESTO!$A34&lt;&gt;"Ítem","",MAX(N(PRESUPUESTO!E34),N('CORTES CLIENTE'!L47)))</f>
        <v/>
      </c>
      <c r="E38" s="80"/>
      <c r="F38" s="87" t="str">
        <f aca="false">IF(D38="","",SUMIFS(GASTOS!$H$7:$H$5000,GASTOS!$F$7:$F$5000,$A38,GASTOS!$L$7:$L$5000,"Materiales y equipos"))</f>
        <v/>
      </c>
      <c r="G38" s="88" t="str">
        <f aca="false">IF(D38="","",N(E38)+F38)</f>
        <v/>
      </c>
      <c r="H38" s="88" t="str">
        <f aca="false">IF(OR(D38="",S38="Servicio"),"",MAX(0,D38-G38))</f>
        <v/>
      </c>
      <c r="I38" s="36" t="str">
        <f aca="false">IF(OR(D38="",S38="Servicio",N(D38)=0),"",MIN(1,G38/D38))</f>
        <v/>
      </c>
      <c r="J38" s="10" t="str">
        <f aca="false">IF(D38="","",PRESUPUESTO!O34)</f>
        <v/>
      </c>
      <c r="K38" s="10" t="str">
        <f aca="false">IF(D38="","",SUMIFS(GASTOS!$J$7:$J$5000,GASTOS!$F$7:$F$5000,$A38,GASTOS!$L$7:$L$5000,"Materiales y equipos"))</f>
        <v/>
      </c>
      <c r="L38" s="105" t="str">
        <f aca="false">IF(D38="","",COUNTIFS(GASTOS!$F$7:$F$5000,$A38,GASTOS!$L$7:$L$5000,"Materiales y equipos"))</f>
        <v/>
      </c>
      <c r="M38" s="10" t="str">
        <f aca="false">IF(OR(D38="",N(F38)=0),"",K38/F38)</f>
        <v/>
      </c>
      <c r="N38" s="10" t="str">
        <f aca="false">IF(OR(D38="",N(L38)=0),"",IFERROR(LOOKUP(2,1/((GASTOS!$F$7:$F$5000=$A38)*(GASTOS!$L$7:$L$5000="Materiales y equipos")*(GASTOS!$I$7:$I$5000&lt;&gt;"")),GASTOS!$I$7:$I$5000),""))</f>
        <v/>
      </c>
      <c r="O38" s="23" t="str">
        <f aca="false">IF(OR(D38="",N(L38)=0),"",IFERROR(LOOKUP(2,1/((GASTOS!$F$7:$F$5000=$A38)*(GASTOS!$L$7:$L$5000="Materiales y equipos")*(GASTOS!$I$7:$I$5000&lt;&gt;"")),GASTOS!$D$7:$D$5000),""))</f>
        <v/>
      </c>
      <c r="P38" s="10" t="str">
        <f aca="false">IF(D38="","",N(PRESUPUESTO!I34))</f>
        <v/>
      </c>
      <c r="Q38" s="36" t="str">
        <f aca="false">IF(OR(D38="",N38="",N(P38)=0),"",N38/P38-1)</f>
        <v/>
      </c>
      <c r="R38" s="10" t="str">
        <f aca="false">IF(OR(D38="",S38="Servicio"),"",H38*IF(N38&lt;&gt;"",N38,P38))</f>
        <v/>
      </c>
      <c r="S38" s="39" t="str">
        <f aca="false">IF(D38="","",IF(N(PRESUPUESTO!H34)=0,"Servicio",IF(G38=0,"Sin comprar",IF(G38&gt;=D38,"Comprado","Parcial"))))</f>
        <v/>
      </c>
      <c r="T38" s="86" t="str">
        <f aca="false">IF(AND(ISNUMBER(Q38),N(Q38)&gt;0.1),"Precio +"&amp;TEXT(Q38,"0%"),"")</f>
        <v/>
      </c>
      <c r="U38" s="0" t="str">
        <f aca="false">IF(OR(D38="",S38="Servicio"),"",MIN(G38,D38)*P38)</f>
        <v/>
      </c>
      <c r="V38" s="0" t="str">
        <f aca="false">IF(OR(D38="",S38="Servicio"),"",D38*P38)</f>
        <v/>
      </c>
    </row>
    <row r="39" customFormat="false" ht="16.5" hidden="false" customHeight="true" outlineLevel="0" collapsed="false">
      <c r="A39" s="23" t="str">
        <f aca="false">IF(PRESUPUESTO!$A35="Ítem",PRESUPUESTO!B35,"")</f>
        <v/>
      </c>
      <c r="B39" s="23" t="str">
        <f aca="false">IF(PRESUPUESTO!C35="","",PRESUPUESTO!C35)</f>
        <v/>
      </c>
      <c r="C39" s="86" t="str">
        <f aca="false">IF(PRESUPUESTO!$A35="Ítem",PRESUPUESTO!D35,"")</f>
        <v/>
      </c>
      <c r="D39" s="87" t="str">
        <f aca="false">IF(PRESUPUESTO!$A35&lt;&gt;"Ítem","",MAX(N(PRESUPUESTO!E35),N('CORTES CLIENTE'!L48)))</f>
        <v/>
      </c>
      <c r="E39" s="80"/>
      <c r="F39" s="87" t="str">
        <f aca="false">IF(D39="","",SUMIFS(GASTOS!$H$7:$H$5000,GASTOS!$F$7:$F$5000,$A39,GASTOS!$L$7:$L$5000,"Materiales y equipos"))</f>
        <v/>
      </c>
      <c r="G39" s="88" t="str">
        <f aca="false">IF(D39="","",N(E39)+F39)</f>
        <v/>
      </c>
      <c r="H39" s="88" t="str">
        <f aca="false">IF(OR(D39="",S39="Servicio"),"",MAX(0,D39-G39))</f>
        <v/>
      </c>
      <c r="I39" s="36" t="str">
        <f aca="false">IF(OR(D39="",S39="Servicio",N(D39)=0),"",MIN(1,G39/D39))</f>
        <v/>
      </c>
      <c r="J39" s="10" t="str">
        <f aca="false">IF(D39="","",PRESUPUESTO!O35)</f>
        <v/>
      </c>
      <c r="K39" s="10" t="str">
        <f aca="false">IF(D39="","",SUMIFS(GASTOS!$J$7:$J$5000,GASTOS!$F$7:$F$5000,$A39,GASTOS!$L$7:$L$5000,"Materiales y equipos"))</f>
        <v/>
      </c>
      <c r="L39" s="105" t="str">
        <f aca="false">IF(D39="","",COUNTIFS(GASTOS!$F$7:$F$5000,$A39,GASTOS!$L$7:$L$5000,"Materiales y equipos"))</f>
        <v/>
      </c>
      <c r="M39" s="10" t="str">
        <f aca="false">IF(OR(D39="",N(F39)=0),"",K39/F39)</f>
        <v/>
      </c>
      <c r="N39" s="10" t="str">
        <f aca="false">IF(OR(D39="",N(L39)=0),"",IFERROR(LOOKUP(2,1/((GASTOS!$F$7:$F$5000=$A39)*(GASTOS!$L$7:$L$5000="Materiales y equipos")*(GASTOS!$I$7:$I$5000&lt;&gt;"")),GASTOS!$I$7:$I$5000),""))</f>
        <v/>
      </c>
      <c r="O39" s="23" t="str">
        <f aca="false">IF(OR(D39="",N(L39)=0),"",IFERROR(LOOKUP(2,1/((GASTOS!$F$7:$F$5000=$A39)*(GASTOS!$L$7:$L$5000="Materiales y equipos")*(GASTOS!$I$7:$I$5000&lt;&gt;"")),GASTOS!$D$7:$D$5000),""))</f>
        <v/>
      </c>
      <c r="P39" s="10" t="str">
        <f aca="false">IF(D39="","",N(PRESUPUESTO!I35))</f>
        <v/>
      </c>
      <c r="Q39" s="36" t="str">
        <f aca="false">IF(OR(D39="",N39="",N(P39)=0),"",N39/P39-1)</f>
        <v/>
      </c>
      <c r="R39" s="10" t="str">
        <f aca="false">IF(OR(D39="",S39="Servicio"),"",H39*IF(N39&lt;&gt;"",N39,P39))</f>
        <v/>
      </c>
      <c r="S39" s="39" t="str">
        <f aca="false">IF(D39="","",IF(N(PRESUPUESTO!H35)=0,"Servicio",IF(G39=0,"Sin comprar",IF(G39&gt;=D39,"Comprado","Parcial"))))</f>
        <v/>
      </c>
      <c r="T39" s="86" t="str">
        <f aca="false">IF(AND(ISNUMBER(Q39),N(Q39)&gt;0.1),"Precio +"&amp;TEXT(Q39,"0%"),"")</f>
        <v/>
      </c>
      <c r="U39" s="0" t="str">
        <f aca="false">IF(OR(D39="",S39="Servicio"),"",MIN(G39,D39)*P39)</f>
        <v/>
      </c>
      <c r="V39" s="0" t="str">
        <f aca="false">IF(OR(D39="",S39="Servicio"),"",D39*P39)</f>
        <v/>
      </c>
    </row>
    <row r="40" customFormat="false" ht="16.5" hidden="false" customHeight="true" outlineLevel="0" collapsed="false">
      <c r="A40" s="23" t="str">
        <f aca="false">IF(PRESUPUESTO!$A36="Ítem",PRESUPUESTO!B36,"")</f>
        <v/>
      </c>
      <c r="B40" s="23" t="str">
        <f aca="false">IF(PRESUPUESTO!C36="","",PRESUPUESTO!C36)</f>
        <v/>
      </c>
      <c r="C40" s="86" t="str">
        <f aca="false">IF(PRESUPUESTO!$A36="Ítem",PRESUPUESTO!D36,"")</f>
        <v/>
      </c>
      <c r="D40" s="87" t="str">
        <f aca="false">IF(PRESUPUESTO!$A36&lt;&gt;"Ítem","",MAX(N(PRESUPUESTO!E36),N('CORTES CLIENTE'!L49)))</f>
        <v/>
      </c>
      <c r="E40" s="80"/>
      <c r="F40" s="87" t="str">
        <f aca="false">IF(D40="","",SUMIFS(GASTOS!$H$7:$H$5000,GASTOS!$F$7:$F$5000,$A40,GASTOS!$L$7:$L$5000,"Materiales y equipos"))</f>
        <v/>
      </c>
      <c r="G40" s="88" t="str">
        <f aca="false">IF(D40="","",N(E40)+F40)</f>
        <v/>
      </c>
      <c r="H40" s="88" t="str">
        <f aca="false">IF(OR(D40="",S40="Servicio"),"",MAX(0,D40-G40))</f>
        <v/>
      </c>
      <c r="I40" s="36" t="str">
        <f aca="false">IF(OR(D40="",S40="Servicio",N(D40)=0),"",MIN(1,G40/D40))</f>
        <v/>
      </c>
      <c r="J40" s="10" t="str">
        <f aca="false">IF(D40="","",PRESUPUESTO!O36)</f>
        <v/>
      </c>
      <c r="K40" s="10" t="str">
        <f aca="false">IF(D40="","",SUMIFS(GASTOS!$J$7:$J$5000,GASTOS!$F$7:$F$5000,$A40,GASTOS!$L$7:$L$5000,"Materiales y equipos"))</f>
        <v/>
      </c>
      <c r="L40" s="105" t="str">
        <f aca="false">IF(D40="","",COUNTIFS(GASTOS!$F$7:$F$5000,$A40,GASTOS!$L$7:$L$5000,"Materiales y equipos"))</f>
        <v/>
      </c>
      <c r="M40" s="10" t="str">
        <f aca="false">IF(OR(D40="",N(F40)=0),"",K40/F40)</f>
        <v/>
      </c>
      <c r="N40" s="10" t="str">
        <f aca="false">IF(OR(D40="",N(L40)=0),"",IFERROR(LOOKUP(2,1/((GASTOS!$F$7:$F$5000=$A40)*(GASTOS!$L$7:$L$5000="Materiales y equipos")*(GASTOS!$I$7:$I$5000&lt;&gt;"")),GASTOS!$I$7:$I$5000),""))</f>
        <v/>
      </c>
      <c r="O40" s="23" t="str">
        <f aca="false">IF(OR(D40="",N(L40)=0),"",IFERROR(LOOKUP(2,1/((GASTOS!$F$7:$F$5000=$A40)*(GASTOS!$L$7:$L$5000="Materiales y equipos")*(GASTOS!$I$7:$I$5000&lt;&gt;"")),GASTOS!$D$7:$D$5000),""))</f>
        <v/>
      </c>
      <c r="P40" s="10" t="str">
        <f aca="false">IF(D40="","",N(PRESUPUESTO!I36))</f>
        <v/>
      </c>
      <c r="Q40" s="36" t="str">
        <f aca="false">IF(OR(D40="",N40="",N(P40)=0),"",N40/P40-1)</f>
        <v/>
      </c>
      <c r="R40" s="10" t="str">
        <f aca="false">IF(OR(D40="",S40="Servicio"),"",H40*IF(N40&lt;&gt;"",N40,P40))</f>
        <v/>
      </c>
      <c r="S40" s="39" t="str">
        <f aca="false">IF(D40="","",IF(N(PRESUPUESTO!H36)=0,"Servicio",IF(G40=0,"Sin comprar",IF(G40&gt;=D40,"Comprado","Parcial"))))</f>
        <v/>
      </c>
      <c r="T40" s="86" t="str">
        <f aca="false">IF(AND(ISNUMBER(Q40),N(Q40)&gt;0.1),"Precio +"&amp;TEXT(Q40,"0%"),"")</f>
        <v/>
      </c>
      <c r="U40" s="0" t="str">
        <f aca="false">IF(OR(D40="",S40="Servicio"),"",MIN(G40,D40)*P40)</f>
        <v/>
      </c>
      <c r="V40" s="0" t="str">
        <f aca="false">IF(OR(D40="",S40="Servicio"),"",D40*P40)</f>
        <v/>
      </c>
    </row>
    <row r="41" customFormat="false" ht="16.5" hidden="false" customHeight="true" outlineLevel="0" collapsed="false">
      <c r="A41" s="23" t="str">
        <f aca="false">IF(PRESUPUESTO!$A37="Ítem",PRESUPUESTO!B37,"")</f>
        <v/>
      </c>
      <c r="B41" s="23" t="str">
        <f aca="false">IF(PRESUPUESTO!C37="","",PRESUPUESTO!C37)</f>
        <v/>
      </c>
      <c r="C41" s="86" t="str">
        <f aca="false">IF(PRESUPUESTO!$A37="Ítem",PRESUPUESTO!D37,"")</f>
        <v/>
      </c>
      <c r="D41" s="87" t="str">
        <f aca="false">IF(PRESUPUESTO!$A37&lt;&gt;"Ítem","",MAX(N(PRESUPUESTO!E37),N('CORTES CLIENTE'!L50)))</f>
        <v/>
      </c>
      <c r="E41" s="80"/>
      <c r="F41" s="87" t="str">
        <f aca="false">IF(D41="","",SUMIFS(GASTOS!$H$7:$H$5000,GASTOS!$F$7:$F$5000,$A41,GASTOS!$L$7:$L$5000,"Materiales y equipos"))</f>
        <v/>
      </c>
      <c r="G41" s="88" t="str">
        <f aca="false">IF(D41="","",N(E41)+F41)</f>
        <v/>
      </c>
      <c r="H41" s="88" t="str">
        <f aca="false">IF(OR(D41="",S41="Servicio"),"",MAX(0,D41-G41))</f>
        <v/>
      </c>
      <c r="I41" s="36" t="str">
        <f aca="false">IF(OR(D41="",S41="Servicio",N(D41)=0),"",MIN(1,G41/D41))</f>
        <v/>
      </c>
      <c r="J41" s="10" t="str">
        <f aca="false">IF(D41="","",PRESUPUESTO!O37)</f>
        <v/>
      </c>
      <c r="K41" s="10" t="str">
        <f aca="false">IF(D41="","",SUMIFS(GASTOS!$J$7:$J$5000,GASTOS!$F$7:$F$5000,$A41,GASTOS!$L$7:$L$5000,"Materiales y equipos"))</f>
        <v/>
      </c>
      <c r="L41" s="105" t="str">
        <f aca="false">IF(D41="","",COUNTIFS(GASTOS!$F$7:$F$5000,$A41,GASTOS!$L$7:$L$5000,"Materiales y equipos"))</f>
        <v/>
      </c>
      <c r="M41" s="10" t="str">
        <f aca="false">IF(OR(D41="",N(F41)=0),"",K41/F41)</f>
        <v/>
      </c>
      <c r="N41" s="10" t="str">
        <f aca="false">IF(OR(D41="",N(L41)=0),"",IFERROR(LOOKUP(2,1/((GASTOS!$F$7:$F$5000=$A41)*(GASTOS!$L$7:$L$5000="Materiales y equipos")*(GASTOS!$I$7:$I$5000&lt;&gt;"")),GASTOS!$I$7:$I$5000),""))</f>
        <v/>
      </c>
      <c r="O41" s="23" t="str">
        <f aca="false">IF(OR(D41="",N(L41)=0),"",IFERROR(LOOKUP(2,1/((GASTOS!$F$7:$F$5000=$A41)*(GASTOS!$L$7:$L$5000="Materiales y equipos")*(GASTOS!$I$7:$I$5000&lt;&gt;"")),GASTOS!$D$7:$D$5000),""))</f>
        <v/>
      </c>
      <c r="P41" s="10" t="str">
        <f aca="false">IF(D41="","",N(PRESUPUESTO!I37))</f>
        <v/>
      </c>
      <c r="Q41" s="36" t="str">
        <f aca="false">IF(OR(D41="",N41="",N(P41)=0),"",N41/P41-1)</f>
        <v/>
      </c>
      <c r="R41" s="10" t="str">
        <f aca="false">IF(OR(D41="",S41="Servicio"),"",H41*IF(N41&lt;&gt;"",N41,P41))</f>
        <v/>
      </c>
      <c r="S41" s="39" t="str">
        <f aca="false">IF(D41="","",IF(N(PRESUPUESTO!H37)=0,"Servicio",IF(G41=0,"Sin comprar",IF(G41&gt;=D41,"Comprado","Parcial"))))</f>
        <v/>
      </c>
      <c r="T41" s="86" t="str">
        <f aca="false">IF(AND(ISNUMBER(Q41),N(Q41)&gt;0.1),"Precio +"&amp;TEXT(Q41,"0%"),"")</f>
        <v/>
      </c>
      <c r="U41" s="0" t="str">
        <f aca="false">IF(OR(D41="",S41="Servicio"),"",MIN(G41,D41)*P41)</f>
        <v/>
      </c>
      <c r="V41" s="0" t="str">
        <f aca="false">IF(OR(D41="",S41="Servicio"),"",D41*P41)</f>
        <v/>
      </c>
    </row>
    <row r="42" customFormat="false" ht="16.5" hidden="false" customHeight="true" outlineLevel="0" collapsed="false">
      <c r="A42" s="23" t="str">
        <f aca="false">IF(PRESUPUESTO!$A38="Ítem",PRESUPUESTO!B38,"")</f>
        <v/>
      </c>
      <c r="B42" s="23" t="str">
        <f aca="false">IF(PRESUPUESTO!C38="","",PRESUPUESTO!C38)</f>
        <v/>
      </c>
      <c r="C42" s="86" t="str">
        <f aca="false">IF(PRESUPUESTO!$A38="Ítem",PRESUPUESTO!D38,"")</f>
        <v/>
      </c>
      <c r="D42" s="87" t="str">
        <f aca="false">IF(PRESUPUESTO!$A38&lt;&gt;"Ítem","",MAX(N(PRESUPUESTO!E38),N('CORTES CLIENTE'!L51)))</f>
        <v/>
      </c>
      <c r="E42" s="80"/>
      <c r="F42" s="87" t="str">
        <f aca="false">IF(D42="","",SUMIFS(GASTOS!$H$7:$H$5000,GASTOS!$F$7:$F$5000,$A42,GASTOS!$L$7:$L$5000,"Materiales y equipos"))</f>
        <v/>
      </c>
      <c r="G42" s="88" t="str">
        <f aca="false">IF(D42="","",N(E42)+F42)</f>
        <v/>
      </c>
      <c r="H42" s="88" t="str">
        <f aca="false">IF(OR(D42="",S42="Servicio"),"",MAX(0,D42-G42))</f>
        <v/>
      </c>
      <c r="I42" s="36" t="str">
        <f aca="false">IF(OR(D42="",S42="Servicio",N(D42)=0),"",MIN(1,G42/D42))</f>
        <v/>
      </c>
      <c r="J42" s="10" t="str">
        <f aca="false">IF(D42="","",PRESUPUESTO!O38)</f>
        <v/>
      </c>
      <c r="K42" s="10" t="str">
        <f aca="false">IF(D42="","",SUMIFS(GASTOS!$J$7:$J$5000,GASTOS!$F$7:$F$5000,$A42,GASTOS!$L$7:$L$5000,"Materiales y equipos"))</f>
        <v/>
      </c>
      <c r="L42" s="105" t="str">
        <f aca="false">IF(D42="","",COUNTIFS(GASTOS!$F$7:$F$5000,$A42,GASTOS!$L$7:$L$5000,"Materiales y equipos"))</f>
        <v/>
      </c>
      <c r="M42" s="10" t="str">
        <f aca="false">IF(OR(D42="",N(F42)=0),"",K42/F42)</f>
        <v/>
      </c>
      <c r="N42" s="10" t="str">
        <f aca="false">IF(OR(D42="",N(L42)=0),"",IFERROR(LOOKUP(2,1/((GASTOS!$F$7:$F$5000=$A42)*(GASTOS!$L$7:$L$5000="Materiales y equipos")*(GASTOS!$I$7:$I$5000&lt;&gt;"")),GASTOS!$I$7:$I$5000),""))</f>
        <v/>
      </c>
      <c r="O42" s="23" t="str">
        <f aca="false">IF(OR(D42="",N(L42)=0),"",IFERROR(LOOKUP(2,1/((GASTOS!$F$7:$F$5000=$A42)*(GASTOS!$L$7:$L$5000="Materiales y equipos")*(GASTOS!$I$7:$I$5000&lt;&gt;"")),GASTOS!$D$7:$D$5000),""))</f>
        <v/>
      </c>
      <c r="P42" s="10" t="str">
        <f aca="false">IF(D42="","",N(PRESUPUESTO!I38))</f>
        <v/>
      </c>
      <c r="Q42" s="36" t="str">
        <f aca="false">IF(OR(D42="",N42="",N(P42)=0),"",N42/P42-1)</f>
        <v/>
      </c>
      <c r="R42" s="10" t="str">
        <f aca="false">IF(OR(D42="",S42="Servicio"),"",H42*IF(N42&lt;&gt;"",N42,P42))</f>
        <v/>
      </c>
      <c r="S42" s="39" t="str">
        <f aca="false">IF(D42="","",IF(N(PRESUPUESTO!H38)=0,"Servicio",IF(G42=0,"Sin comprar",IF(G42&gt;=D42,"Comprado","Parcial"))))</f>
        <v/>
      </c>
      <c r="T42" s="86" t="str">
        <f aca="false">IF(AND(ISNUMBER(Q42),N(Q42)&gt;0.1),"Precio +"&amp;TEXT(Q42,"0%"),"")</f>
        <v/>
      </c>
      <c r="U42" s="0" t="str">
        <f aca="false">IF(OR(D42="",S42="Servicio"),"",MIN(G42,D42)*P42)</f>
        <v/>
      </c>
      <c r="V42" s="0" t="str">
        <f aca="false">IF(OR(D42="",S42="Servicio"),"",D42*P42)</f>
        <v/>
      </c>
    </row>
    <row r="43" customFormat="false" ht="16.5" hidden="false" customHeight="true" outlineLevel="0" collapsed="false">
      <c r="A43" s="23" t="str">
        <f aca="false">IF(PRESUPUESTO!$A39="Ítem",PRESUPUESTO!B39,"")</f>
        <v/>
      </c>
      <c r="B43" s="23" t="str">
        <f aca="false">IF(PRESUPUESTO!C39="","",PRESUPUESTO!C39)</f>
        <v/>
      </c>
      <c r="C43" s="86" t="str">
        <f aca="false">IF(PRESUPUESTO!$A39="Ítem",PRESUPUESTO!D39,"")</f>
        <v/>
      </c>
      <c r="D43" s="87" t="str">
        <f aca="false">IF(PRESUPUESTO!$A39&lt;&gt;"Ítem","",MAX(N(PRESUPUESTO!E39),N('CORTES CLIENTE'!L52)))</f>
        <v/>
      </c>
      <c r="E43" s="80"/>
      <c r="F43" s="87" t="str">
        <f aca="false">IF(D43="","",SUMIFS(GASTOS!$H$7:$H$5000,GASTOS!$F$7:$F$5000,$A43,GASTOS!$L$7:$L$5000,"Materiales y equipos"))</f>
        <v/>
      </c>
      <c r="G43" s="88" t="str">
        <f aca="false">IF(D43="","",N(E43)+F43)</f>
        <v/>
      </c>
      <c r="H43" s="88" t="str">
        <f aca="false">IF(OR(D43="",S43="Servicio"),"",MAX(0,D43-G43))</f>
        <v/>
      </c>
      <c r="I43" s="36" t="str">
        <f aca="false">IF(OR(D43="",S43="Servicio",N(D43)=0),"",MIN(1,G43/D43))</f>
        <v/>
      </c>
      <c r="J43" s="10" t="str">
        <f aca="false">IF(D43="","",PRESUPUESTO!O39)</f>
        <v/>
      </c>
      <c r="K43" s="10" t="str">
        <f aca="false">IF(D43="","",SUMIFS(GASTOS!$J$7:$J$5000,GASTOS!$F$7:$F$5000,$A43,GASTOS!$L$7:$L$5000,"Materiales y equipos"))</f>
        <v/>
      </c>
      <c r="L43" s="105" t="str">
        <f aca="false">IF(D43="","",COUNTIFS(GASTOS!$F$7:$F$5000,$A43,GASTOS!$L$7:$L$5000,"Materiales y equipos"))</f>
        <v/>
      </c>
      <c r="M43" s="10" t="str">
        <f aca="false">IF(OR(D43="",N(F43)=0),"",K43/F43)</f>
        <v/>
      </c>
      <c r="N43" s="10" t="str">
        <f aca="false">IF(OR(D43="",N(L43)=0),"",IFERROR(LOOKUP(2,1/((GASTOS!$F$7:$F$5000=$A43)*(GASTOS!$L$7:$L$5000="Materiales y equipos")*(GASTOS!$I$7:$I$5000&lt;&gt;"")),GASTOS!$I$7:$I$5000),""))</f>
        <v/>
      </c>
      <c r="O43" s="23" t="str">
        <f aca="false">IF(OR(D43="",N(L43)=0),"",IFERROR(LOOKUP(2,1/((GASTOS!$F$7:$F$5000=$A43)*(GASTOS!$L$7:$L$5000="Materiales y equipos")*(GASTOS!$I$7:$I$5000&lt;&gt;"")),GASTOS!$D$7:$D$5000),""))</f>
        <v/>
      </c>
      <c r="P43" s="10" t="str">
        <f aca="false">IF(D43="","",N(PRESUPUESTO!I39))</f>
        <v/>
      </c>
      <c r="Q43" s="36" t="str">
        <f aca="false">IF(OR(D43="",N43="",N(P43)=0),"",N43/P43-1)</f>
        <v/>
      </c>
      <c r="R43" s="10" t="str">
        <f aca="false">IF(OR(D43="",S43="Servicio"),"",H43*IF(N43&lt;&gt;"",N43,P43))</f>
        <v/>
      </c>
      <c r="S43" s="39" t="str">
        <f aca="false">IF(D43="","",IF(N(PRESUPUESTO!H39)=0,"Servicio",IF(G43=0,"Sin comprar",IF(G43&gt;=D43,"Comprado","Parcial"))))</f>
        <v/>
      </c>
      <c r="T43" s="86" t="str">
        <f aca="false">IF(AND(ISNUMBER(Q43),N(Q43)&gt;0.1),"Precio +"&amp;TEXT(Q43,"0%"),"")</f>
        <v/>
      </c>
      <c r="U43" s="0" t="str">
        <f aca="false">IF(OR(D43="",S43="Servicio"),"",MIN(G43,D43)*P43)</f>
        <v/>
      </c>
      <c r="V43" s="0" t="str">
        <f aca="false">IF(OR(D43="",S43="Servicio"),"",D43*P43)</f>
        <v/>
      </c>
    </row>
    <row r="44" customFormat="false" ht="16.5" hidden="false" customHeight="true" outlineLevel="0" collapsed="false">
      <c r="A44" s="23" t="str">
        <f aca="false">IF(PRESUPUESTO!$A40="Ítem",PRESUPUESTO!B40,"")</f>
        <v/>
      </c>
      <c r="B44" s="23" t="str">
        <f aca="false">IF(PRESUPUESTO!C40="","",PRESUPUESTO!C40)</f>
        <v/>
      </c>
      <c r="C44" s="86" t="str">
        <f aca="false">IF(PRESUPUESTO!$A40="Ítem",PRESUPUESTO!D40,"")</f>
        <v/>
      </c>
      <c r="D44" s="87" t="str">
        <f aca="false">IF(PRESUPUESTO!$A40&lt;&gt;"Ítem","",MAX(N(PRESUPUESTO!E40),N('CORTES CLIENTE'!L53)))</f>
        <v/>
      </c>
      <c r="E44" s="80"/>
      <c r="F44" s="87" t="str">
        <f aca="false">IF(D44="","",SUMIFS(GASTOS!$H$7:$H$5000,GASTOS!$F$7:$F$5000,$A44,GASTOS!$L$7:$L$5000,"Materiales y equipos"))</f>
        <v/>
      </c>
      <c r="G44" s="88" t="str">
        <f aca="false">IF(D44="","",N(E44)+F44)</f>
        <v/>
      </c>
      <c r="H44" s="88" t="str">
        <f aca="false">IF(OR(D44="",S44="Servicio"),"",MAX(0,D44-G44))</f>
        <v/>
      </c>
      <c r="I44" s="36" t="str">
        <f aca="false">IF(OR(D44="",S44="Servicio",N(D44)=0),"",MIN(1,G44/D44))</f>
        <v/>
      </c>
      <c r="J44" s="10" t="str">
        <f aca="false">IF(D44="","",PRESUPUESTO!O40)</f>
        <v/>
      </c>
      <c r="K44" s="10" t="str">
        <f aca="false">IF(D44="","",SUMIFS(GASTOS!$J$7:$J$5000,GASTOS!$F$7:$F$5000,$A44,GASTOS!$L$7:$L$5000,"Materiales y equipos"))</f>
        <v/>
      </c>
      <c r="L44" s="105" t="str">
        <f aca="false">IF(D44="","",COUNTIFS(GASTOS!$F$7:$F$5000,$A44,GASTOS!$L$7:$L$5000,"Materiales y equipos"))</f>
        <v/>
      </c>
      <c r="M44" s="10" t="str">
        <f aca="false">IF(OR(D44="",N(F44)=0),"",K44/F44)</f>
        <v/>
      </c>
      <c r="N44" s="10" t="str">
        <f aca="false">IF(OR(D44="",N(L44)=0),"",IFERROR(LOOKUP(2,1/((GASTOS!$F$7:$F$5000=$A44)*(GASTOS!$L$7:$L$5000="Materiales y equipos")*(GASTOS!$I$7:$I$5000&lt;&gt;"")),GASTOS!$I$7:$I$5000),""))</f>
        <v/>
      </c>
      <c r="O44" s="23" t="str">
        <f aca="false">IF(OR(D44="",N(L44)=0),"",IFERROR(LOOKUP(2,1/((GASTOS!$F$7:$F$5000=$A44)*(GASTOS!$L$7:$L$5000="Materiales y equipos")*(GASTOS!$I$7:$I$5000&lt;&gt;"")),GASTOS!$D$7:$D$5000),""))</f>
        <v/>
      </c>
      <c r="P44" s="10" t="str">
        <f aca="false">IF(D44="","",N(PRESUPUESTO!I40))</f>
        <v/>
      </c>
      <c r="Q44" s="36" t="str">
        <f aca="false">IF(OR(D44="",N44="",N(P44)=0),"",N44/P44-1)</f>
        <v/>
      </c>
      <c r="R44" s="10" t="str">
        <f aca="false">IF(OR(D44="",S44="Servicio"),"",H44*IF(N44&lt;&gt;"",N44,P44))</f>
        <v/>
      </c>
      <c r="S44" s="39" t="str">
        <f aca="false">IF(D44="","",IF(N(PRESUPUESTO!H40)=0,"Servicio",IF(G44=0,"Sin comprar",IF(G44&gt;=D44,"Comprado","Parcial"))))</f>
        <v/>
      </c>
      <c r="T44" s="86" t="str">
        <f aca="false">IF(AND(ISNUMBER(Q44),N(Q44)&gt;0.1),"Precio +"&amp;TEXT(Q44,"0%"),"")</f>
        <v/>
      </c>
      <c r="U44" s="0" t="str">
        <f aca="false">IF(OR(D44="",S44="Servicio"),"",MIN(G44,D44)*P44)</f>
        <v/>
      </c>
      <c r="V44" s="0" t="str">
        <f aca="false">IF(OR(D44="",S44="Servicio"),"",D44*P44)</f>
        <v/>
      </c>
    </row>
    <row r="45" customFormat="false" ht="16.5" hidden="false" customHeight="true" outlineLevel="0" collapsed="false">
      <c r="A45" s="23" t="str">
        <f aca="false">IF(PRESUPUESTO!$A41="Ítem",PRESUPUESTO!B41,"")</f>
        <v/>
      </c>
      <c r="B45" s="23" t="str">
        <f aca="false">IF(PRESUPUESTO!C41="","",PRESUPUESTO!C41)</f>
        <v/>
      </c>
      <c r="C45" s="86" t="str">
        <f aca="false">IF(PRESUPUESTO!$A41="Ítem",PRESUPUESTO!D41,"")</f>
        <v/>
      </c>
      <c r="D45" s="87" t="str">
        <f aca="false">IF(PRESUPUESTO!$A41&lt;&gt;"Ítem","",MAX(N(PRESUPUESTO!E41),N('CORTES CLIENTE'!L54)))</f>
        <v/>
      </c>
      <c r="E45" s="80"/>
      <c r="F45" s="87" t="str">
        <f aca="false">IF(D45="","",SUMIFS(GASTOS!$H$7:$H$5000,GASTOS!$F$7:$F$5000,$A45,GASTOS!$L$7:$L$5000,"Materiales y equipos"))</f>
        <v/>
      </c>
      <c r="G45" s="88" t="str">
        <f aca="false">IF(D45="","",N(E45)+F45)</f>
        <v/>
      </c>
      <c r="H45" s="88" t="str">
        <f aca="false">IF(OR(D45="",S45="Servicio"),"",MAX(0,D45-G45))</f>
        <v/>
      </c>
      <c r="I45" s="36" t="str">
        <f aca="false">IF(OR(D45="",S45="Servicio",N(D45)=0),"",MIN(1,G45/D45))</f>
        <v/>
      </c>
      <c r="J45" s="10" t="str">
        <f aca="false">IF(D45="","",PRESUPUESTO!O41)</f>
        <v/>
      </c>
      <c r="K45" s="10" t="str">
        <f aca="false">IF(D45="","",SUMIFS(GASTOS!$J$7:$J$5000,GASTOS!$F$7:$F$5000,$A45,GASTOS!$L$7:$L$5000,"Materiales y equipos"))</f>
        <v/>
      </c>
      <c r="L45" s="105" t="str">
        <f aca="false">IF(D45="","",COUNTIFS(GASTOS!$F$7:$F$5000,$A45,GASTOS!$L$7:$L$5000,"Materiales y equipos"))</f>
        <v/>
      </c>
      <c r="M45" s="10" t="str">
        <f aca="false">IF(OR(D45="",N(F45)=0),"",K45/F45)</f>
        <v/>
      </c>
      <c r="N45" s="10" t="str">
        <f aca="false">IF(OR(D45="",N(L45)=0),"",IFERROR(LOOKUP(2,1/((GASTOS!$F$7:$F$5000=$A45)*(GASTOS!$L$7:$L$5000="Materiales y equipos")*(GASTOS!$I$7:$I$5000&lt;&gt;"")),GASTOS!$I$7:$I$5000),""))</f>
        <v/>
      </c>
      <c r="O45" s="23" t="str">
        <f aca="false">IF(OR(D45="",N(L45)=0),"",IFERROR(LOOKUP(2,1/((GASTOS!$F$7:$F$5000=$A45)*(GASTOS!$L$7:$L$5000="Materiales y equipos")*(GASTOS!$I$7:$I$5000&lt;&gt;"")),GASTOS!$D$7:$D$5000),""))</f>
        <v/>
      </c>
      <c r="P45" s="10" t="str">
        <f aca="false">IF(D45="","",N(PRESUPUESTO!I41))</f>
        <v/>
      </c>
      <c r="Q45" s="36" t="str">
        <f aca="false">IF(OR(D45="",N45="",N(P45)=0),"",N45/P45-1)</f>
        <v/>
      </c>
      <c r="R45" s="10" t="str">
        <f aca="false">IF(OR(D45="",S45="Servicio"),"",H45*IF(N45&lt;&gt;"",N45,P45))</f>
        <v/>
      </c>
      <c r="S45" s="39" t="str">
        <f aca="false">IF(D45="","",IF(N(PRESUPUESTO!H41)=0,"Servicio",IF(G45=0,"Sin comprar",IF(G45&gt;=D45,"Comprado","Parcial"))))</f>
        <v/>
      </c>
      <c r="T45" s="86" t="str">
        <f aca="false">IF(AND(ISNUMBER(Q45),N(Q45)&gt;0.1),"Precio +"&amp;TEXT(Q45,"0%"),"")</f>
        <v/>
      </c>
      <c r="U45" s="0" t="str">
        <f aca="false">IF(OR(D45="",S45="Servicio"),"",MIN(G45,D45)*P45)</f>
        <v/>
      </c>
      <c r="V45" s="0" t="str">
        <f aca="false">IF(OR(D45="",S45="Servicio"),"",D45*P45)</f>
        <v/>
      </c>
    </row>
    <row r="46" customFormat="false" ht="16.5" hidden="false" customHeight="true" outlineLevel="0" collapsed="false">
      <c r="A46" s="23" t="str">
        <f aca="false">IF(PRESUPUESTO!$A42="Ítem",PRESUPUESTO!B42,"")</f>
        <v/>
      </c>
      <c r="B46" s="23" t="str">
        <f aca="false">IF(PRESUPUESTO!C42="","",PRESUPUESTO!C42)</f>
        <v/>
      </c>
      <c r="C46" s="86" t="str">
        <f aca="false">IF(PRESUPUESTO!$A42="Ítem",PRESUPUESTO!D42,"")</f>
        <v/>
      </c>
      <c r="D46" s="87" t="str">
        <f aca="false">IF(PRESUPUESTO!$A42&lt;&gt;"Ítem","",MAX(N(PRESUPUESTO!E42),N('CORTES CLIENTE'!L55)))</f>
        <v/>
      </c>
      <c r="E46" s="80"/>
      <c r="F46" s="87" t="str">
        <f aca="false">IF(D46="","",SUMIFS(GASTOS!$H$7:$H$5000,GASTOS!$F$7:$F$5000,$A46,GASTOS!$L$7:$L$5000,"Materiales y equipos"))</f>
        <v/>
      </c>
      <c r="G46" s="88" t="str">
        <f aca="false">IF(D46="","",N(E46)+F46)</f>
        <v/>
      </c>
      <c r="H46" s="88" t="str">
        <f aca="false">IF(OR(D46="",S46="Servicio"),"",MAX(0,D46-G46))</f>
        <v/>
      </c>
      <c r="I46" s="36" t="str">
        <f aca="false">IF(OR(D46="",S46="Servicio",N(D46)=0),"",MIN(1,G46/D46))</f>
        <v/>
      </c>
      <c r="J46" s="10" t="str">
        <f aca="false">IF(D46="","",PRESUPUESTO!O42)</f>
        <v/>
      </c>
      <c r="K46" s="10" t="str">
        <f aca="false">IF(D46="","",SUMIFS(GASTOS!$J$7:$J$5000,GASTOS!$F$7:$F$5000,$A46,GASTOS!$L$7:$L$5000,"Materiales y equipos"))</f>
        <v/>
      </c>
      <c r="L46" s="105" t="str">
        <f aca="false">IF(D46="","",COUNTIFS(GASTOS!$F$7:$F$5000,$A46,GASTOS!$L$7:$L$5000,"Materiales y equipos"))</f>
        <v/>
      </c>
      <c r="M46" s="10" t="str">
        <f aca="false">IF(OR(D46="",N(F46)=0),"",K46/F46)</f>
        <v/>
      </c>
      <c r="N46" s="10" t="str">
        <f aca="false">IF(OR(D46="",N(L46)=0),"",IFERROR(LOOKUP(2,1/((GASTOS!$F$7:$F$5000=$A46)*(GASTOS!$L$7:$L$5000="Materiales y equipos")*(GASTOS!$I$7:$I$5000&lt;&gt;"")),GASTOS!$I$7:$I$5000),""))</f>
        <v/>
      </c>
      <c r="O46" s="23" t="str">
        <f aca="false">IF(OR(D46="",N(L46)=0),"",IFERROR(LOOKUP(2,1/((GASTOS!$F$7:$F$5000=$A46)*(GASTOS!$L$7:$L$5000="Materiales y equipos")*(GASTOS!$I$7:$I$5000&lt;&gt;"")),GASTOS!$D$7:$D$5000),""))</f>
        <v/>
      </c>
      <c r="P46" s="10" t="str">
        <f aca="false">IF(D46="","",N(PRESUPUESTO!I42))</f>
        <v/>
      </c>
      <c r="Q46" s="36" t="str">
        <f aca="false">IF(OR(D46="",N46="",N(P46)=0),"",N46/P46-1)</f>
        <v/>
      </c>
      <c r="R46" s="10" t="str">
        <f aca="false">IF(OR(D46="",S46="Servicio"),"",H46*IF(N46&lt;&gt;"",N46,P46))</f>
        <v/>
      </c>
      <c r="S46" s="39" t="str">
        <f aca="false">IF(D46="","",IF(N(PRESUPUESTO!H42)=0,"Servicio",IF(G46=0,"Sin comprar",IF(G46&gt;=D46,"Comprado","Parcial"))))</f>
        <v/>
      </c>
      <c r="T46" s="86" t="str">
        <f aca="false">IF(AND(ISNUMBER(Q46),N(Q46)&gt;0.1),"Precio +"&amp;TEXT(Q46,"0%"),"")</f>
        <v/>
      </c>
      <c r="U46" s="0" t="str">
        <f aca="false">IF(OR(D46="",S46="Servicio"),"",MIN(G46,D46)*P46)</f>
        <v/>
      </c>
      <c r="V46" s="0" t="str">
        <f aca="false">IF(OR(D46="",S46="Servicio"),"",D46*P46)</f>
        <v/>
      </c>
    </row>
    <row r="47" customFormat="false" ht="16.5" hidden="false" customHeight="true" outlineLevel="0" collapsed="false">
      <c r="A47" s="23" t="str">
        <f aca="false">IF(PRESUPUESTO!$A43="Ítem",PRESUPUESTO!B43,"")</f>
        <v/>
      </c>
      <c r="B47" s="23" t="str">
        <f aca="false">IF(PRESUPUESTO!C43="","",PRESUPUESTO!C43)</f>
        <v/>
      </c>
      <c r="C47" s="86" t="str">
        <f aca="false">IF(PRESUPUESTO!$A43="Ítem",PRESUPUESTO!D43,"")</f>
        <v/>
      </c>
      <c r="D47" s="87" t="str">
        <f aca="false">IF(PRESUPUESTO!$A43&lt;&gt;"Ítem","",MAX(N(PRESUPUESTO!E43),N('CORTES CLIENTE'!L56)))</f>
        <v/>
      </c>
      <c r="E47" s="80"/>
      <c r="F47" s="87" t="str">
        <f aca="false">IF(D47="","",SUMIFS(GASTOS!$H$7:$H$5000,GASTOS!$F$7:$F$5000,$A47,GASTOS!$L$7:$L$5000,"Materiales y equipos"))</f>
        <v/>
      </c>
      <c r="G47" s="88" t="str">
        <f aca="false">IF(D47="","",N(E47)+F47)</f>
        <v/>
      </c>
      <c r="H47" s="88" t="str">
        <f aca="false">IF(OR(D47="",S47="Servicio"),"",MAX(0,D47-G47))</f>
        <v/>
      </c>
      <c r="I47" s="36" t="str">
        <f aca="false">IF(OR(D47="",S47="Servicio",N(D47)=0),"",MIN(1,G47/D47))</f>
        <v/>
      </c>
      <c r="J47" s="10" t="str">
        <f aca="false">IF(D47="","",PRESUPUESTO!O43)</f>
        <v/>
      </c>
      <c r="K47" s="10" t="str">
        <f aca="false">IF(D47="","",SUMIFS(GASTOS!$J$7:$J$5000,GASTOS!$F$7:$F$5000,$A47,GASTOS!$L$7:$L$5000,"Materiales y equipos"))</f>
        <v/>
      </c>
      <c r="L47" s="105" t="str">
        <f aca="false">IF(D47="","",COUNTIFS(GASTOS!$F$7:$F$5000,$A47,GASTOS!$L$7:$L$5000,"Materiales y equipos"))</f>
        <v/>
      </c>
      <c r="M47" s="10" t="str">
        <f aca="false">IF(OR(D47="",N(F47)=0),"",K47/F47)</f>
        <v/>
      </c>
      <c r="N47" s="10" t="str">
        <f aca="false">IF(OR(D47="",N(L47)=0),"",IFERROR(LOOKUP(2,1/((GASTOS!$F$7:$F$5000=$A47)*(GASTOS!$L$7:$L$5000="Materiales y equipos")*(GASTOS!$I$7:$I$5000&lt;&gt;"")),GASTOS!$I$7:$I$5000),""))</f>
        <v/>
      </c>
      <c r="O47" s="23" t="str">
        <f aca="false">IF(OR(D47="",N(L47)=0),"",IFERROR(LOOKUP(2,1/((GASTOS!$F$7:$F$5000=$A47)*(GASTOS!$L$7:$L$5000="Materiales y equipos")*(GASTOS!$I$7:$I$5000&lt;&gt;"")),GASTOS!$D$7:$D$5000),""))</f>
        <v/>
      </c>
      <c r="P47" s="10" t="str">
        <f aca="false">IF(D47="","",N(PRESUPUESTO!I43))</f>
        <v/>
      </c>
      <c r="Q47" s="36" t="str">
        <f aca="false">IF(OR(D47="",N47="",N(P47)=0),"",N47/P47-1)</f>
        <v/>
      </c>
      <c r="R47" s="10" t="str">
        <f aca="false">IF(OR(D47="",S47="Servicio"),"",H47*IF(N47&lt;&gt;"",N47,P47))</f>
        <v/>
      </c>
      <c r="S47" s="39" t="str">
        <f aca="false">IF(D47="","",IF(N(PRESUPUESTO!H43)=0,"Servicio",IF(G47=0,"Sin comprar",IF(G47&gt;=D47,"Comprado","Parcial"))))</f>
        <v/>
      </c>
      <c r="T47" s="86" t="str">
        <f aca="false">IF(AND(ISNUMBER(Q47),N(Q47)&gt;0.1),"Precio +"&amp;TEXT(Q47,"0%"),"")</f>
        <v/>
      </c>
      <c r="U47" s="0" t="str">
        <f aca="false">IF(OR(D47="",S47="Servicio"),"",MIN(G47,D47)*P47)</f>
        <v/>
      </c>
      <c r="V47" s="0" t="str">
        <f aca="false">IF(OR(D47="",S47="Servicio"),"",D47*P47)</f>
        <v/>
      </c>
    </row>
    <row r="48" customFormat="false" ht="16.5" hidden="false" customHeight="true" outlineLevel="0" collapsed="false">
      <c r="A48" s="23" t="str">
        <f aca="false">IF(PRESUPUESTO!$A44="Ítem",PRESUPUESTO!B44,"")</f>
        <v/>
      </c>
      <c r="B48" s="23" t="str">
        <f aca="false">IF(PRESUPUESTO!C44="","",PRESUPUESTO!C44)</f>
        <v/>
      </c>
      <c r="C48" s="86" t="str">
        <f aca="false">IF(PRESUPUESTO!$A44="Ítem",PRESUPUESTO!D44,"")</f>
        <v/>
      </c>
      <c r="D48" s="87" t="str">
        <f aca="false">IF(PRESUPUESTO!$A44&lt;&gt;"Ítem","",MAX(N(PRESUPUESTO!E44),N('CORTES CLIENTE'!L57)))</f>
        <v/>
      </c>
      <c r="E48" s="80"/>
      <c r="F48" s="87" t="str">
        <f aca="false">IF(D48="","",SUMIFS(GASTOS!$H$7:$H$5000,GASTOS!$F$7:$F$5000,$A48,GASTOS!$L$7:$L$5000,"Materiales y equipos"))</f>
        <v/>
      </c>
      <c r="G48" s="88" t="str">
        <f aca="false">IF(D48="","",N(E48)+F48)</f>
        <v/>
      </c>
      <c r="H48" s="88" t="str">
        <f aca="false">IF(OR(D48="",S48="Servicio"),"",MAX(0,D48-G48))</f>
        <v/>
      </c>
      <c r="I48" s="36" t="str">
        <f aca="false">IF(OR(D48="",S48="Servicio",N(D48)=0),"",MIN(1,G48/D48))</f>
        <v/>
      </c>
      <c r="J48" s="10" t="str">
        <f aca="false">IF(D48="","",PRESUPUESTO!O44)</f>
        <v/>
      </c>
      <c r="K48" s="10" t="str">
        <f aca="false">IF(D48="","",SUMIFS(GASTOS!$J$7:$J$5000,GASTOS!$F$7:$F$5000,$A48,GASTOS!$L$7:$L$5000,"Materiales y equipos"))</f>
        <v/>
      </c>
      <c r="L48" s="105" t="str">
        <f aca="false">IF(D48="","",COUNTIFS(GASTOS!$F$7:$F$5000,$A48,GASTOS!$L$7:$L$5000,"Materiales y equipos"))</f>
        <v/>
      </c>
      <c r="M48" s="10" t="str">
        <f aca="false">IF(OR(D48="",N(F48)=0),"",K48/F48)</f>
        <v/>
      </c>
      <c r="N48" s="10" t="str">
        <f aca="false">IF(OR(D48="",N(L48)=0),"",IFERROR(LOOKUP(2,1/((GASTOS!$F$7:$F$5000=$A48)*(GASTOS!$L$7:$L$5000="Materiales y equipos")*(GASTOS!$I$7:$I$5000&lt;&gt;"")),GASTOS!$I$7:$I$5000),""))</f>
        <v/>
      </c>
      <c r="O48" s="23" t="str">
        <f aca="false">IF(OR(D48="",N(L48)=0),"",IFERROR(LOOKUP(2,1/((GASTOS!$F$7:$F$5000=$A48)*(GASTOS!$L$7:$L$5000="Materiales y equipos")*(GASTOS!$I$7:$I$5000&lt;&gt;"")),GASTOS!$D$7:$D$5000),""))</f>
        <v/>
      </c>
      <c r="P48" s="10" t="str">
        <f aca="false">IF(D48="","",N(PRESUPUESTO!I44))</f>
        <v/>
      </c>
      <c r="Q48" s="36" t="str">
        <f aca="false">IF(OR(D48="",N48="",N(P48)=0),"",N48/P48-1)</f>
        <v/>
      </c>
      <c r="R48" s="10" t="str">
        <f aca="false">IF(OR(D48="",S48="Servicio"),"",H48*IF(N48&lt;&gt;"",N48,P48))</f>
        <v/>
      </c>
      <c r="S48" s="39" t="str">
        <f aca="false">IF(D48="","",IF(N(PRESUPUESTO!H44)=0,"Servicio",IF(G48=0,"Sin comprar",IF(G48&gt;=D48,"Comprado","Parcial"))))</f>
        <v/>
      </c>
      <c r="T48" s="86" t="str">
        <f aca="false">IF(AND(ISNUMBER(Q48),N(Q48)&gt;0.1),"Precio +"&amp;TEXT(Q48,"0%"),"")</f>
        <v/>
      </c>
      <c r="U48" s="0" t="str">
        <f aca="false">IF(OR(D48="",S48="Servicio"),"",MIN(G48,D48)*P48)</f>
        <v/>
      </c>
      <c r="V48" s="0" t="str">
        <f aca="false">IF(OR(D48="",S48="Servicio"),"",D48*P48)</f>
        <v/>
      </c>
    </row>
    <row r="49" customFormat="false" ht="16.5" hidden="false" customHeight="true" outlineLevel="0" collapsed="false">
      <c r="A49" s="23" t="str">
        <f aca="false">IF(PRESUPUESTO!$A45="Ítem",PRESUPUESTO!B45,"")</f>
        <v/>
      </c>
      <c r="B49" s="23" t="str">
        <f aca="false">IF(PRESUPUESTO!C45="","",PRESUPUESTO!C45)</f>
        <v/>
      </c>
      <c r="C49" s="86" t="str">
        <f aca="false">IF(PRESUPUESTO!$A45="Ítem",PRESUPUESTO!D45,"")</f>
        <v/>
      </c>
      <c r="D49" s="87" t="str">
        <f aca="false">IF(PRESUPUESTO!$A45&lt;&gt;"Ítem","",MAX(N(PRESUPUESTO!E45),N('CORTES CLIENTE'!L58)))</f>
        <v/>
      </c>
      <c r="E49" s="80"/>
      <c r="F49" s="87" t="str">
        <f aca="false">IF(D49="","",SUMIFS(GASTOS!$H$7:$H$5000,GASTOS!$F$7:$F$5000,$A49,GASTOS!$L$7:$L$5000,"Materiales y equipos"))</f>
        <v/>
      </c>
      <c r="G49" s="88" t="str">
        <f aca="false">IF(D49="","",N(E49)+F49)</f>
        <v/>
      </c>
      <c r="H49" s="88" t="str">
        <f aca="false">IF(OR(D49="",S49="Servicio"),"",MAX(0,D49-G49))</f>
        <v/>
      </c>
      <c r="I49" s="36" t="str">
        <f aca="false">IF(OR(D49="",S49="Servicio",N(D49)=0),"",MIN(1,G49/D49))</f>
        <v/>
      </c>
      <c r="J49" s="10" t="str">
        <f aca="false">IF(D49="","",PRESUPUESTO!O45)</f>
        <v/>
      </c>
      <c r="K49" s="10" t="str">
        <f aca="false">IF(D49="","",SUMIFS(GASTOS!$J$7:$J$5000,GASTOS!$F$7:$F$5000,$A49,GASTOS!$L$7:$L$5000,"Materiales y equipos"))</f>
        <v/>
      </c>
      <c r="L49" s="105" t="str">
        <f aca="false">IF(D49="","",COUNTIFS(GASTOS!$F$7:$F$5000,$A49,GASTOS!$L$7:$L$5000,"Materiales y equipos"))</f>
        <v/>
      </c>
      <c r="M49" s="10" t="str">
        <f aca="false">IF(OR(D49="",N(F49)=0),"",K49/F49)</f>
        <v/>
      </c>
      <c r="N49" s="10" t="str">
        <f aca="false">IF(OR(D49="",N(L49)=0),"",IFERROR(LOOKUP(2,1/((GASTOS!$F$7:$F$5000=$A49)*(GASTOS!$L$7:$L$5000="Materiales y equipos")*(GASTOS!$I$7:$I$5000&lt;&gt;"")),GASTOS!$I$7:$I$5000),""))</f>
        <v/>
      </c>
      <c r="O49" s="23" t="str">
        <f aca="false">IF(OR(D49="",N(L49)=0),"",IFERROR(LOOKUP(2,1/((GASTOS!$F$7:$F$5000=$A49)*(GASTOS!$L$7:$L$5000="Materiales y equipos")*(GASTOS!$I$7:$I$5000&lt;&gt;"")),GASTOS!$D$7:$D$5000),""))</f>
        <v/>
      </c>
      <c r="P49" s="10" t="str">
        <f aca="false">IF(D49="","",N(PRESUPUESTO!I45))</f>
        <v/>
      </c>
      <c r="Q49" s="36" t="str">
        <f aca="false">IF(OR(D49="",N49="",N(P49)=0),"",N49/P49-1)</f>
        <v/>
      </c>
      <c r="R49" s="10" t="str">
        <f aca="false">IF(OR(D49="",S49="Servicio"),"",H49*IF(N49&lt;&gt;"",N49,P49))</f>
        <v/>
      </c>
      <c r="S49" s="39" t="str">
        <f aca="false">IF(D49="","",IF(N(PRESUPUESTO!H45)=0,"Servicio",IF(G49=0,"Sin comprar",IF(G49&gt;=D49,"Comprado","Parcial"))))</f>
        <v/>
      </c>
      <c r="T49" s="86" t="str">
        <f aca="false">IF(AND(ISNUMBER(Q49),N(Q49)&gt;0.1),"Precio +"&amp;TEXT(Q49,"0%"),"")</f>
        <v/>
      </c>
      <c r="U49" s="0" t="str">
        <f aca="false">IF(OR(D49="",S49="Servicio"),"",MIN(G49,D49)*P49)</f>
        <v/>
      </c>
      <c r="V49" s="0" t="str">
        <f aca="false">IF(OR(D49="",S49="Servicio"),"",D49*P49)</f>
        <v/>
      </c>
    </row>
    <row r="50" customFormat="false" ht="16.5" hidden="false" customHeight="true" outlineLevel="0" collapsed="false">
      <c r="A50" s="23" t="str">
        <f aca="false">IF(PRESUPUESTO!$A46="Ítem",PRESUPUESTO!B46,"")</f>
        <v/>
      </c>
      <c r="B50" s="23" t="str">
        <f aca="false">IF(PRESUPUESTO!C46="","",PRESUPUESTO!C46)</f>
        <v/>
      </c>
      <c r="C50" s="86" t="str">
        <f aca="false">IF(PRESUPUESTO!$A46="Ítem",PRESUPUESTO!D46,"")</f>
        <v/>
      </c>
      <c r="D50" s="87" t="str">
        <f aca="false">IF(PRESUPUESTO!$A46&lt;&gt;"Ítem","",MAX(N(PRESUPUESTO!E46),N('CORTES CLIENTE'!L59)))</f>
        <v/>
      </c>
      <c r="E50" s="80"/>
      <c r="F50" s="87" t="str">
        <f aca="false">IF(D50="","",SUMIFS(GASTOS!$H$7:$H$5000,GASTOS!$F$7:$F$5000,$A50,GASTOS!$L$7:$L$5000,"Materiales y equipos"))</f>
        <v/>
      </c>
      <c r="G50" s="88" t="str">
        <f aca="false">IF(D50="","",N(E50)+F50)</f>
        <v/>
      </c>
      <c r="H50" s="88" t="str">
        <f aca="false">IF(OR(D50="",S50="Servicio"),"",MAX(0,D50-G50))</f>
        <v/>
      </c>
      <c r="I50" s="36" t="str">
        <f aca="false">IF(OR(D50="",S50="Servicio",N(D50)=0),"",MIN(1,G50/D50))</f>
        <v/>
      </c>
      <c r="J50" s="10" t="str">
        <f aca="false">IF(D50="","",PRESUPUESTO!O46)</f>
        <v/>
      </c>
      <c r="K50" s="10" t="str">
        <f aca="false">IF(D50="","",SUMIFS(GASTOS!$J$7:$J$5000,GASTOS!$F$7:$F$5000,$A50,GASTOS!$L$7:$L$5000,"Materiales y equipos"))</f>
        <v/>
      </c>
      <c r="L50" s="105" t="str">
        <f aca="false">IF(D50="","",COUNTIFS(GASTOS!$F$7:$F$5000,$A50,GASTOS!$L$7:$L$5000,"Materiales y equipos"))</f>
        <v/>
      </c>
      <c r="M50" s="10" t="str">
        <f aca="false">IF(OR(D50="",N(F50)=0),"",K50/F50)</f>
        <v/>
      </c>
      <c r="N50" s="10" t="str">
        <f aca="false">IF(OR(D50="",N(L50)=0),"",IFERROR(LOOKUP(2,1/((GASTOS!$F$7:$F$5000=$A50)*(GASTOS!$L$7:$L$5000="Materiales y equipos")*(GASTOS!$I$7:$I$5000&lt;&gt;"")),GASTOS!$I$7:$I$5000),""))</f>
        <v/>
      </c>
      <c r="O50" s="23" t="str">
        <f aca="false">IF(OR(D50="",N(L50)=0),"",IFERROR(LOOKUP(2,1/((GASTOS!$F$7:$F$5000=$A50)*(GASTOS!$L$7:$L$5000="Materiales y equipos")*(GASTOS!$I$7:$I$5000&lt;&gt;"")),GASTOS!$D$7:$D$5000),""))</f>
        <v/>
      </c>
      <c r="P50" s="10" t="str">
        <f aca="false">IF(D50="","",N(PRESUPUESTO!I46))</f>
        <v/>
      </c>
      <c r="Q50" s="36" t="str">
        <f aca="false">IF(OR(D50="",N50="",N(P50)=0),"",N50/P50-1)</f>
        <v/>
      </c>
      <c r="R50" s="10" t="str">
        <f aca="false">IF(OR(D50="",S50="Servicio"),"",H50*IF(N50&lt;&gt;"",N50,P50))</f>
        <v/>
      </c>
      <c r="S50" s="39" t="str">
        <f aca="false">IF(D50="","",IF(N(PRESUPUESTO!H46)=0,"Servicio",IF(G50=0,"Sin comprar",IF(G50&gt;=D50,"Comprado","Parcial"))))</f>
        <v/>
      </c>
      <c r="T50" s="86" t="str">
        <f aca="false">IF(AND(ISNUMBER(Q50),N(Q50)&gt;0.1),"Precio +"&amp;TEXT(Q50,"0%"),"")</f>
        <v/>
      </c>
      <c r="U50" s="0" t="str">
        <f aca="false">IF(OR(D50="",S50="Servicio"),"",MIN(G50,D50)*P50)</f>
        <v/>
      </c>
      <c r="V50" s="0" t="str">
        <f aca="false">IF(OR(D50="",S50="Servicio"),"",D50*P50)</f>
        <v/>
      </c>
    </row>
    <row r="51" customFormat="false" ht="16.5" hidden="false" customHeight="true" outlineLevel="0" collapsed="false">
      <c r="A51" s="23" t="str">
        <f aca="false">IF(PRESUPUESTO!$A47="Ítem",PRESUPUESTO!B47,"")</f>
        <v/>
      </c>
      <c r="B51" s="23" t="str">
        <f aca="false">IF(PRESUPUESTO!C47="","",PRESUPUESTO!C47)</f>
        <v/>
      </c>
      <c r="C51" s="86" t="str">
        <f aca="false">IF(PRESUPUESTO!$A47="Ítem",PRESUPUESTO!D47,"")</f>
        <v/>
      </c>
      <c r="D51" s="87" t="str">
        <f aca="false">IF(PRESUPUESTO!$A47&lt;&gt;"Ítem","",MAX(N(PRESUPUESTO!E47),N('CORTES CLIENTE'!L60)))</f>
        <v/>
      </c>
      <c r="E51" s="80"/>
      <c r="F51" s="87" t="str">
        <f aca="false">IF(D51="","",SUMIFS(GASTOS!$H$7:$H$5000,GASTOS!$F$7:$F$5000,$A51,GASTOS!$L$7:$L$5000,"Materiales y equipos"))</f>
        <v/>
      </c>
      <c r="G51" s="88" t="str">
        <f aca="false">IF(D51="","",N(E51)+F51)</f>
        <v/>
      </c>
      <c r="H51" s="88" t="str">
        <f aca="false">IF(OR(D51="",S51="Servicio"),"",MAX(0,D51-G51))</f>
        <v/>
      </c>
      <c r="I51" s="36" t="str">
        <f aca="false">IF(OR(D51="",S51="Servicio",N(D51)=0),"",MIN(1,G51/D51))</f>
        <v/>
      </c>
      <c r="J51" s="10" t="str">
        <f aca="false">IF(D51="","",PRESUPUESTO!O47)</f>
        <v/>
      </c>
      <c r="K51" s="10" t="str">
        <f aca="false">IF(D51="","",SUMIFS(GASTOS!$J$7:$J$5000,GASTOS!$F$7:$F$5000,$A51,GASTOS!$L$7:$L$5000,"Materiales y equipos"))</f>
        <v/>
      </c>
      <c r="L51" s="105" t="str">
        <f aca="false">IF(D51="","",COUNTIFS(GASTOS!$F$7:$F$5000,$A51,GASTOS!$L$7:$L$5000,"Materiales y equipos"))</f>
        <v/>
      </c>
      <c r="M51" s="10" t="str">
        <f aca="false">IF(OR(D51="",N(F51)=0),"",K51/F51)</f>
        <v/>
      </c>
      <c r="N51" s="10" t="str">
        <f aca="false">IF(OR(D51="",N(L51)=0),"",IFERROR(LOOKUP(2,1/((GASTOS!$F$7:$F$5000=$A51)*(GASTOS!$L$7:$L$5000="Materiales y equipos")*(GASTOS!$I$7:$I$5000&lt;&gt;"")),GASTOS!$I$7:$I$5000),""))</f>
        <v/>
      </c>
      <c r="O51" s="23" t="str">
        <f aca="false">IF(OR(D51="",N(L51)=0),"",IFERROR(LOOKUP(2,1/((GASTOS!$F$7:$F$5000=$A51)*(GASTOS!$L$7:$L$5000="Materiales y equipos")*(GASTOS!$I$7:$I$5000&lt;&gt;"")),GASTOS!$D$7:$D$5000),""))</f>
        <v/>
      </c>
      <c r="P51" s="10" t="str">
        <f aca="false">IF(D51="","",N(PRESUPUESTO!I47))</f>
        <v/>
      </c>
      <c r="Q51" s="36" t="str">
        <f aca="false">IF(OR(D51="",N51="",N(P51)=0),"",N51/P51-1)</f>
        <v/>
      </c>
      <c r="R51" s="10" t="str">
        <f aca="false">IF(OR(D51="",S51="Servicio"),"",H51*IF(N51&lt;&gt;"",N51,P51))</f>
        <v/>
      </c>
      <c r="S51" s="39" t="str">
        <f aca="false">IF(D51="","",IF(N(PRESUPUESTO!H47)=0,"Servicio",IF(G51=0,"Sin comprar",IF(G51&gt;=D51,"Comprado","Parcial"))))</f>
        <v/>
      </c>
      <c r="T51" s="86" t="str">
        <f aca="false">IF(AND(ISNUMBER(Q51),N(Q51)&gt;0.1),"Precio +"&amp;TEXT(Q51,"0%"),"")</f>
        <v/>
      </c>
      <c r="U51" s="0" t="str">
        <f aca="false">IF(OR(D51="",S51="Servicio"),"",MIN(G51,D51)*P51)</f>
        <v/>
      </c>
      <c r="V51" s="0" t="str">
        <f aca="false">IF(OR(D51="",S51="Servicio"),"",D51*P51)</f>
        <v/>
      </c>
    </row>
    <row r="52" customFormat="false" ht="16.5" hidden="false" customHeight="true" outlineLevel="0" collapsed="false">
      <c r="A52" s="23" t="str">
        <f aca="false">IF(PRESUPUESTO!$A48="Ítem",PRESUPUESTO!B48,"")</f>
        <v/>
      </c>
      <c r="B52" s="23" t="str">
        <f aca="false">IF(PRESUPUESTO!C48="","",PRESUPUESTO!C48)</f>
        <v/>
      </c>
      <c r="C52" s="86" t="str">
        <f aca="false">IF(PRESUPUESTO!$A48="Ítem",PRESUPUESTO!D48,"")</f>
        <v/>
      </c>
      <c r="D52" s="87" t="str">
        <f aca="false">IF(PRESUPUESTO!$A48&lt;&gt;"Ítem","",MAX(N(PRESUPUESTO!E48),N('CORTES CLIENTE'!L61)))</f>
        <v/>
      </c>
      <c r="E52" s="80"/>
      <c r="F52" s="87" t="str">
        <f aca="false">IF(D52="","",SUMIFS(GASTOS!$H$7:$H$5000,GASTOS!$F$7:$F$5000,$A52,GASTOS!$L$7:$L$5000,"Materiales y equipos"))</f>
        <v/>
      </c>
      <c r="G52" s="88" t="str">
        <f aca="false">IF(D52="","",N(E52)+F52)</f>
        <v/>
      </c>
      <c r="H52" s="88" t="str">
        <f aca="false">IF(OR(D52="",S52="Servicio"),"",MAX(0,D52-G52))</f>
        <v/>
      </c>
      <c r="I52" s="36" t="str">
        <f aca="false">IF(OR(D52="",S52="Servicio",N(D52)=0),"",MIN(1,G52/D52))</f>
        <v/>
      </c>
      <c r="J52" s="10" t="str">
        <f aca="false">IF(D52="","",PRESUPUESTO!O48)</f>
        <v/>
      </c>
      <c r="K52" s="10" t="str">
        <f aca="false">IF(D52="","",SUMIFS(GASTOS!$J$7:$J$5000,GASTOS!$F$7:$F$5000,$A52,GASTOS!$L$7:$L$5000,"Materiales y equipos"))</f>
        <v/>
      </c>
      <c r="L52" s="105" t="str">
        <f aca="false">IF(D52="","",COUNTIFS(GASTOS!$F$7:$F$5000,$A52,GASTOS!$L$7:$L$5000,"Materiales y equipos"))</f>
        <v/>
      </c>
      <c r="M52" s="10" t="str">
        <f aca="false">IF(OR(D52="",N(F52)=0),"",K52/F52)</f>
        <v/>
      </c>
      <c r="N52" s="10" t="str">
        <f aca="false">IF(OR(D52="",N(L52)=0),"",IFERROR(LOOKUP(2,1/((GASTOS!$F$7:$F$5000=$A52)*(GASTOS!$L$7:$L$5000="Materiales y equipos")*(GASTOS!$I$7:$I$5000&lt;&gt;"")),GASTOS!$I$7:$I$5000),""))</f>
        <v/>
      </c>
      <c r="O52" s="23" t="str">
        <f aca="false">IF(OR(D52="",N(L52)=0),"",IFERROR(LOOKUP(2,1/((GASTOS!$F$7:$F$5000=$A52)*(GASTOS!$L$7:$L$5000="Materiales y equipos")*(GASTOS!$I$7:$I$5000&lt;&gt;"")),GASTOS!$D$7:$D$5000),""))</f>
        <v/>
      </c>
      <c r="P52" s="10" t="str">
        <f aca="false">IF(D52="","",N(PRESUPUESTO!I48))</f>
        <v/>
      </c>
      <c r="Q52" s="36" t="str">
        <f aca="false">IF(OR(D52="",N52="",N(P52)=0),"",N52/P52-1)</f>
        <v/>
      </c>
      <c r="R52" s="10" t="str">
        <f aca="false">IF(OR(D52="",S52="Servicio"),"",H52*IF(N52&lt;&gt;"",N52,P52))</f>
        <v/>
      </c>
      <c r="S52" s="39" t="str">
        <f aca="false">IF(D52="","",IF(N(PRESUPUESTO!H48)=0,"Servicio",IF(G52=0,"Sin comprar",IF(G52&gt;=D52,"Comprado","Parcial"))))</f>
        <v/>
      </c>
      <c r="T52" s="86" t="str">
        <f aca="false">IF(AND(ISNUMBER(Q52),N(Q52)&gt;0.1),"Precio +"&amp;TEXT(Q52,"0%"),"")</f>
        <v/>
      </c>
      <c r="U52" s="0" t="str">
        <f aca="false">IF(OR(D52="",S52="Servicio"),"",MIN(G52,D52)*P52)</f>
        <v/>
      </c>
      <c r="V52" s="0" t="str">
        <f aca="false">IF(OR(D52="",S52="Servicio"),"",D52*P52)</f>
        <v/>
      </c>
    </row>
    <row r="53" customFormat="false" ht="16.5" hidden="false" customHeight="true" outlineLevel="0" collapsed="false">
      <c r="A53" s="23" t="str">
        <f aca="false">IF(PRESUPUESTO!$A49="Ítem",PRESUPUESTO!B49,"")</f>
        <v/>
      </c>
      <c r="B53" s="23" t="str">
        <f aca="false">IF(PRESUPUESTO!C49="","",PRESUPUESTO!C49)</f>
        <v/>
      </c>
      <c r="C53" s="86" t="str">
        <f aca="false">IF(PRESUPUESTO!$A49="Ítem",PRESUPUESTO!D49,"")</f>
        <v/>
      </c>
      <c r="D53" s="87" t="str">
        <f aca="false">IF(PRESUPUESTO!$A49&lt;&gt;"Ítem","",MAX(N(PRESUPUESTO!E49),N('CORTES CLIENTE'!L62)))</f>
        <v/>
      </c>
      <c r="E53" s="80"/>
      <c r="F53" s="87" t="str">
        <f aca="false">IF(D53="","",SUMIFS(GASTOS!$H$7:$H$5000,GASTOS!$F$7:$F$5000,$A53,GASTOS!$L$7:$L$5000,"Materiales y equipos"))</f>
        <v/>
      </c>
      <c r="G53" s="88" t="str">
        <f aca="false">IF(D53="","",N(E53)+F53)</f>
        <v/>
      </c>
      <c r="H53" s="88" t="str">
        <f aca="false">IF(OR(D53="",S53="Servicio"),"",MAX(0,D53-G53))</f>
        <v/>
      </c>
      <c r="I53" s="36" t="str">
        <f aca="false">IF(OR(D53="",S53="Servicio",N(D53)=0),"",MIN(1,G53/D53))</f>
        <v/>
      </c>
      <c r="J53" s="10" t="str">
        <f aca="false">IF(D53="","",PRESUPUESTO!O49)</f>
        <v/>
      </c>
      <c r="K53" s="10" t="str">
        <f aca="false">IF(D53="","",SUMIFS(GASTOS!$J$7:$J$5000,GASTOS!$F$7:$F$5000,$A53,GASTOS!$L$7:$L$5000,"Materiales y equipos"))</f>
        <v/>
      </c>
      <c r="L53" s="105" t="str">
        <f aca="false">IF(D53="","",COUNTIFS(GASTOS!$F$7:$F$5000,$A53,GASTOS!$L$7:$L$5000,"Materiales y equipos"))</f>
        <v/>
      </c>
      <c r="M53" s="10" t="str">
        <f aca="false">IF(OR(D53="",N(F53)=0),"",K53/F53)</f>
        <v/>
      </c>
      <c r="N53" s="10" t="str">
        <f aca="false">IF(OR(D53="",N(L53)=0),"",IFERROR(LOOKUP(2,1/((GASTOS!$F$7:$F$5000=$A53)*(GASTOS!$L$7:$L$5000="Materiales y equipos")*(GASTOS!$I$7:$I$5000&lt;&gt;"")),GASTOS!$I$7:$I$5000),""))</f>
        <v/>
      </c>
      <c r="O53" s="23" t="str">
        <f aca="false">IF(OR(D53="",N(L53)=0),"",IFERROR(LOOKUP(2,1/((GASTOS!$F$7:$F$5000=$A53)*(GASTOS!$L$7:$L$5000="Materiales y equipos")*(GASTOS!$I$7:$I$5000&lt;&gt;"")),GASTOS!$D$7:$D$5000),""))</f>
        <v/>
      </c>
      <c r="P53" s="10" t="str">
        <f aca="false">IF(D53="","",N(PRESUPUESTO!I49))</f>
        <v/>
      </c>
      <c r="Q53" s="36" t="str">
        <f aca="false">IF(OR(D53="",N53="",N(P53)=0),"",N53/P53-1)</f>
        <v/>
      </c>
      <c r="R53" s="10" t="str">
        <f aca="false">IF(OR(D53="",S53="Servicio"),"",H53*IF(N53&lt;&gt;"",N53,P53))</f>
        <v/>
      </c>
      <c r="S53" s="39" t="str">
        <f aca="false">IF(D53="","",IF(N(PRESUPUESTO!H49)=0,"Servicio",IF(G53=0,"Sin comprar",IF(G53&gt;=D53,"Comprado","Parcial"))))</f>
        <v/>
      </c>
      <c r="T53" s="86" t="str">
        <f aca="false">IF(AND(ISNUMBER(Q53),N(Q53)&gt;0.1),"Precio +"&amp;TEXT(Q53,"0%"),"")</f>
        <v/>
      </c>
      <c r="U53" s="0" t="str">
        <f aca="false">IF(OR(D53="",S53="Servicio"),"",MIN(G53,D53)*P53)</f>
        <v/>
      </c>
      <c r="V53" s="0" t="str">
        <f aca="false">IF(OR(D53="",S53="Servicio"),"",D53*P53)</f>
        <v/>
      </c>
    </row>
    <row r="54" customFormat="false" ht="16.5" hidden="false" customHeight="true" outlineLevel="0" collapsed="false">
      <c r="A54" s="23" t="str">
        <f aca="false">IF(PRESUPUESTO!$A50="Ítem",PRESUPUESTO!B50,"")</f>
        <v/>
      </c>
      <c r="B54" s="23" t="str">
        <f aca="false">IF(PRESUPUESTO!C50="","",PRESUPUESTO!C50)</f>
        <v/>
      </c>
      <c r="C54" s="86" t="str">
        <f aca="false">IF(PRESUPUESTO!$A50="Ítem",PRESUPUESTO!D50,"")</f>
        <v/>
      </c>
      <c r="D54" s="87" t="str">
        <f aca="false">IF(PRESUPUESTO!$A50&lt;&gt;"Ítem","",MAX(N(PRESUPUESTO!E50),N('CORTES CLIENTE'!L63)))</f>
        <v/>
      </c>
      <c r="E54" s="80"/>
      <c r="F54" s="87" t="str">
        <f aca="false">IF(D54="","",SUMIFS(GASTOS!$H$7:$H$5000,GASTOS!$F$7:$F$5000,$A54,GASTOS!$L$7:$L$5000,"Materiales y equipos"))</f>
        <v/>
      </c>
      <c r="G54" s="88" t="str">
        <f aca="false">IF(D54="","",N(E54)+F54)</f>
        <v/>
      </c>
      <c r="H54" s="88" t="str">
        <f aca="false">IF(OR(D54="",S54="Servicio"),"",MAX(0,D54-G54))</f>
        <v/>
      </c>
      <c r="I54" s="36" t="str">
        <f aca="false">IF(OR(D54="",S54="Servicio",N(D54)=0),"",MIN(1,G54/D54))</f>
        <v/>
      </c>
      <c r="J54" s="10" t="str">
        <f aca="false">IF(D54="","",PRESUPUESTO!O50)</f>
        <v/>
      </c>
      <c r="K54" s="10" t="str">
        <f aca="false">IF(D54="","",SUMIFS(GASTOS!$J$7:$J$5000,GASTOS!$F$7:$F$5000,$A54,GASTOS!$L$7:$L$5000,"Materiales y equipos"))</f>
        <v/>
      </c>
      <c r="L54" s="105" t="str">
        <f aca="false">IF(D54="","",COUNTIFS(GASTOS!$F$7:$F$5000,$A54,GASTOS!$L$7:$L$5000,"Materiales y equipos"))</f>
        <v/>
      </c>
      <c r="M54" s="10" t="str">
        <f aca="false">IF(OR(D54="",N(F54)=0),"",K54/F54)</f>
        <v/>
      </c>
      <c r="N54" s="10" t="str">
        <f aca="false">IF(OR(D54="",N(L54)=0),"",IFERROR(LOOKUP(2,1/((GASTOS!$F$7:$F$5000=$A54)*(GASTOS!$L$7:$L$5000="Materiales y equipos")*(GASTOS!$I$7:$I$5000&lt;&gt;"")),GASTOS!$I$7:$I$5000),""))</f>
        <v/>
      </c>
      <c r="O54" s="23" t="str">
        <f aca="false">IF(OR(D54="",N(L54)=0),"",IFERROR(LOOKUP(2,1/((GASTOS!$F$7:$F$5000=$A54)*(GASTOS!$L$7:$L$5000="Materiales y equipos")*(GASTOS!$I$7:$I$5000&lt;&gt;"")),GASTOS!$D$7:$D$5000),""))</f>
        <v/>
      </c>
      <c r="P54" s="10" t="str">
        <f aca="false">IF(D54="","",N(PRESUPUESTO!I50))</f>
        <v/>
      </c>
      <c r="Q54" s="36" t="str">
        <f aca="false">IF(OR(D54="",N54="",N(P54)=0),"",N54/P54-1)</f>
        <v/>
      </c>
      <c r="R54" s="10" t="str">
        <f aca="false">IF(OR(D54="",S54="Servicio"),"",H54*IF(N54&lt;&gt;"",N54,P54))</f>
        <v/>
      </c>
      <c r="S54" s="39" t="str">
        <f aca="false">IF(D54="","",IF(N(PRESUPUESTO!H50)=0,"Servicio",IF(G54=0,"Sin comprar",IF(G54&gt;=D54,"Comprado","Parcial"))))</f>
        <v/>
      </c>
      <c r="T54" s="86" t="str">
        <f aca="false">IF(AND(ISNUMBER(Q54),N(Q54)&gt;0.1),"Precio +"&amp;TEXT(Q54,"0%"),"")</f>
        <v/>
      </c>
      <c r="U54" s="0" t="str">
        <f aca="false">IF(OR(D54="",S54="Servicio"),"",MIN(G54,D54)*P54)</f>
        <v/>
      </c>
      <c r="V54" s="0" t="str">
        <f aca="false">IF(OR(D54="",S54="Servicio"),"",D54*P54)</f>
        <v/>
      </c>
    </row>
    <row r="55" customFormat="false" ht="16.5" hidden="false" customHeight="true" outlineLevel="0" collapsed="false">
      <c r="A55" s="23" t="str">
        <f aca="false">IF(PRESUPUESTO!$A51="Ítem",PRESUPUESTO!B51,"")</f>
        <v/>
      </c>
      <c r="B55" s="23" t="str">
        <f aca="false">IF(PRESUPUESTO!C51="","",PRESUPUESTO!C51)</f>
        <v/>
      </c>
      <c r="C55" s="86" t="str">
        <f aca="false">IF(PRESUPUESTO!$A51="Ítem",PRESUPUESTO!D51,"")</f>
        <v/>
      </c>
      <c r="D55" s="87" t="str">
        <f aca="false">IF(PRESUPUESTO!$A51&lt;&gt;"Ítem","",MAX(N(PRESUPUESTO!E51),N('CORTES CLIENTE'!L64)))</f>
        <v/>
      </c>
      <c r="E55" s="80"/>
      <c r="F55" s="87" t="str">
        <f aca="false">IF(D55="","",SUMIFS(GASTOS!$H$7:$H$5000,GASTOS!$F$7:$F$5000,$A55,GASTOS!$L$7:$L$5000,"Materiales y equipos"))</f>
        <v/>
      </c>
      <c r="G55" s="88" t="str">
        <f aca="false">IF(D55="","",N(E55)+F55)</f>
        <v/>
      </c>
      <c r="H55" s="88" t="str">
        <f aca="false">IF(OR(D55="",S55="Servicio"),"",MAX(0,D55-G55))</f>
        <v/>
      </c>
      <c r="I55" s="36" t="str">
        <f aca="false">IF(OR(D55="",S55="Servicio",N(D55)=0),"",MIN(1,G55/D55))</f>
        <v/>
      </c>
      <c r="J55" s="10" t="str">
        <f aca="false">IF(D55="","",PRESUPUESTO!O51)</f>
        <v/>
      </c>
      <c r="K55" s="10" t="str">
        <f aca="false">IF(D55="","",SUMIFS(GASTOS!$J$7:$J$5000,GASTOS!$F$7:$F$5000,$A55,GASTOS!$L$7:$L$5000,"Materiales y equipos"))</f>
        <v/>
      </c>
      <c r="L55" s="105" t="str">
        <f aca="false">IF(D55="","",COUNTIFS(GASTOS!$F$7:$F$5000,$A55,GASTOS!$L$7:$L$5000,"Materiales y equipos"))</f>
        <v/>
      </c>
      <c r="M55" s="10" t="str">
        <f aca="false">IF(OR(D55="",N(F55)=0),"",K55/F55)</f>
        <v/>
      </c>
      <c r="N55" s="10" t="str">
        <f aca="false">IF(OR(D55="",N(L55)=0),"",IFERROR(LOOKUP(2,1/((GASTOS!$F$7:$F$5000=$A55)*(GASTOS!$L$7:$L$5000="Materiales y equipos")*(GASTOS!$I$7:$I$5000&lt;&gt;"")),GASTOS!$I$7:$I$5000),""))</f>
        <v/>
      </c>
      <c r="O55" s="23" t="str">
        <f aca="false">IF(OR(D55="",N(L55)=0),"",IFERROR(LOOKUP(2,1/((GASTOS!$F$7:$F$5000=$A55)*(GASTOS!$L$7:$L$5000="Materiales y equipos")*(GASTOS!$I$7:$I$5000&lt;&gt;"")),GASTOS!$D$7:$D$5000),""))</f>
        <v/>
      </c>
      <c r="P55" s="10" t="str">
        <f aca="false">IF(D55="","",N(PRESUPUESTO!I51))</f>
        <v/>
      </c>
      <c r="Q55" s="36" t="str">
        <f aca="false">IF(OR(D55="",N55="",N(P55)=0),"",N55/P55-1)</f>
        <v/>
      </c>
      <c r="R55" s="10" t="str">
        <f aca="false">IF(OR(D55="",S55="Servicio"),"",H55*IF(N55&lt;&gt;"",N55,P55))</f>
        <v/>
      </c>
      <c r="S55" s="39" t="str">
        <f aca="false">IF(D55="","",IF(N(PRESUPUESTO!H51)=0,"Servicio",IF(G55=0,"Sin comprar",IF(G55&gt;=D55,"Comprado","Parcial"))))</f>
        <v/>
      </c>
      <c r="T55" s="86" t="str">
        <f aca="false">IF(AND(ISNUMBER(Q55),N(Q55)&gt;0.1),"Precio +"&amp;TEXT(Q55,"0%"),"")</f>
        <v/>
      </c>
      <c r="U55" s="0" t="str">
        <f aca="false">IF(OR(D55="",S55="Servicio"),"",MIN(G55,D55)*P55)</f>
        <v/>
      </c>
      <c r="V55" s="0" t="str">
        <f aca="false">IF(OR(D55="",S55="Servicio"),"",D55*P55)</f>
        <v/>
      </c>
    </row>
    <row r="56" customFormat="false" ht="16.5" hidden="false" customHeight="true" outlineLevel="0" collapsed="false">
      <c r="A56" s="23" t="str">
        <f aca="false">IF(PRESUPUESTO!$A52="Ítem",PRESUPUESTO!B52,"")</f>
        <v/>
      </c>
      <c r="B56" s="23" t="str">
        <f aca="false">IF(PRESUPUESTO!C52="","",PRESUPUESTO!C52)</f>
        <v/>
      </c>
      <c r="C56" s="86" t="str">
        <f aca="false">IF(PRESUPUESTO!$A52="Ítem",PRESUPUESTO!D52,"")</f>
        <v/>
      </c>
      <c r="D56" s="87" t="str">
        <f aca="false">IF(PRESUPUESTO!$A52&lt;&gt;"Ítem","",MAX(N(PRESUPUESTO!E52),N('CORTES CLIENTE'!L65)))</f>
        <v/>
      </c>
      <c r="E56" s="80"/>
      <c r="F56" s="87" t="str">
        <f aca="false">IF(D56="","",SUMIFS(GASTOS!$H$7:$H$5000,GASTOS!$F$7:$F$5000,$A56,GASTOS!$L$7:$L$5000,"Materiales y equipos"))</f>
        <v/>
      </c>
      <c r="G56" s="88" t="str">
        <f aca="false">IF(D56="","",N(E56)+F56)</f>
        <v/>
      </c>
      <c r="H56" s="88" t="str">
        <f aca="false">IF(OR(D56="",S56="Servicio"),"",MAX(0,D56-G56))</f>
        <v/>
      </c>
      <c r="I56" s="36" t="str">
        <f aca="false">IF(OR(D56="",S56="Servicio",N(D56)=0),"",MIN(1,G56/D56))</f>
        <v/>
      </c>
      <c r="J56" s="10" t="str">
        <f aca="false">IF(D56="","",PRESUPUESTO!O52)</f>
        <v/>
      </c>
      <c r="K56" s="10" t="str">
        <f aca="false">IF(D56="","",SUMIFS(GASTOS!$J$7:$J$5000,GASTOS!$F$7:$F$5000,$A56,GASTOS!$L$7:$L$5000,"Materiales y equipos"))</f>
        <v/>
      </c>
      <c r="L56" s="105" t="str">
        <f aca="false">IF(D56="","",COUNTIFS(GASTOS!$F$7:$F$5000,$A56,GASTOS!$L$7:$L$5000,"Materiales y equipos"))</f>
        <v/>
      </c>
      <c r="M56" s="10" t="str">
        <f aca="false">IF(OR(D56="",N(F56)=0),"",K56/F56)</f>
        <v/>
      </c>
      <c r="N56" s="10" t="str">
        <f aca="false">IF(OR(D56="",N(L56)=0),"",IFERROR(LOOKUP(2,1/((GASTOS!$F$7:$F$5000=$A56)*(GASTOS!$L$7:$L$5000="Materiales y equipos")*(GASTOS!$I$7:$I$5000&lt;&gt;"")),GASTOS!$I$7:$I$5000),""))</f>
        <v/>
      </c>
      <c r="O56" s="23" t="str">
        <f aca="false">IF(OR(D56="",N(L56)=0),"",IFERROR(LOOKUP(2,1/((GASTOS!$F$7:$F$5000=$A56)*(GASTOS!$L$7:$L$5000="Materiales y equipos")*(GASTOS!$I$7:$I$5000&lt;&gt;"")),GASTOS!$D$7:$D$5000),""))</f>
        <v/>
      </c>
      <c r="P56" s="10" t="str">
        <f aca="false">IF(D56="","",N(PRESUPUESTO!I52))</f>
        <v/>
      </c>
      <c r="Q56" s="36" t="str">
        <f aca="false">IF(OR(D56="",N56="",N(P56)=0),"",N56/P56-1)</f>
        <v/>
      </c>
      <c r="R56" s="10" t="str">
        <f aca="false">IF(OR(D56="",S56="Servicio"),"",H56*IF(N56&lt;&gt;"",N56,P56))</f>
        <v/>
      </c>
      <c r="S56" s="39" t="str">
        <f aca="false">IF(D56="","",IF(N(PRESUPUESTO!H52)=0,"Servicio",IF(G56=0,"Sin comprar",IF(G56&gt;=D56,"Comprado","Parcial"))))</f>
        <v/>
      </c>
      <c r="T56" s="86" t="str">
        <f aca="false">IF(AND(ISNUMBER(Q56),N(Q56)&gt;0.1),"Precio +"&amp;TEXT(Q56,"0%"),"")</f>
        <v/>
      </c>
      <c r="U56" s="0" t="str">
        <f aca="false">IF(OR(D56="",S56="Servicio"),"",MIN(G56,D56)*P56)</f>
        <v/>
      </c>
      <c r="V56" s="0" t="str">
        <f aca="false">IF(OR(D56="",S56="Servicio"),"",D56*P56)</f>
        <v/>
      </c>
    </row>
    <row r="57" customFormat="false" ht="16.5" hidden="false" customHeight="true" outlineLevel="0" collapsed="false">
      <c r="A57" s="23" t="str">
        <f aca="false">IF(PRESUPUESTO!$A53="Ítem",PRESUPUESTO!B53,"")</f>
        <v/>
      </c>
      <c r="B57" s="23" t="str">
        <f aca="false">IF(PRESUPUESTO!C53="","",PRESUPUESTO!C53)</f>
        <v/>
      </c>
      <c r="C57" s="86" t="str">
        <f aca="false">IF(PRESUPUESTO!$A53="Ítem",PRESUPUESTO!D53,"")</f>
        <v/>
      </c>
      <c r="D57" s="87" t="str">
        <f aca="false">IF(PRESUPUESTO!$A53&lt;&gt;"Ítem","",MAX(N(PRESUPUESTO!E53),N('CORTES CLIENTE'!L66)))</f>
        <v/>
      </c>
      <c r="E57" s="80"/>
      <c r="F57" s="87" t="str">
        <f aca="false">IF(D57="","",SUMIFS(GASTOS!$H$7:$H$5000,GASTOS!$F$7:$F$5000,$A57,GASTOS!$L$7:$L$5000,"Materiales y equipos"))</f>
        <v/>
      </c>
      <c r="G57" s="88" t="str">
        <f aca="false">IF(D57="","",N(E57)+F57)</f>
        <v/>
      </c>
      <c r="H57" s="88" t="str">
        <f aca="false">IF(OR(D57="",S57="Servicio"),"",MAX(0,D57-G57))</f>
        <v/>
      </c>
      <c r="I57" s="36" t="str">
        <f aca="false">IF(OR(D57="",S57="Servicio",N(D57)=0),"",MIN(1,G57/D57))</f>
        <v/>
      </c>
      <c r="J57" s="10" t="str">
        <f aca="false">IF(D57="","",PRESUPUESTO!O53)</f>
        <v/>
      </c>
      <c r="K57" s="10" t="str">
        <f aca="false">IF(D57="","",SUMIFS(GASTOS!$J$7:$J$5000,GASTOS!$F$7:$F$5000,$A57,GASTOS!$L$7:$L$5000,"Materiales y equipos"))</f>
        <v/>
      </c>
      <c r="L57" s="105" t="str">
        <f aca="false">IF(D57="","",COUNTIFS(GASTOS!$F$7:$F$5000,$A57,GASTOS!$L$7:$L$5000,"Materiales y equipos"))</f>
        <v/>
      </c>
      <c r="M57" s="10" t="str">
        <f aca="false">IF(OR(D57="",N(F57)=0),"",K57/F57)</f>
        <v/>
      </c>
      <c r="N57" s="10" t="str">
        <f aca="false">IF(OR(D57="",N(L57)=0),"",IFERROR(LOOKUP(2,1/((GASTOS!$F$7:$F$5000=$A57)*(GASTOS!$L$7:$L$5000="Materiales y equipos")*(GASTOS!$I$7:$I$5000&lt;&gt;"")),GASTOS!$I$7:$I$5000),""))</f>
        <v/>
      </c>
      <c r="O57" s="23" t="str">
        <f aca="false">IF(OR(D57="",N(L57)=0),"",IFERROR(LOOKUP(2,1/((GASTOS!$F$7:$F$5000=$A57)*(GASTOS!$L$7:$L$5000="Materiales y equipos")*(GASTOS!$I$7:$I$5000&lt;&gt;"")),GASTOS!$D$7:$D$5000),""))</f>
        <v/>
      </c>
      <c r="P57" s="10" t="str">
        <f aca="false">IF(D57="","",N(PRESUPUESTO!I53))</f>
        <v/>
      </c>
      <c r="Q57" s="36" t="str">
        <f aca="false">IF(OR(D57="",N57="",N(P57)=0),"",N57/P57-1)</f>
        <v/>
      </c>
      <c r="R57" s="10" t="str">
        <f aca="false">IF(OR(D57="",S57="Servicio"),"",H57*IF(N57&lt;&gt;"",N57,P57))</f>
        <v/>
      </c>
      <c r="S57" s="39" t="str">
        <f aca="false">IF(D57="","",IF(N(PRESUPUESTO!H53)=0,"Servicio",IF(G57=0,"Sin comprar",IF(G57&gt;=D57,"Comprado","Parcial"))))</f>
        <v/>
      </c>
      <c r="T57" s="86" t="str">
        <f aca="false">IF(AND(ISNUMBER(Q57),N(Q57)&gt;0.1),"Precio +"&amp;TEXT(Q57,"0%"),"")</f>
        <v/>
      </c>
      <c r="U57" s="0" t="str">
        <f aca="false">IF(OR(D57="",S57="Servicio"),"",MIN(G57,D57)*P57)</f>
        <v/>
      </c>
      <c r="V57" s="0" t="str">
        <f aca="false">IF(OR(D57="",S57="Servicio"),"",D57*P57)</f>
        <v/>
      </c>
    </row>
    <row r="58" customFormat="false" ht="16.5" hidden="false" customHeight="true" outlineLevel="0" collapsed="false">
      <c r="A58" s="23" t="str">
        <f aca="false">IF(PRESUPUESTO!$A54="Ítem",PRESUPUESTO!B54,"")</f>
        <v/>
      </c>
      <c r="B58" s="23" t="str">
        <f aca="false">IF(PRESUPUESTO!C54="","",PRESUPUESTO!C54)</f>
        <v/>
      </c>
      <c r="C58" s="86" t="str">
        <f aca="false">IF(PRESUPUESTO!$A54="Ítem",PRESUPUESTO!D54,"")</f>
        <v/>
      </c>
      <c r="D58" s="87" t="str">
        <f aca="false">IF(PRESUPUESTO!$A54&lt;&gt;"Ítem","",MAX(N(PRESUPUESTO!E54),N('CORTES CLIENTE'!L67)))</f>
        <v/>
      </c>
      <c r="E58" s="80"/>
      <c r="F58" s="87" t="str">
        <f aca="false">IF(D58="","",SUMIFS(GASTOS!$H$7:$H$5000,GASTOS!$F$7:$F$5000,$A58,GASTOS!$L$7:$L$5000,"Materiales y equipos"))</f>
        <v/>
      </c>
      <c r="G58" s="88" t="str">
        <f aca="false">IF(D58="","",N(E58)+F58)</f>
        <v/>
      </c>
      <c r="H58" s="88" t="str">
        <f aca="false">IF(OR(D58="",S58="Servicio"),"",MAX(0,D58-G58))</f>
        <v/>
      </c>
      <c r="I58" s="36" t="str">
        <f aca="false">IF(OR(D58="",S58="Servicio",N(D58)=0),"",MIN(1,G58/D58))</f>
        <v/>
      </c>
      <c r="J58" s="10" t="str">
        <f aca="false">IF(D58="","",PRESUPUESTO!O54)</f>
        <v/>
      </c>
      <c r="K58" s="10" t="str">
        <f aca="false">IF(D58="","",SUMIFS(GASTOS!$J$7:$J$5000,GASTOS!$F$7:$F$5000,$A58,GASTOS!$L$7:$L$5000,"Materiales y equipos"))</f>
        <v/>
      </c>
      <c r="L58" s="105" t="str">
        <f aca="false">IF(D58="","",COUNTIFS(GASTOS!$F$7:$F$5000,$A58,GASTOS!$L$7:$L$5000,"Materiales y equipos"))</f>
        <v/>
      </c>
      <c r="M58" s="10" t="str">
        <f aca="false">IF(OR(D58="",N(F58)=0),"",K58/F58)</f>
        <v/>
      </c>
      <c r="N58" s="10" t="str">
        <f aca="false">IF(OR(D58="",N(L58)=0),"",IFERROR(LOOKUP(2,1/((GASTOS!$F$7:$F$5000=$A58)*(GASTOS!$L$7:$L$5000="Materiales y equipos")*(GASTOS!$I$7:$I$5000&lt;&gt;"")),GASTOS!$I$7:$I$5000),""))</f>
        <v/>
      </c>
      <c r="O58" s="23" t="str">
        <f aca="false">IF(OR(D58="",N(L58)=0),"",IFERROR(LOOKUP(2,1/((GASTOS!$F$7:$F$5000=$A58)*(GASTOS!$L$7:$L$5000="Materiales y equipos")*(GASTOS!$I$7:$I$5000&lt;&gt;"")),GASTOS!$D$7:$D$5000),""))</f>
        <v/>
      </c>
      <c r="P58" s="10" t="str">
        <f aca="false">IF(D58="","",N(PRESUPUESTO!I54))</f>
        <v/>
      </c>
      <c r="Q58" s="36" t="str">
        <f aca="false">IF(OR(D58="",N58="",N(P58)=0),"",N58/P58-1)</f>
        <v/>
      </c>
      <c r="R58" s="10" t="str">
        <f aca="false">IF(OR(D58="",S58="Servicio"),"",H58*IF(N58&lt;&gt;"",N58,P58))</f>
        <v/>
      </c>
      <c r="S58" s="39" t="str">
        <f aca="false">IF(D58="","",IF(N(PRESUPUESTO!H54)=0,"Servicio",IF(G58=0,"Sin comprar",IF(G58&gt;=D58,"Comprado","Parcial"))))</f>
        <v/>
      </c>
      <c r="T58" s="86" t="str">
        <f aca="false">IF(AND(ISNUMBER(Q58),N(Q58)&gt;0.1),"Precio +"&amp;TEXT(Q58,"0%"),"")</f>
        <v/>
      </c>
      <c r="U58" s="0" t="str">
        <f aca="false">IF(OR(D58="",S58="Servicio"),"",MIN(G58,D58)*P58)</f>
        <v/>
      </c>
      <c r="V58" s="0" t="str">
        <f aca="false">IF(OR(D58="",S58="Servicio"),"",D58*P58)</f>
        <v/>
      </c>
    </row>
    <row r="59" customFormat="false" ht="16.5" hidden="false" customHeight="true" outlineLevel="0" collapsed="false">
      <c r="A59" s="23" t="str">
        <f aca="false">IF(PRESUPUESTO!$A55="Ítem",PRESUPUESTO!B55,"")</f>
        <v/>
      </c>
      <c r="B59" s="23" t="str">
        <f aca="false">IF(PRESUPUESTO!C55="","",PRESUPUESTO!C55)</f>
        <v/>
      </c>
      <c r="C59" s="86" t="str">
        <f aca="false">IF(PRESUPUESTO!$A55="Ítem",PRESUPUESTO!D55,"")</f>
        <v/>
      </c>
      <c r="D59" s="87" t="str">
        <f aca="false">IF(PRESUPUESTO!$A55&lt;&gt;"Ítem","",MAX(N(PRESUPUESTO!E55),N('CORTES CLIENTE'!L68)))</f>
        <v/>
      </c>
      <c r="E59" s="80"/>
      <c r="F59" s="87" t="str">
        <f aca="false">IF(D59="","",SUMIFS(GASTOS!$H$7:$H$5000,GASTOS!$F$7:$F$5000,$A59,GASTOS!$L$7:$L$5000,"Materiales y equipos"))</f>
        <v/>
      </c>
      <c r="G59" s="88" t="str">
        <f aca="false">IF(D59="","",N(E59)+F59)</f>
        <v/>
      </c>
      <c r="H59" s="88" t="str">
        <f aca="false">IF(OR(D59="",S59="Servicio"),"",MAX(0,D59-G59))</f>
        <v/>
      </c>
      <c r="I59" s="36" t="str">
        <f aca="false">IF(OR(D59="",S59="Servicio",N(D59)=0),"",MIN(1,G59/D59))</f>
        <v/>
      </c>
      <c r="J59" s="10" t="str">
        <f aca="false">IF(D59="","",PRESUPUESTO!O55)</f>
        <v/>
      </c>
      <c r="K59" s="10" t="str">
        <f aca="false">IF(D59="","",SUMIFS(GASTOS!$J$7:$J$5000,GASTOS!$F$7:$F$5000,$A59,GASTOS!$L$7:$L$5000,"Materiales y equipos"))</f>
        <v/>
      </c>
      <c r="L59" s="105" t="str">
        <f aca="false">IF(D59="","",COUNTIFS(GASTOS!$F$7:$F$5000,$A59,GASTOS!$L$7:$L$5000,"Materiales y equipos"))</f>
        <v/>
      </c>
      <c r="M59" s="10" t="str">
        <f aca="false">IF(OR(D59="",N(F59)=0),"",K59/F59)</f>
        <v/>
      </c>
      <c r="N59" s="10" t="str">
        <f aca="false">IF(OR(D59="",N(L59)=0),"",IFERROR(LOOKUP(2,1/((GASTOS!$F$7:$F$5000=$A59)*(GASTOS!$L$7:$L$5000="Materiales y equipos")*(GASTOS!$I$7:$I$5000&lt;&gt;"")),GASTOS!$I$7:$I$5000),""))</f>
        <v/>
      </c>
      <c r="O59" s="23" t="str">
        <f aca="false">IF(OR(D59="",N(L59)=0),"",IFERROR(LOOKUP(2,1/((GASTOS!$F$7:$F$5000=$A59)*(GASTOS!$L$7:$L$5000="Materiales y equipos")*(GASTOS!$I$7:$I$5000&lt;&gt;"")),GASTOS!$D$7:$D$5000),""))</f>
        <v/>
      </c>
      <c r="P59" s="10" t="str">
        <f aca="false">IF(D59="","",N(PRESUPUESTO!I55))</f>
        <v/>
      </c>
      <c r="Q59" s="36" t="str">
        <f aca="false">IF(OR(D59="",N59="",N(P59)=0),"",N59/P59-1)</f>
        <v/>
      </c>
      <c r="R59" s="10" t="str">
        <f aca="false">IF(OR(D59="",S59="Servicio"),"",H59*IF(N59&lt;&gt;"",N59,P59))</f>
        <v/>
      </c>
      <c r="S59" s="39" t="str">
        <f aca="false">IF(D59="","",IF(N(PRESUPUESTO!H55)=0,"Servicio",IF(G59=0,"Sin comprar",IF(G59&gt;=D59,"Comprado","Parcial"))))</f>
        <v/>
      </c>
      <c r="T59" s="86" t="str">
        <f aca="false">IF(AND(ISNUMBER(Q59),N(Q59)&gt;0.1),"Precio +"&amp;TEXT(Q59,"0%"),"")</f>
        <v/>
      </c>
      <c r="U59" s="0" t="str">
        <f aca="false">IF(OR(D59="",S59="Servicio"),"",MIN(G59,D59)*P59)</f>
        <v/>
      </c>
      <c r="V59" s="0" t="str">
        <f aca="false">IF(OR(D59="",S59="Servicio"),"",D59*P59)</f>
        <v/>
      </c>
    </row>
    <row r="60" customFormat="false" ht="16.5" hidden="false" customHeight="true" outlineLevel="0" collapsed="false">
      <c r="A60" s="23" t="str">
        <f aca="false">IF(PRESUPUESTO!$A56="Ítem",PRESUPUESTO!B56,"")</f>
        <v/>
      </c>
      <c r="B60" s="23" t="str">
        <f aca="false">IF(PRESUPUESTO!C56="","",PRESUPUESTO!C56)</f>
        <v/>
      </c>
      <c r="C60" s="86" t="str">
        <f aca="false">IF(PRESUPUESTO!$A56="Ítem",PRESUPUESTO!D56,"")</f>
        <v/>
      </c>
      <c r="D60" s="87" t="str">
        <f aca="false">IF(PRESUPUESTO!$A56&lt;&gt;"Ítem","",MAX(N(PRESUPUESTO!E56),N('CORTES CLIENTE'!L69)))</f>
        <v/>
      </c>
      <c r="E60" s="80"/>
      <c r="F60" s="87" t="str">
        <f aca="false">IF(D60="","",SUMIFS(GASTOS!$H$7:$H$5000,GASTOS!$F$7:$F$5000,$A60,GASTOS!$L$7:$L$5000,"Materiales y equipos"))</f>
        <v/>
      </c>
      <c r="G60" s="88" t="str">
        <f aca="false">IF(D60="","",N(E60)+F60)</f>
        <v/>
      </c>
      <c r="H60" s="88" t="str">
        <f aca="false">IF(OR(D60="",S60="Servicio"),"",MAX(0,D60-G60))</f>
        <v/>
      </c>
      <c r="I60" s="36" t="str">
        <f aca="false">IF(OR(D60="",S60="Servicio",N(D60)=0),"",MIN(1,G60/D60))</f>
        <v/>
      </c>
      <c r="J60" s="10" t="str">
        <f aca="false">IF(D60="","",PRESUPUESTO!O56)</f>
        <v/>
      </c>
      <c r="K60" s="10" t="str">
        <f aca="false">IF(D60="","",SUMIFS(GASTOS!$J$7:$J$5000,GASTOS!$F$7:$F$5000,$A60,GASTOS!$L$7:$L$5000,"Materiales y equipos"))</f>
        <v/>
      </c>
      <c r="L60" s="105" t="str">
        <f aca="false">IF(D60="","",COUNTIFS(GASTOS!$F$7:$F$5000,$A60,GASTOS!$L$7:$L$5000,"Materiales y equipos"))</f>
        <v/>
      </c>
      <c r="M60" s="10" t="str">
        <f aca="false">IF(OR(D60="",N(F60)=0),"",K60/F60)</f>
        <v/>
      </c>
      <c r="N60" s="10" t="str">
        <f aca="false">IF(OR(D60="",N(L60)=0),"",IFERROR(LOOKUP(2,1/((GASTOS!$F$7:$F$5000=$A60)*(GASTOS!$L$7:$L$5000="Materiales y equipos")*(GASTOS!$I$7:$I$5000&lt;&gt;"")),GASTOS!$I$7:$I$5000),""))</f>
        <v/>
      </c>
      <c r="O60" s="23" t="str">
        <f aca="false">IF(OR(D60="",N(L60)=0),"",IFERROR(LOOKUP(2,1/((GASTOS!$F$7:$F$5000=$A60)*(GASTOS!$L$7:$L$5000="Materiales y equipos")*(GASTOS!$I$7:$I$5000&lt;&gt;"")),GASTOS!$D$7:$D$5000),""))</f>
        <v/>
      </c>
      <c r="P60" s="10" t="str">
        <f aca="false">IF(D60="","",N(PRESUPUESTO!I56))</f>
        <v/>
      </c>
      <c r="Q60" s="36" t="str">
        <f aca="false">IF(OR(D60="",N60="",N(P60)=0),"",N60/P60-1)</f>
        <v/>
      </c>
      <c r="R60" s="10" t="str">
        <f aca="false">IF(OR(D60="",S60="Servicio"),"",H60*IF(N60&lt;&gt;"",N60,P60))</f>
        <v/>
      </c>
      <c r="S60" s="39" t="str">
        <f aca="false">IF(D60="","",IF(N(PRESUPUESTO!H56)=0,"Servicio",IF(G60=0,"Sin comprar",IF(G60&gt;=D60,"Comprado","Parcial"))))</f>
        <v/>
      </c>
      <c r="T60" s="86" t="str">
        <f aca="false">IF(AND(ISNUMBER(Q60),N(Q60)&gt;0.1),"Precio +"&amp;TEXT(Q60,"0%"),"")</f>
        <v/>
      </c>
      <c r="U60" s="0" t="str">
        <f aca="false">IF(OR(D60="",S60="Servicio"),"",MIN(G60,D60)*P60)</f>
        <v/>
      </c>
      <c r="V60" s="0" t="str">
        <f aca="false">IF(OR(D60="",S60="Servicio"),"",D60*P60)</f>
        <v/>
      </c>
    </row>
    <row r="61" customFormat="false" ht="16.5" hidden="false" customHeight="true" outlineLevel="0" collapsed="false">
      <c r="A61" s="23" t="str">
        <f aca="false">IF(PRESUPUESTO!$A57="Ítem",PRESUPUESTO!B57,"")</f>
        <v/>
      </c>
      <c r="B61" s="23" t="str">
        <f aca="false">IF(PRESUPUESTO!C57="","",PRESUPUESTO!C57)</f>
        <v/>
      </c>
      <c r="C61" s="86" t="str">
        <f aca="false">IF(PRESUPUESTO!$A57="Ítem",PRESUPUESTO!D57,"")</f>
        <v/>
      </c>
      <c r="D61" s="87" t="str">
        <f aca="false">IF(PRESUPUESTO!$A57&lt;&gt;"Ítem","",MAX(N(PRESUPUESTO!E57),N('CORTES CLIENTE'!L70)))</f>
        <v/>
      </c>
      <c r="E61" s="80"/>
      <c r="F61" s="87" t="str">
        <f aca="false">IF(D61="","",SUMIFS(GASTOS!$H$7:$H$5000,GASTOS!$F$7:$F$5000,$A61,GASTOS!$L$7:$L$5000,"Materiales y equipos"))</f>
        <v/>
      </c>
      <c r="G61" s="88" t="str">
        <f aca="false">IF(D61="","",N(E61)+F61)</f>
        <v/>
      </c>
      <c r="H61" s="88" t="str">
        <f aca="false">IF(OR(D61="",S61="Servicio"),"",MAX(0,D61-G61))</f>
        <v/>
      </c>
      <c r="I61" s="36" t="str">
        <f aca="false">IF(OR(D61="",S61="Servicio",N(D61)=0),"",MIN(1,G61/D61))</f>
        <v/>
      </c>
      <c r="J61" s="10" t="str">
        <f aca="false">IF(D61="","",PRESUPUESTO!O57)</f>
        <v/>
      </c>
      <c r="K61" s="10" t="str">
        <f aca="false">IF(D61="","",SUMIFS(GASTOS!$J$7:$J$5000,GASTOS!$F$7:$F$5000,$A61,GASTOS!$L$7:$L$5000,"Materiales y equipos"))</f>
        <v/>
      </c>
      <c r="L61" s="105" t="str">
        <f aca="false">IF(D61="","",COUNTIFS(GASTOS!$F$7:$F$5000,$A61,GASTOS!$L$7:$L$5000,"Materiales y equipos"))</f>
        <v/>
      </c>
      <c r="M61" s="10" t="str">
        <f aca="false">IF(OR(D61="",N(F61)=0),"",K61/F61)</f>
        <v/>
      </c>
      <c r="N61" s="10" t="str">
        <f aca="false">IF(OR(D61="",N(L61)=0),"",IFERROR(LOOKUP(2,1/((GASTOS!$F$7:$F$5000=$A61)*(GASTOS!$L$7:$L$5000="Materiales y equipos")*(GASTOS!$I$7:$I$5000&lt;&gt;"")),GASTOS!$I$7:$I$5000),""))</f>
        <v/>
      </c>
      <c r="O61" s="23" t="str">
        <f aca="false">IF(OR(D61="",N(L61)=0),"",IFERROR(LOOKUP(2,1/((GASTOS!$F$7:$F$5000=$A61)*(GASTOS!$L$7:$L$5000="Materiales y equipos")*(GASTOS!$I$7:$I$5000&lt;&gt;"")),GASTOS!$D$7:$D$5000),""))</f>
        <v/>
      </c>
      <c r="P61" s="10" t="str">
        <f aca="false">IF(D61="","",N(PRESUPUESTO!I57))</f>
        <v/>
      </c>
      <c r="Q61" s="36" t="str">
        <f aca="false">IF(OR(D61="",N61="",N(P61)=0),"",N61/P61-1)</f>
        <v/>
      </c>
      <c r="R61" s="10" t="str">
        <f aca="false">IF(OR(D61="",S61="Servicio"),"",H61*IF(N61&lt;&gt;"",N61,P61))</f>
        <v/>
      </c>
      <c r="S61" s="39" t="str">
        <f aca="false">IF(D61="","",IF(N(PRESUPUESTO!H57)=0,"Servicio",IF(G61=0,"Sin comprar",IF(G61&gt;=D61,"Comprado","Parcial"))))</f>
        <v/>
      </c>
      <c r="T61" s="86" t="str">
        <f aca="false">IF(AND(ISNUMBER(Q61),N(Q61)&gt;0.1),"Precio +"&amp;TEXT(Q61,"0%"),"")</f>
        <v/>
      </c>
      <c r="U61" s="0" t="str">
        <f aca="false">IF(OR(D61="",S61="Servicio"),"",MIN(G61,D61)*P61)</f>
        <v/>
      </c>
      <c r="V61" s="0" t="str">
        <f aca="false">IF(OR(D61="",S61="Servicio"),"",D61*P61)</f>
        <v/>
      </c>
    </row>
    <row r="62" customFormat="false" ht="16.5" hidden="false" customHeight="true" outlineLevel="0" collapsed="false">
      <c r="A62" s="23" t="str">
        <f aca="false">IF(PRESUPUESTO!$A58="Ítem",PRESUPUESTO!B58,"")</f>
        <v/>
      </c>
      <c r="B62" s="23" t="str">
        <f aca="false">IF(PRESUPUESTO!C58="","",PRESUPUESTO!C58)</f>
        <v/>
      </c>
      <c r="C62" s="86" t="str">
        <f aca="false">IF(PRESUPUESTO!$A58="Ítem",PRESUPUESTO!D58,"")</f>
        <v/>
      </c>
      <c r="D62" s="87" t="str">
        <f aca="false">IF(PRESUPUESTO!$A58&lt;&gt;"Ítem","",MAX(N(PRESUPUESTO!E58),N('CORTES CLIENTE'!L71)))</f>
        <v/>
      </c>
      <c r="E62" s="80"/>
      <c r="F62" s="87" t="str">
        <f aca="false">IF(D62="","",SUMIFS(GASTOS!$H$7:$H$5000,GASTOS!$F$7:$F$5000,$A62,GASTOS!$L$7:$L$5000,"Materiales y equipos"))</f>
        <v/>
      </c>
      <c r="G62" s="88" t="str">
        <f aca="false">IF(D62="","",N(E62)+F62)</f>
        <v/>
      </c>
      <c r="H62" s="88" t="str">
        <f aca="false">IF(OR(D62="",S62="Servicio"),"",MAX(0,D62-G62))</f>
        <v/>
      </c>
      <c r="I62" s="36" t="str">
        <f aca="false">IF(OR(D62="",S62="Servicio",N(D62)=0),"",MIN(1,G62/D62))</f>
        <v/>
      </c>
      <c r="J62" s="10" t="str">
        <f aca="false">IF(D62="","",PRESUPUESTO!O58)</f>
        <v/>
      </c>
      <c r="K62" s="10" t="str">
        <f aca="false">IF(D62="","",SUMIFS(GASTOS!$J$7:$J$5000,GASTOS!$F$7:$F$5000,$A62,GASTOS!$L$7:$L$5000,"Materiales y equipos"))</f>
        <v/>
      </c>
      <c r="L62" s="105" t="str">
        <f aca="false">IF(D62="","",COUNTIFS(GASTOS!$F$7:$F$5000,$A62,GASTOS!$L$7:$L$5000,"Materiales y equipos"))</f>
        <v/>
      </c>
      <c r="M62" s="10" t="str">
        <f aca="false">IF(OR(D62="",N(F62)=0),"",K62/F62)</f>
        <v/>
      </c>
      <c r="N62" s="10" t="str">
        <f aca="false">IF(OR(D62="",N(L62)=0),"",IFERROR(LOOKUP(2,1/((GASTOS!$F$7:$F$5000=$A62)*(GASTOS!$L$7:$L$5000="Materiales y equipos")*(GASTOS!$I$7:$I$5000&lt;&gt;"")),GASTOS!$I$7:$I$5000),""))</f>
        <v/>
      </c>
      <c r="O62" s="23" t="str">
        <f aca="false">IF(OR(D62="",N(L62)=0),"",IFERROR(LOOKUP(2,1/((GASTOS!$F$7:$F$5000=$A62)*(GASTOS!$L$7:$L$5000="Materiales y equipos")*(GASTOS!$I$7:$I$5000&lt;&gt;"")),GASTOS!$D$7:$D$5000),""))</f>
        <v/>
      </c>
      <c r="P62" s="10" t="str">
        <f aca="false">IF(D62="","",N(PRESUPUESTO!I58))</f>
        <v/>
      </c>
      <c r="Q62" s="36" t="str">
        <f aca="false">IF(OR(D62="",N62="",N(P62)=0),"",N62/P62-1)</f>
        <v/>
      </c>
      <c r="R62" s="10" t="str">
        <f aca="false">IF(OR(D62="",S62="Servicio"),"",H62*IF(N62&lt;&gt;"",N62,P62))</f>
        <v/>
      </c>
      <c r="S62" s="39" t="str">
        <f aca="false">IF(D62="","",IF(N(PRESUPUESTO!H58)=0,"Servicio",IF(G62=0,"Sin comprar",IF(G62&gt;=D62,"Comprado","Parcial"))))</f>
        <v/>
      </c>
      <c r="T62" s="86" t="str">
        <f aca="false">IF(AND(ISNUMBER(Q62),N(Q62)&gt;0.1),"Precio +"&amp;TEXT(Q62,"0%"),"")</f>
        <v/>
      </c>
      <c r="U62" s="0" t="str">
        <f aca="false">IF(OR(D62="",S62="Servicio"),"",MIN(G62,D62)*P62)</f>
        <v/>
      </c>
      <c r="V62" s="0" t="str">
        <f aca="false">IF(OR(D62="",S62="Servicio"),"",D62*P62)</f>
        <v/>
      </c>
    </row>
    <row r="63" customFormat="false" ht="16.5" hidden="false" customHeight="true" outlineLevel="0" collapsed="false">
      <c r="A63" s="23" t="str">
        <f aca="false">IF(PRESUPUESTO!$A59="Ítem",PRESUPUESTO!B59,"")</f>
        <v/>
      </c>
      <c r="B63" s="23" t="str">
        <f aca="false">IF(PRESUPUESTO!C59="","",PRESUPUESTO!C59)</f>
        <v/>
      </c>
      <c r="C63" s="86" t="str">
        <f aca="false">IF(PRESUPUESTO!$A59="Ítem",PRESUPUESTO!D59,"")</f>
        <v/>
      </c>
      <c r="D63" s="87" t="str">
        <f aca="false">IF(PRESUPUESTO!$A59&lt;&gt;"Ítem","",MAX(N(PRESUPUESTO!E59),N('CORTES CLIENTE'!L72)))</f>
        <v/>
      </c>
      <c r="E63" s="80"/>
      <c r="F63" s="87" t="str">
        <f aca="false">IF(D63="","",SUMIFS(GASTOS!$H$7:$H$5000,GASTOS!$F$7:$F$5000,$A63,GASTOS!$L$7:$L$5000,"Materiales y equipos"))</f>
        <v/>
      </c>
      <c r="G63" s="88" t="str">
        <f aca="false">IF(D63="","",N(E63)+F63)</f>
        <v/>
      </c>
      <c r="H63" s="88" t="str">
        <f aca="false">IF(OR(D63="",S63="Servicio"),"",MAX(0,D63-G63))</f>
        <v/>
      </c>
      <c r="I63" s="36" t="str">
        <f aca="false">IF(OR(D63="",S63="Servicio",N(D63)=0),"",MIN(1,G63/D63))</f>
        <v/>
      </c>
      <c r="J63" s="10" t="str">
        <f aca="false">IF(D63="","",PRESUPUESTO!O59)</f>
        <v/>
      </c>
      <c r="K63" s="10" t="str">
        <f aca="false">IF(D63="","",SUMIFS(GASTOS!$J$7:$J$5000,GASTOS!$F$7:$F$5000,$A63,GASTOS!$L$7:$L$5000,"Materiales y equipos"))</f>
        <v/>
      </c>
      <c r="L63" s="105" t="str">
        <f aca="false">IF(D63="","",COUNTIFS(GASTOS!$F$7:$F$5000,$A63,GASTOS!$L$7:$L$5000,"Materiales y equipos"))</f>
        <v/>
      </c>
      <c r="M63" s="10" t="str">
        <f aca="false">IF(OR(D63="",N(F63)=0),"",K63/F63)</f>
        <v/>
      </c>
      <c r="N63" s="10" t="str">
        <f aca="false">IF(OR(D63="",N(L63)=0),"",IFERROR(LOOKUP(2,1/((GASTOS!$F$7:$F$5000=$A63)*(GASTOS!$L$7:$L$5000="Materiales y equipos")*(GASTOS!$I$7:$I$5000&lt;&gt;"")),GASTOS!$I$7:$I$5000),""))</f>
        <v/>
      </c>
      <c r="O63" s="23" t="str">
        <f aca="false">IF(OR(D63="",N(L63)=0),"",IFERROR(LOOKUP(2,1/((GASTOS!$F$7:$F$5000=$A63)*(GASTOS!$L$7:$L$5000="Materiales y equipos")*(GASTOS!$I$7:$I$5000&lt;&gt;"")),GASTOS!$D$7:$D$5000),""))</f>
        <v/>
      </c>
      <c r="P63" s="10" t="str">
        <f aca="false">IF(D63="","",N(PRESUPUESTO!I59))</f>
        <v/>
      </c>
      <c r="Q63" s="36" t="str">
        <f aca="false">IF(OR(D63="",N63="",N(P63)=0),"",N63/P63-1)</f>
        <v/>
      </c>
      <c r="R63" s="10" t="str">
        <f aca="false">IF(OR(D63="",S63="Servicio"),"",H63*IF(N63&lt;&gt;"",N63,P63))</f>
        <v/>
      </c>
      <c r="S63" s="39" t="str">
        <f aca="false">IF(D63="","",IF(N(PRESUPUESTO!H59)=0,"Servicio",IF(G63=0,"Sin comprar",IF(G63&gt;=D63,"Comprado","Parcial"))))</f>
        <v/>
      </c>
      <c r="T63" s="86" t="str">
        <f aca="false">IF(AND(ISNUMBER(Q63),N(Q63)&gt;0.1),"Precio +"&amp;TEXT(Q63,"0%"),"")</f>
        <v/>
      </c>
      <c r="U63" s="0" t="str">
        <f aca="false">IF(OR(D63="",S63="Servicio"),"",MIN(G63,D63)*P63)</f>
        <v/>
      </c>
      <c r="V63" s="0" t="str">
        <f aca="false">IF(OR(D63="",S63="Servicio"),"",D63*P63)</f>
        <v/>
      </c>
    </row>
    <row r="64" customFormat="false" ht="16.5" hidden="false" customHeight="true" outlineLevel="0" collapsed="false">
      <c r="A64" s="23" t="str">
        <f aca="false">IF(PRESUPUESTO!$A60="Ítem",PRESUPUESTO!B60,"")</f>
        <v/>
      </c>
      <c r="B64" s="23" t="str">
        <f aca="false">IF(PRESUPUESTO!C60="","",PRESUPUESTO!C60)</f>
        <v/>
      </c>
      <c r="C64" s="86" t="str">
        <f aca="false">IF(PRESUPUESTO!$A60="Ítem",PRESUPUESTO!D60,"")</f>
        <v/>
      </c>
      <c r="D64" s="87" t="str">
        <f aca="false">IF(PRESUPUESTO!$A60&lt;&gt;"Ítem","",MAX(N(PRESUPUESTO!E60),N('CORTES CLIENTE'!L73)))</f>
        <v/>
      </c>
      <c r="E64" s="80"/>
      <c r="F64" s="87" t="str">
        <f aca="false">IF(D64="","",SUMIFS(GASTOS!$H$7:$H$5000,GASTOS!$F$7:$F$5000,$A64,GASTOS!$L$7:$L$5000,"Materiales y equipos"))</f>
        <v/>
      </c>
      <c r="G64" s="88" t="str">
        <f aca="false">IF(D64="","",N(E64)+F64)</f>
        <v/>
      </c>
      <c r="H64" s="88" t="str">
        <f aca="false">IF(OR(D64="",S64="Servicio"),"",MAX(0,D64-G64))</f>
        <v/>
      </c>
      <c r="I64" s="36" t="str">
        <f aca="false">IF(OR(D64="",S64="Servicio",N(D64)=0),"",MIN(1,G64/D64))</f>
        <v/>
      </c>
      <c r="J64" s="10" t="str">
        <f aca="false">IF(D64="","",PRESUPUESTO!O60)</f>
        <v/>
      </c>
      <c r="K64" s="10" t="str">
        <f aca="false">IF(D64="","",SUMIFS(GASTOS!$J$7:$J$5000,GASTOS!$F$7:$F$5000,$A64,GASTOS!$L$7:$L$5000,"Materiales y equipos"))</f>
        <v/>
      </c>
      <c r="L64" s="105" t="str">
        <f aca="false">IF(D64="","",COUNTIFS(GASTOS!$F$7:$F$5000,$A64,GASTOS!$L$7:$L$5000,"Materiales y equipos"))</f>
        <v/>
      </c>
      <c r="M64" s="10" t="str">
        <f aca="false">IF(OR(D64="",N(F64)=0),"",K64/F64)</f>
        <v/>
      </c>
      <c r="N64" s="10" t="str">
        <f aca="false">IF(OR(D64="",N(L64)=0),"",IFERROR(LOOKUP(2,1/((GASTOS!$F$7:$F$5000=$A64)*(GASTOS!$L$7:$L$5000="Materiales y equipos")*(GASTOS!$I$7:$I$5000&lt;&gt;"")),GASTOS!$I$7:$I$5000),""))</f>
        <v/>
      </c>
      <c r="O64" s="23" t="str">
        <f aca="false">IF(OR(D64="",N(L64)=0),"",IFERROR(LOOKUP(2,1/((GASTOS!$F$7:$F$5000=$A64)*(GASTOS!$L$7:$L$5000="Materiales y equipos")*(GASTOS!$I$7:$I$5000&lt;&gt;"")),GASTOS!$D$7:$D$5000),""))</f>
        <v/>
      </c>
      <c r="P64" s="10" t="str">
        <f aca="false">IF(D64="","",N(PRESUPUESTO!I60))</f>
        <v/>
      </c>
      <c r="Q64" s="36" t="str">
        <f aca="false">IF(OR(D64="",N64="",N(P64)=0),"",N64/P64-1)</f>
        <v/>
      </c>
      <c r="R64" s="10" t="str">
        <f aca="false">IF(OR(D64="",S64="Servicio"),"",H64*IF(N64&lt;&gt;"",N64,P64))</f>
        <v/>
      </c>
      <c r="S64" s="39" t="str">
        <f aca="false">IF(D64="","",IF(N(PRESUPUESTO!H60)=0,"Servicio",IF(G64=0,"Sin comprar",IF(G64&gt;=D64,"Comprado","Parcial"))))</f>
        <v/>
      </c>
      <c r="T64" s="86" t="str">
        <f aca="false">IF(AND(ISNUMBER(Q64),N(Q64)&gt;0.1),"Precio +"&amp;TEXT(Q64,"0%"),"")</f>
        <v/>
      </c>
      <c r="U64" s="0" t="str">
        <f aca="false">IF(OR(D64="",S64="Servicio"),"",MIN(G64,D64)*P64)</f>
        <v/>
      </c>
      <c r="V64" s="0" t="str">
        <f aca="false">IF(OR(D64="",S64="Servicio"),"",D64*P64)</f>
        <v/>
      </c>
    </row>
    <row r="65" customFormat="false" ht="16.5" hidden="false" customHeight="true" outlineLevel="0" collapsed="false">
      <c r="A65" s="23" t="str">
        <f aca="false">IF(PRESUPUESTO!$A61="Ítem",PRESUPUESTO!B61,"")</f>
        <v/>
      </c>
      <c r="B65" s="23" t="str">
        <f aca="false">IF(PRESUPUESTO!C61="","",PRESUPUESTO!C61)</f>
        <v/>
      </c>
      <c r="C65" s="86" t="str">
        <f aca="false">IF(PRESUPUESTO!$A61="Ítem",PRESUPUESTO!D61,"")</f>
        <v/>
      </c>
      <c r="D65" s="87" t="str">
        <f aca="false">IF(PRESUPUESTO!$A61&lt;&gt;"Ítem","",MAX(N(PRESUPUESTO!E61),N('CORTES CLIENTE'!L74)))</f>
        <v/>
      </c>
      <c r="E65" s="80"/>
      <c r="F65" s="87" t="str">
        <f aca="false">IF(D65="","",SUMIFS(GASTOS!$H$7:$H$5000,GASTOS!$F$7:$F$5000,$A65,GASTOS!$L$7:$L$5000,"Materiales y equipos"))</f>
        <v/>
      </c>
      <c r="G65" s="88" t="str">
        <f aca="false">IF(D65="","",N(E65)+F65)</f>
        <v/>
      </c>
      <c r="H65" s="88" t="str">
        <f aca="false">IF(OR(D65="",S65="Servicio"),"",MAX(0,D65-G65))</f>
        <v/>
      </c>
      <c r="I65" s="36" t="str">
        <f aca="false">IF(OR(D65="",S65="Servicio",N(D65)=0),"",MIN(1,G65/D65))</f>
        <v/>
      </c>
      <c r="J65" s="10" t="str">
        <f aca="false">IF(D65="","",PRESUPUESTO!O61)</f>
        <v/>
      </c>
      <c r="K65" s="10" t="str">
        <f aca="false">IF(D65="","",SUMIFS(GASTOS!$J$7:$J$5000,GASTOS!$F$7:$F$5000,$A65,GASTOS!$L$7:$L$5000,"Materiales y equipos"))</f>
        <v/>
      </c>
      <c r="L65" s="105" t="str">
        <f aca="false">IF(D65="","",COUNTIFS(GASTOS!$F$7:$F$5000,$A65,GASTOS!$L$7:$L$5000,"Materiales y equipos"))</f>
        <v/>
      </c>
      <c r="M65" s="10" t="str">
        <f aca="false">IF(OR(D65="",N(F65)=0),"",K65/F65)</f>
        <v/>
      </c>
      <c r="N65" s="10" t="str">
        <f aca="false">IF(OR(D65="",N(L65)=0),"",IFERROR(LOOKUP(2,1/((GASTOS!$F$7:$F$5000=$A65)*(GASTOS!$L$7:$L$5000="Materiales y equipos")*(GASTOS!$I$7:$I$5000&lt;&gt;"")),GASTOS!$I$7:$I$5000),""))</f>
        <v/>
      </c>
      <c r="O65" s="23" t="str">
        <f aca="false">IF(OR(D65="",N(L65)=0),"",IFERROR(LOOKUP(2,1/((GASTOS!$F$7:$F$5000=$A65)*(GASTOS!$L$7:$L$5000="Materiales y equipos")*(GASTOS!$I$7:$I$5000&lt;&gt;"")),GASTOS!$D$7:$D$5000),""))</f>
        <v/>
      </c>
      <c r="P65" s="10" t="str">
        <f aca="false">IF(D65="","",N(PRESUPUESTO!I61))</f>
        <v/>
      </c>
      <c r="Q65" s="36" t="str">
        <f aca="false">IF(OR(D65="",N65="",N(P65)=0),"",N65/P65-1)</f>
        <v/>
      </c>
      <c r="R65" s="10" t="str">
        <f aca="false">IF(OR(D65="",S65="Servicio"),"",H65*IF(N65&lt;&gt;"",N65,P65))</f>
        <v/>
      </c>
      <c r="S65" s="39" t="str">
        <f aca="false">IF(D65="","",IF(N(PRESUPUESTO!H61)=0,"Servicio",IF(G65=0,"Sin comprar",IF(G65&gt;=D65,"Comprado","Parcial"))))</f>
        <v/>
      </c>
      <c r="T65" s="86" t="str">
        <f aca="false">IF(AND(ISNUMBER(Q65),N(Q65)&gt;0.1),"Precio +"&amp;TEXT(Q65,"0%"),"")</f>
        <v/>
      </c>
      <c r="U65" s="0" t="str">
        <f aca="false">IF(OR(D65="",S65="Servicio"),"",MIN(G65,D65)*P65)</f>
        <v/>
      </c>
      <c r="V65" s="0" t="str">
        <f aca="false">IF(OR(D65="",S65="Servicio"),"",D65*P65)</f>
        <v/>
      </c>
    </row>
    <row r="66" customFormat="false" ht="16.5" hidden="false" customHeight="true" outlineLevel="0" collapsed="false">
      <c r="A66" s="23" t="str">
        <f aca="false">IF(PRESUPUESTO!$A62="Ítem",PRESUPUESTO!B62,"")</f>
        <v/>
      </c>
      <c r="B66" s="23" t="str">
        <f aca="false">IF(PRESUPUESTO!C62="","",PRESUPUESTO!C62)</f>
        <v/>
      </c>
      <c r="C66" s="86" t="str">
        <f aca="false">IF(PRESUPUESTO!$A62="Ítem",PRESUPUESTO!D62,"")</f>
        <v/>
      </c>
      <c r="D66" s="87" t="str">
        <f aca="false">IF(PRESUPUESTO!$A62&lt;&gt;"Ítem","",MAX(N(PRESUPUESTO!E62),N('CORTES CLIENTE'!L75)))</f>
        <v/>
      </c>
      <c r="E66" s="80"/>
      <c r="F66" s="87" t="str">
        <f aca="false">IF(D66="","",SUMIFS(GASTOS!$H$7:$H$5000,GASTOS!$F$7:$F$5000,$A66,GASTOS!$L$7:$L$5000,"Materiales y equipos"))</f>
        <v/>
      </c>
      <c r="G66" s="88" t="str">
        <f aca="false">IF(D66="","",N(E66)+F66)</f>
        <v/>
      </c>
      <c r="H66" s="88" t="str">
        <f aca="false">IF(OR(D66="",S66="Servicio"),"",MAX(0,D66-G66))</f>
        <v/>
      </c>
      <c r="I66" s="36" t="str">
        <f aca="false">IF(OR(D66="",S66="Servicio",N(D66)=0),"",MIN(1,G66/D66))</f>
        <v/>
      </c>
      <c r="J66" s="10" t="str">
        <f aca="false">IF(D66="","",PRESUPUESTO!O62)</f>
        <v/>
      </c>
      <c r="K66" s="10" t="str">
        <f aca="false">IF(D66="","",SUMIFS(GASTOS!$J$7:$J$5000,GASTOS!$F$7:$F$5000,$A66,GASTOS!$L$7:$L$5000,"Materiales y equipos"))</f>
        <v/>
      </c>
      <c r="L66" s="105" t="str">
        <f aca="false">IF(D66="","",COUNTIFS(GASTOS!$F$7:$F$5000,$A66,GASTOS!$L$7:$L$5000,"Materiales y equipos"))</f>
        <v/>
      </c>
      <c r="M66" s="10" t="str">
        <f aca="false">IF(OR(D66="",N(F66)=0),"",K66/F66)</f>
        <v/>
      </c>
      <c r="N66" s="10" t="str">
        <f aca="false">IF(OR(D66="",N(L66)=0),"",IFERROR(LOOKUP(2,1/((GASTOS!$F$7:$F$5000=$A66)*(GASTOS!$L$7:$L$5000="Materiales y equipos")*(GASTOS!$I$7:$I$5000&lt;&gt;"")),GASTOS!$I$7:$I$5000),""))</f>
        <v/>
      </c>
      <c r="O66" s="23" t="str">
        <f aca="false">IF(OR(D66="",N(L66)=0),"",IFERROR(LOOKUP(2,1/((GASTOS!$F$7:$F$5000=$A66)*(GASTOS!$L$7:$L$5000="Materiales y equipos")*(GASTOS!$I$7:$I$5000&lt;&gt;"")),GASTOS!$D$7:$D$5000),""))</f>
        <v/>
      </c>
      <c r="P66" s="10" t="str">
        <f aca="false">IF(D66="","",N(PRESUPUESTO!I62))</f>
        <v/>
      </c>
      <c r="Q66" s="36" t="str">
        <f aca="false">IF(OR(D66="",N66="",N(P66)=0),"",N66/P66-1)</f>
        <v/>
      </c>
      <c r="R66" s="10" t="str">
        <f aca="false">IF(OR(D66="",S66="Servicio"),"",H66*IF(N66&lt;&gt;"",N66,P66))</f>
        <v/>
      </c>
      <c r="S66" s="39" t="str">
        <f aca="false">IF(D66="","",IF(N(PRESUPUESTO!H62)=0,"Servicio",IF(G66=0,"Sin comprar",IF(G66&gt;=D66,"Comprado","Parcial"))))</f>
        <v/>
      </c>
      <c r="T66" s="86" t="str">
        <f aca="false">IF(AND(ISNUMBER(Q66),N(Q66)&gt;0.1),"Precio +"&amp;TEXT(Q66,"0%"),"")</f>
        <v/>
      </c>
      <c r="U66" s="0" t="str">
        <f aca="false">IF(OR(D66="",S66="Servicio"),"",MIN(G66,D66)*P66)</f>
        <v/>
      </c>
      <c r="V66" s="0" t="str">
        <f aca="false">IF(OR(D66="",S66="Servicio"),"",D66*P66)</f>
        <v/>
      </c>
    </row>
    <row r="67" customFormat="false" ht="16.5" hidden="false" customHeight="true" outlineLevel="0" collapsed="false">
      <c r="A67" s="23" t="str">
        <f aca="false">IF(PRESUPUESTO!$A63="Ítem",PRESUPUESTO!B63,"")</f>
        <v/>
      </c>
      <c r="B67" s="23" t="str">
        <f aca="false">IF(PRESUPUESTO!C63="","",PRESUPUESTO!C63)</f>
        <v/>
      </c>
      <c r="C67" s="86" t="str">
        <f aca="false">IF(PRESUPUESTO!$A63="Ítem",PRESUPUESTO!D63,"")</f>
        <v/>
      </c>
      <c r="D67" s="87" t="str">
        <f aca="false">IF(PRESUPUESTO!$A63&lt;&gt;"Ítem","",MAX(N(PRESUPUESTO!E63),N('CORTES CLIENTE'!L76)))</f>
        <v/>
      </c>
      <c r="E67" s="80"/>
      <c r="F67" s="87" t="str">
        <f aca="false">IF(D67="","",SUMIFS(GASTOS!$H$7:$H$5000,GASTOS!$F$7:$F$5000,$A67,GASTOS!$L$7:$L$5000,"Materiales y equipos"))</f>
        <v/>
      </c>
      <c r="G67" s="88" t="str">
        <f aca="false">IF(D67="","",N(E67)+F67)</f>
        <v/>
      </c>
      <c r="H67" s="88" t="str">
        <f aca="false">IF(OR(D67="",S67="Servicio"),"",MAX(0,D67-G67))</f>
        <v/>
      </c>
      <c r="I67" s="36" t="str">
        <f aca="false">IF(OR(D67="",S67="Servicio",N(D67)=0),"",MIN(1,G67/D67))</f>
        <v/>
      </c>
      <c r="J67" s="10" t="str">
        <f aca="false">IF(D67="","",PRESUPUESTO!O63)</f>
        <v/>
      </c>
      <c r="K67" s="10" t="str">
        <f aca="false">IF(D67="","",SUMIFS(GASTOS!$J$7:$J$5000,GASTOS!$F$7:$F$5000,$A67,GASTOS!$L$7:$L$5000,"Materiales y equipos"))</f>
        <v/>
      </c>
      <c r="L67" s="105" t="str">
        <f aca="false">IF(D67="","",COUNTIFS(GASTOS!$F$7:$F$5000,$A67,GASTOS!$L$7:$L$5000,"Materiales y equipos"))</f>
        <v/>
      </c>
      <c r="M67" s="10" t="str">
        <f aca="false">IF(OR(D67="",N(F67)=0),"",K67/F67)</f>
        <v/>
      </c>
      <c r="N67" s="10" t="str">
        <f aca="false">IF(OR(D67="",N(L67)=0),"",IFERROR(LOOKUP(2,1/((GASTOS!$F$7:$F$5000=$A67)*(GASTOS!$L$7:$L$5000="Materiales y equipos")*(GASTOS!$I$7:$I$5000&lt;&gt;"")),GASTOS!$I$7:$I$5000),""))</f>
        <v/>
      </c>
      <c r="O67" s="23" t="str">
        <f aca="false">IF(OR(D67="",N(L67)=0),"",IFERROR(LOOKUP(2,1/((GASTOS!$F$7:$F$5000=$A67)*(GASTOS!$L$7:$L$5000="Materiales y equipos")*(GASTOS!$I$7:$I$5000&lt;&gt;"")),GASTOS!$D$7:$D$5000),""))</f>
        <v/>
      </c>
      <c r="P67" s="10" t="str">
        <f aca="false">IF(D67="","",N(PRESUPUESTO!I63))</f>
        <v/>
      </c>
      <c r="Q67" s="36" t="str">
        <f aca="false">IF(OR(D67="",N67="",N(P67)=0),"",N67/P67-1)</f>
        <v/>
      </c>
      <c r="R67" s="10" t="str">
        <f aca="false">IF(OR(D67="",S67="Servicio"),"",H67*IF(N67&lt;&gt;"",N67,P67))</f>
        <v/>
      </c>
      <c r="S67" s="39" t="str">
        <f aca="false">IF(D67="","",IF(N(PRESUPUESTO!H63)=0,"Servicio",IF(G67=0,"Sin comprar",IF(G67&gt;=D67,"Comprado","Parcial"))))</f>
        <v/>
      </c>
      <c r="T67" s="86" t="str">
        <f aca="false">IF(AND(ISNUMBER(Q67),N(Q67)&gt;0.1),"Precio +"&amp;TEXT(Q67,"0%"),"")</f>
        <v/>
      </c>
      <c r="U67" s="0" t="str">
        <f aca="false">IF(OR(D67="",S67="Servicio"),"",MIN(G67,D67)*P67)</f>
        <v/>
      </c>
      <c r="V67" s="0" t="str">
        <f aca="false">IF(OR(D67="",S67="Servicio"),"",D67*P67)</f>
        <v/>
      </c>
    </row>
    <row r="68" customFormat="false" ht="16.5" hidden="false" customHeight="true" outlineLevel="0" collapsed="false">
      <c r="A68" s="23" t="str">
        <f aca="false">IF(PRESUPUESTO!$A64="Ítem",PRESUPUESTO!B64,"")</f>
        <v/>
      </c>
      <c r="B68" s="23" t="str">
        <f aca="false">IF(PRESUPUESTO!C64="","",PRESUPUESTO!C64)</f>
        <v/>
      </c>
      <c r="C68" s="86" t="str">
        <f aca="false">IF(PRESUPUESTO!$A64="Ítem",PRESUPUESTO!D64,"")</f>
        <v/>
      </c>
      <c r="D68" s="87" t="str">
        <f aca="false">IF(PRESUPUESTO!$A64&lt;&gt;"Ítem","",MAX(N(PRESUPUESTO!E64),N('CORTES CLIENTE'!L77)))</f>
        <v/>
      </c>
      <c r="E68" s="80"/>
      <c r="F68" s="87" t="str">
        <f aca="false">IF(D68="","",SUMIFS(GASTOS!$H$7:$H$5000,GASTOS!$F$7:$F$5000,$A68,GASTOS!$L$7:$L$5000,"Materiales y equipos"))</f>
        <v/>
      </c>
      <c r="G68" s="88" t="str">
        <f aca="false">IF(D68="","",N(E68)+F68)</f>
        <v/>
      </c>
      <c r="H68" s="88" t="str">
        <f aca="false">IF(OR(D68="",S68="Servicio"),"",MAX(0,D68-G68))</f>
        <v/>
      </c>
      <c r="I68" s="36" t="str">
        <f aca="false">IF(OR(D68="",S68="Servicio",N(D68)=0),"",MIN(1,G68/D68))</f>
        <v/>
      </c>
      <c r="J68" s="10" t="str">
        <f aca="false">IF(D68="","",PRESUPUESTO!O64)</f>
        <v/>
      </c>
      <c r="K68" s="10" t="str">
        <f aca="false">IF(D68="","",SUMIFS(GASTOS!$J$7:$J$5000,GASTOS!$F$7:$F$5000,$A68,GASTOS!$L$7:$L$5000,"Materiales y equipos"))</f>
        <v/>
      </c>
      <c r="L68" s="105" t="str">
        <f aca="false">IF(D68="","",COUNTIFS(GASTOS!$F$7:$F$5000,$A68,GASTOS!$L$7:$L$5000,"Materiales y equipos"))</f>
        <v/>
      </c>
      <c r="M68" s="10" t="str">
        <f aca="false">IF(OR(D68="",N(F68)=0),"",K68/F68)</f>
        <v/>
      </c>
      <c r="N68" s="10" t="str">
        <f aca="false">IF(OR(D68="",N(L68)=0),"",IFERROR(LOOKUP(2,1/((GASTOS!$F$7:$F$5000=$A68)*(GASTOS!$L$7:$L$5000="Materiales y equipos")*(GASTOS!$I$7:$I$5000&lt;&gt;"")),GASTOS!$I$7:$I$5000),""))</f>
        <v/>
      </c>
      <c r="O68" s="23" t="str">
        <f aca="false">IF(OR(D68="",N(L68)=0),"",IFERROR(LOOKUP(2,1/((GASTOS!$F$7:$F$5000=$A68)*(GASTOS!$L$7:$L$5000="Materiales y equipos")*(GASTOS!$I$7:$I$5000&lt;&gt;"")),GASTOS!$D$7:$D$5000),""))</f>
        <v/>
      </c>
      <c r="P68" s="10" t="str">
        <f aca="false">IF(D68="","",N(PRESUPUESTO!I64))</f>
        <v/>
      </c>
      <c r="Q68" s="36" t="str">
        <f aca="false">IF(OR(D68="",N68="",N(P68)=0),"",N68/P68-1)</f>
        <v/>
      </c>
      <c r="R68" s="10" t="str">
        <f aca="false">IF(OR(D68="",S68="Servicio"),"",H68*IF(N68&lt;&gt;"",N68,P68))</f>
        <v/>
      </c>
      <c r="S68" s="39" t="str">
        <f aca="false">IF(D68="","",IF(N(PRESUPUESTO!H64)=0,"Servicio",IF(G68=0,"Sin comprar",IF(G68&gt;=D68,"Comprado","Parcial"))))</f>
        <v/>
      </c>
      <c r="T68" s="86" t="str">
        <f aca="false">IF(AND(ISNUMBER(Q68),N(Q68)&gt;0.1),"Precio +"&amp;TEXT(Q68,"0%"),"")</f>
        <v/>
      </c>
      <c r="U68" s="0" t="str">
        <f aca="false">IF(OR(D68="",S68="Servicio"),"",MIN(G68,D68)*P68)</f>
        <v/>
      </c>
      <c r="V68" s="0" t="str">
        <f aca="false">IF(OR(D68="",S68="Servicio"),"",D68*P68)</f>
        <v/>
      </c>
    </row>
    <row r="69" customFormat="false" ht="16.5" hidden="false" customHeight="true" outlineLevel="0" collapsed="false">
      <c r="A69" s="23" t="str">
        <f aca="false">IF(PRESUPUESTO!$A65="Ítem",PRESUPUESTO!B65,"")</f>
        <v/>
      </c>
      <c r="B69" s="23" t="str">
        <f aca="false">IF(PRESUPUESTO!C65="","",PRESUPUESTO!C65)</f>
        <v/>
      </c>
      <c r="C69" s="86" t="str">
        <f aca="false">IF(PRESUPUESTO!$A65="Ítem",PRESUPUESTO!D65,"")</f>
        <v/>
      </c>
      <c r="D69" s="87" t="str">
        <f aca="false">IF(PRESUPUESTO!$A65&lt;&gt;"Ítem","",MAX(N(PRESUPUESTO!E65),N('CORTES CLIENTE'!L78)))</f>
        <v/>
      </c>
      <c r="E69" s="80"/>
      <c r="F69" s="87" t="str">
        <f aca="false">IF(D69="","",SUMIFS(GASTOS!$H$7:$H$5000,GASTOS!$F$7:$F$5000,$A69,GASTOS!$L$7:$L$5000,"Materiales y equipos"))</f>
        <v/>
      </c>
      <c r="G69" s="88" t="str">
        <f aca="false">IF(D69="","",N(E69)+F69)</f>
        <v/>
      </c>
      <c r="H69" s="88" t="str">
        <f aca="false">IF(OR(D69="",S69="Servicio"),"",MAX(0,D69-G69))</f>
        <v/>
      </c>
      <c r="I69" s="36" t="str">
        <f aca="false">IF(OR(D69="",S69="Servicio",N(D69)=0),"",MIN(1,G69/D69))</f>
        <v/>
      </c>
      <c r="J69" s="10" t="str">
        <f aca="false">IF(D69="","",PRESUPUESTO!O65)</f>
        <v/>
      </c>
      <c r="K69" s="10" t="str">
        <f aca="false">IF(D69="","",SUMIFS(GASTOS!$J$7:$J$5000,GASTOS!$F$7:$F$5000,$A69,GASTOS!$L$7:$L$5000,"Materiales y equipos"))</f>
        <v/>
      </c>
      <c r="L69" s="105" t="str">
        <f aca="false">IF(D69="","",COUNTIFS(GASTOS!$F$7:$F$5000,$A69,GASTOS!$L$7:$L$5000,"Materiales y equipos"))</f>
        <v/>
      </c>
      <c r="M69" s="10" t="str">
        <f aca="false">IF(OR(D69="",N(F69)=0),"",K69/F69)</f>
        <v/>
      </c>
      <c r="N69" s="10" t="str">
        <f aca="false">IF(OR(D69="",N(L69)=0),"",IFERROR(LOOKUP(2,1/((GASTOS!$F$7:$F$5000=$A69)*(GASTOS!$L$7:$L$5000="Materiales y equipos")*(GASTOS!$I$7:$I$5000&lt;&gt;"")),GASTOS!$I$7:$I$5000),""))</f>
        <v/>
      </c>
      <c r="O69" s="23" t="str">
        <f aca="false">IF(OR(D69="",N(L69)=0),"",IFERROR(LOOKUP(2,1/((GASTOS!$F$7:$F$5000=$A69)*(GASTOS!$L$7:$L$5000="Materiales y equipos")*(GASTOS!$I$7:$I$5000&lt;&gt;"")),GASTOS!$D$7:$D$5000),""))</f>
        <v/>
      </c>
      <c r="P69" s="10" t="str">
        <f aca="false">IF(D69="","",N(PRESUPUESTO!I65))</f>
        <v/>
      </c>
      <c r="Q69" s="36" t="str">
        <f aca="false">IF(OR(D69="",N69="",N(P69)=0),"",N69/P69-1)</f>
        <v/>
      </c>
      <c r="R69" s="10" t="str">
        <f aca="false">IF(OR(D69="",S69="Servicio"),"",H69*IF(N69&lt;&gt;"",N69,P69))</f>
        <v/>
      </c>
      <c r="S69" s="39" t="str">
        <f aca="false">IF(D69="","",IF(N(PRESUPUESTO!H65)=0,"Servicio",IF(G69=0,"Sin comprar",IF(G69&gt;=D69,"Comprado","Parcial"))))</f>
        <v/>
      </c>
      <c r="T69" s="86" t="str">
        <f aca="false">IF(AND(ISNUMBER(Q69),N(Q69)&gt;0.1),"Precio +"&amp;TEXT(Q69,"0%"),"")</f>
        <v/>
      </c>
      <c r="U69" s="0" t="str">
        <f aca="false">IF(OR(D69="",S69="Servicio"),"",MIN(G69,D69)*P69)</f>
        <v/>
      </c>
      <c r="V69" s="0" t="str">
        <f aca="false">IF(OR(D69="",S69="Servicio"),"",D69*P69)</f>
        <v/>
      </c>
    </row>
    <row r="70" customFormat="false" ht="16.5" hidden="false" customHeight="true" outlineLevel="0" collapsed="false">
      <c r="A70" s="23" t="str">
        <f aca="false">IF(PRESUPUESTO!$A66="Ítem",PRESUPUESTO!B66,"")</f>
        <v/>
      </c>
      <c r="B70" s="23" t="str">
        <f aca="false">IF(PRESUPUESTO!C66="","",PRESUPUESTO!C66)</f>
        <v/>
      </c>
      <c r="C70" s="86" t="str">
        <f aca="false">IF(PRESUPUESTO!$A66="Ítem",PRESUPUESTO!D66,"")</f>
        <v/>
      </c>
      <c r="D70" s="87" t="str">
        <f aca="false">IF(PRESUPUESTO!$A66&lt;&gt;"Ítem","",MAX(N(PRESUPUESTO!E66),N('CORTES CLIENTE'!L79)))</f>
        <v/>
      </c>
      <c r="E70" s="80"/>
      <c r="F70" s="87" t="str">
        <f aca="false">IF(D70="","",SUMIFS(GASTOS!$H$7:$H$5000,GASTOS!$F$7:$F$5000,$A70,GASTOS!$L$7:$L$5000,"Materiales y equipos"))</f>
        <v/>
      </c>
      <c r="G70" s="88" t="str">
        <f aca="false">IF(D70="","",N(E70)+F70)</f>
        <v/>
      </c>
      <c r="H70" s="88" t="str">
        <f aca="false">IF(OR(D70="",S70="Servicio"),"",MAX(0,D70-G70))</f>
        <v/>
      </c>
      <c r="I70" s="36" t="str">
        <f aca="false">IF(OR(D70="",S70="Servicio",N(D70)=0),"",MIN(1,G70/D70))</f>
        <v/>
      </c>
      <c r="J70" s="10" t="str">
        <f aca="false">IF(D70="","",PRESUPUESTO!O66)</f>
        <v/>
      </c>
      <c r="K70" s="10" t="str">
        <f aca="false">IF(D70="","",SUMIFS(GASTOS!$J$7:$J$5000,GASTOS!$F$7:$F$5000,$A70,GASTOS!$L$7:$L$5000,"Materiales y equipos"))</f>
        <v/>
      </c>
      <c r="L70" s="105" t="str">
        <f aca="false">IF(D70="","",COUNTIFS(GASTOS!$F$7:$F$5000,$A70,GASTOS!$L$7:$L$5000,"Materiales y equipos"))</f>
        <v/>
      </c>
      <c r="M70" s="10" t="str">
        <f aca="false">IF(OR(D70="",N(F70)=0),"",K70/F70)</f>
        <v/>
      </c>
      <c r="N70" s="10" t="str">
        <f aca="false">IF(OR(D70="",N(L70)=0),"",IFERROR(LOOKUP(2,1/((GASTOS!$F$7:$F$5000=$A70)*(GASTOS!$L$7:$L$5000="Materiales y equipos")*(GASTOS!$I$7:$I$5000&lt;&gt;"")),GASTOS!$I$7:$I$5000),""))</f>
        <v/>
      </c>
      <c r="O70" s="23" t="str">
        <f aca="false">IF(OR(D70="",N(L70)=0),"",IFERROR(LOOKUP(2,1/((GASTOS!$F$7:$F$5000=$A70)*(GASTOS!$L$7:$L$5000="Materiales y equipos")*(GASTOS!$I$7:$I$5000&lt;&gt;"")),GASTOS!$D$7:$D$5000),""))</f>
        <v/>
      </c>
      <c r="P70" s="10" t="str">
        <f aca="false">IF(D70="","",N(PRESUPUESTO!I66))</f>
        <v/>
      </c>
      <c r="Q70" s="36" t="str">
        <f aca="false">IF(OR(D70="",N70="",N(P70)=0),"",N70/P70-1)</f>
        <v/>
      </c>
      <c r="R70" s="10" t="str">
        <f aca="false">IF(OR(D70="",S70="Servicio"),"",H70*IF(N70&lt;&gt;"",N70,P70))</f>
        <v/>
      </c>
      <c r="S70" s="39" t="str">
        <f aca="false">IF(D70="","",IF(N(PRESUPUESTO!H66)=0,"Servicio",IF(G70=0,"Sin comprar",IF(G70&gt;=D70,"Comprado","Parcial"))))</f>
        <v/>
      </c>
      <c r="T70" s="86" t="str">
        <f aca="false">IF(AND(ISNUMBER(Q70),N(Q70)&gt;0.1),"Precio +"&amp;TEXT(Q70,"0%"),"")</f>
        <v/>
      </c>
      <c r="U70" s="0" t="str">
        <f aca="false">IF(OR(D70="",S70="Servicio"),"",MIN(G70,D70)*P70)</f>
        <v/>
      </c>
      <c r="V70" s="0" t="str">
        <f aca="false">IF(OR(D70="",S70="Servicio"),"",D70*P70)</f>
        <v/>
      </c>
    </row>
    <row r="71" customFormat="false" ht="16.5" hidden="false" customHeight="true" outlineLevel="0" collapsed="false">
      <c r="A71" s="23" t="str">
        <f aca="false">IF(PRESUPUESTO!$A67="Ítem",PRESUPUESTO!B67,"")</f>
        <v/>
      </c>
      <c r="B71" s="23" t="str">
        <f aca="false">IF(PRESUPUESTO!C67="","",PRESUPUESTO!C67)</f>
        <v/>
      </c>
      <c r="C71" s="86" t="str">
        <f aca="false">IF(PRESUPUESTO!$A67="Ítem",PRESUPUESTO!D67,"")</f>
        <v/>
      </c>
      <c r="D71" s="87" t="str">
        <f aca="false">IF(PRESUPUESTO!$A67&lt;&gt;"Ítem","",MAX(N(PRESUPUESTO!E67),N('CORTES CLIENTE'!L80)))</f>
        <v/>
      </c>
      <c r="E71" s="80"/>
      <c r="F71" s="87" t="str">
        <f aca="false">IF(D71="","",SUMIFS(GASTOS!$H$7:$H$5000,GASTOS!$F$7:$F$5000,$A71,GASTOS!$L$7:$L$5000,"Materiales y equipos"))</f>
        <v/>
      </c>
      <c r="G71" s="88" t="str">
        <f aca="false">IF(D71="","",N(E71)+F71)</f>
        <v/>
      </c>
      <c r="H71" s="88" t="str">
        <f aca="false">IF(OR(D71="",S71="Servicio"),"",MAX(0,D71-G71))</f>
        <v/>
      </c>
      <c r="I71" s="36" t="str">
        <f aca="false">IF(OR(D71="",S71="Servicio",N(D71)=0),"",MIN(1,G71/D71))</f>
        <v/>
      </c>
      <c r="J71" s="10" t="str">
        <f aca="false">IF(D71="","",PRESUPUESTO!O67)</f>
        <v/>
      </c>
      <c r="K71" s="10" t="str">
        <f aca="false">IF(D71="","",SUMIFS(GASTOS!$J$7:$J$5000,GASTOS!$F$7:$F$5000,$A71,GASTOS!$L$7:$L$5000,"Materiales y equipos"))</f>
        <v/>
      </c>
      <c r="L71" s="105" t="str">
        <f aca="false">IF(D71="","",COUNTIFS(GASTOS!$F$7:$F$5000,$A71,GASTOS!$L$7:$L$5000,"Materiales y equipos"))</f>
        <v/>
      </c>
      <c r="M71" s="10" t="str">
        <f aca="false">IF(OR(D71="",N(F71)=0),"",K71/F71)</f>
        <v/>
      </c>
      <c r="N71" s="10" t="str">
        <f aca="false">IF(OR(D71="",N(L71)=0),"",IFERROR(LOOKUP(2,1/((GASTOS!$F$7:$F$5000=$A71)*(GASTOS!$L$7:$L$5000="Materiales y equipos")*(GASTOS!$I$7:$I$5000&lt;&gt;"")),GASTOS!$I$7:$I$5000),""))</f>
        <v/>
      </c>
      <c r="O71" s="23" t="str">
        <f aca="false">IF(OR(D71="",N(L71)=0),"",IFERROR(LOOKUP(2,1/((GASTOS!$F$7:$F$5000=$A71)*(GASTOS!$L$7:$L$5000="Materiales y equipos")*(GASTOS!$I$7:$I$5000&lt;&gt;"")),GASTOS!$D$7:$D$5000),""))</f>
        <v/>
      </c>
      <c r="P71" s="10" t="str">
        <f aca="false">IF(D71="","",N(PRESUPUESTO!I67))</f>
        <v/>
      </c>
      <c r="Q71" s="36" t="str">
        <f aca="false">IF(OR(D71="",N71="",N(P71)=0),"",N71/P71-1)</f>
        <v/>
      </c>
      <c r="R71" s="10" t="str">
        <f aca="false">IF(OR(D71="",S71="Servicio"),"",H71*IF(N71&lt;&gt;"",N71,P71))</f>
        <v/>
      </c>
      <c r="S71" s="39" t="str">
        <f aca="false">IF(D71="","",IF(N(PRESUPUESTO!H67)=0,"Servicio",IF(G71=0,"Sin comprar",IF(G71&gt;=D71,"Comprado","Parcial"))))</f>
        <v/>
      </c>
      <c r="T71" s="86" t="str">
        <f aca="false">IF(AND(ISNUMBER(Q71),N(Q71)&gt;0.1),"Precio +"&amp;TEXT(Q71,"0%"),"")</f>
        <v/>
      </c>
      <c r="U71" s="0" t="str">
        <f aca="false">IF(OR(D71="",S71="Servicio"),"",MIN(G71,D71)*P71)</f>
        <v/>
      </c>
      <c r="V71" s="0" t="str">
        <f aca="false">IF(OR(D71="",S71="Servicio"),"",D71*P71)</f>
        <v/>
      </c>
    </row>
    <row r="72" customFormat="false" ht="16.5" hidden="false" customHeight="true" outlineLevel="0" collapsed="false">
      <c r="A72" s="23" t="str">
        <f aca="false">IF(PRESUPUESTO!$A68="Ítem",PRESUPUESTO!B68,"")</f>
        <v/>
      </c>
      <c r="B72" s="23" t="str">
        <f aca="false">IF(PRESUPUESTO!C68="","",PRESUPUESTO!C68)</f>
        <v/>
      </c>
      <c r="C72" s="86" t="str">
        <f aca="false">IF(PRESUPUESTO!$A68="Ítem",PRESUPUESTO!D68,"")</f>
        <v/>
      </c>
      <c r="D72" s="87" t="str">
        <f aca="false">IF(PRESUPUESTO!$A68&lt;&gt;"Ítem","",MAX(N(PRESUPUESTO!E68),N('CORTES CLIENTE'!L81)))</f>
        <v/>
      </c>
      <c r="E72" s="80"/>
      <c r="F72" s="87" t="str">
        <f aca="false">IF(D72="","",SUMIFS(GASTOS!$H$7:$H$5000,GASTOS!$F$7:$F$5000,$A72,GASTOS!$L$7:$L$5000,"Materiales y equipos"))</f>
        <v/>
      </c>
      <c r="G72" s="88" t="str">
        <f aca="false">IF(D72="","",N(E72)+F72)</f>
        <v/>
      </c>
      <c r="H72" s="88" t="str">
        <f aca="false">IF(OR(D72="",S72="Servicio"),"",MAX(0,D72-G72))</f>
        <v/>
      </c>
      <c r="I72" s="36" t="str">
        <f aca="false">IF(OR(D72="",S72="Servicio",N(D72)=0),"",MIN(1,G72/D72))</f>
        <v/>
      </c>
      <c r="J72" s="10" t="str">
        <f aca="false">IF(D72="","",PRESUPUESTO!O68)</f>
        <v/>
      </c>
      <c r="K72" s="10" t="str">
        <f aca="false">IF(D72="","",SUMIFS(GASTOS!$J$7:$J$5000,GASTOS!$F$7:$F$5000,$A72,GASTOS!$L$7:$L$5000,"Materiales y equipos"))</f>
        <v/>
      </c>
      <c r="L72" s="105" t="str">
        <f aca="false">IF(D72="","",COUNTIFS(GASTOS!$F$7:$F$5000,$A72,GASTOS!$L$7:$L$5000,"Materiales y equipos"))</f>
        <v/>
      </c>
      <c r="M72" s="10" t="str">
        <f aca="false">IF(OR(D72="",N(F72)=0),"",K72/F72)</f>
        <v/>
      </c>
      <c r="N72" s="10" t="str">
        <f aca="false">IF(OR(D72="",N(L72)=0),"",IFERROR(LOOKUP(2,1/((GASTOS!$F$7:$F$5000=$A72)*(GASTOS!$L$7:$L$5000="Materiales y equipos")*(GASTOS!$I$7:$I$5000&lt;&gt;"")),GASTOS!$I$7:$I$5000),""))</f>
        <v/>
      </c>
      <c r="O72" s="23" t="str">
        <f aca="false">IF(OR(D72="",N(L72)=0),"",IFERROR(LOOKUP(2,1/((GASTOS!$F$7:$F$5000=$A72)*(GASTOS!$L$7:$L$5000="Materiales y equipos")*(GASTOS!$I$7:$I$5000&lt;&gt;"")),GASTOS!$D$7:$D$5000),""))</f>
        <v/>
      </c>
      <c r="P72" s="10" t="str">
        <f aca="false">IF(D72="","",N(PRESUPUESTO!I68))</f>
        <v/>
      </c>
      <c r="Q72" s="36" t="str">
        <f aca="false">IF(OR(D72="",N72="",N(P72)=0),"",N72/P72-1)</f>
        <v/>
      </c>
      <c r="R72" s="10" t="str">
        <f aca="false">IF(OR(D72="",S72="Servicio"),"",H72*IF(N72&lt;&gt;"",N72,P72))</f>
        <v/>
      </c>
      <c r="S72" s="39" t="str">
        <f aca="false">IF(D72="","",IF(N(PRESUPUESTO!H68)=0,"Servicio",IF(G72=0,"Sin comprar",IF(G72&gt;=D72,"Comprado","Parcial"))))</f>
        <v/>
      </c>
      <c r="T72" s="86" t="str">
        <f aca="false">IF(AND(ISNUMBER(Q72),N(Q72)&gt;0.1),"Precio +"&amp;TEXT(Q72,"0%"),"")</f>
        <v/>
      </c>
      <c r="U72" s="0" t="str">
        <f aca="false">IF(OR(D72="",S72="Servicio"),"",MIN(G72,D72)*P72)</f>
        <v/>
      </c>
      <c r="V72" s="0" t="str">
        <f aca="false">IF(OR(D72="",S72="Servicio"),"",D72*P72)</f>
        <v/>
      </c>
    </row>
    <row r="73" customFormat="false" ht="16.5" hidden="false" customHeight="true" outlineLevel="0" collapsed="false">
      <c r="A73" s="23" t="str">
        <f aca="false">IF(PRESUPUESTO!$A69="Ítem",PRESUPUESTO!B69,"")</f>
        <v/>
      </c>
      <c r="B73" s="23" t="str">
        <f aca="false">IF(PRESUPUESTO!C69="","",PRESUPUESTO!C69)</f>
        <v/>
      </c>
      <c r="C73" s="86" t="str">
        <f aca="false">IF(PRESUPUESTO!$A69="Ítem",PRESUPUESTO!D69,"")</f>
        <v/>
      </c>
      <c r="D73" s="87" t="str">
        <f aca="false">IF(PRESUPUESTO!$A69&lt;&gt;"Ítem","",MAX(N(PRESUPUESTO!E69),N('CORTES CLIENTE'!L82)))</f>
        <v/>
      </c>
      <c r="E73" s="80"/>
      <c r="F73" s="87" t="str">
        <f aca="false">IF(D73="","",SUMIFS(GASTOS!$H$7:$H$5000,GASTOS!$F$7:$F$5000,$A73,GASTOS!$L$7:$L$5000,"Materiales y equipos"))</f>
        <v/>
      </c>
      <c r="G73" s="88" t="str">
        <f aca="false">IF(D73="","",N(E73)+F73)</f>
        <v/>
      </c>
      <c r="H73" s="88" t="str">
        <f aca="false">IF(OR(D73="",S73="Servicio"),"",MAX(0,D73-G73))</f>
        <v/>
      </c>
      <c r="I73" s="36" t="str">
        <f aca="false">IF(OR(D73="",S73="Servicio",N(D73)=0),"",MIN(1,G73/D73))</f>
        <v/>
      </c>
      <c r="J73" s="10" t="str">
        <f aca="false">IF(D73="","",PRESUPUESTO!O69)</f>
        <v/>
      </c>
      <c r="K73" s="10" t="str">
        <f aca="false">IF(D73="","",SUMIFS(GASTOS!$J$7:$J$5000,GASTOS!$F$7:$F$5000,$A73,GASTOS!$L$7:$L$5000,"Materiales y equipos"))</f>
        <v/>
      </c>
      <c r="L73" s="105" t="str">
        <f aca="false">IF(D73="","",COUNTIFS(GASTOS!$F$7:$F$5000,$A73,GASTOS!$L$7:$L$5000,"Materiales y equipos"))</f>
        <v/>
      </c>
      <c r="M73" s="10" t="str">
        <f aca="false">IF(OR(D73="",N(F73)=0),"",K73/F73)</f>
        <v/>
      </c>
      <c r="N73" s="10" t="str">
        <f aca="false">IF(OR(D73="",N(L73)=0),"",IFERROR(LOOKUP(2,1/((GASTOS!$F$7:$F$5000=$A73)*(GASTOS!$L$7:$L$5000="Materiales y equipos")*(GASTOS!$I$7:$I$5000&lt;&gt;"")),GASTOS!$I$7:$I$5000),""))</f>
        <v/>
      </c>
      <c r="O73" s="23" t="str">
        <f aca="false">IF(OR(D73="",N(L73)=0),"",IFERROR(LOOKUP(2,1/((GASTOS!$F$7:$F$5000=$A73)*(GASTOS!$L$7:$L$5000="Materiales y equipos")*(GASTOS!$I$7:$I$5000&lt;&gt;"")),GASTOS!$D$7:$D$5000),""))</f>
        <v/>
      </c>
      <c r="P73" s="10" t="str">
        <f aca="false">IF(D73="","",N(PRESUPUESTO!I69))</f>
        <v/>
      </c>
      <c r="Q73" s="36" t="str">
        <f aca="false">IF(OR(D73="",N73="",N(P73)=0),"",N73/P73-1)</f>
        <v/>
      </c>
      <c r="R73" s="10" t="str">
        <f aca="false">IF(OR(D73="",S73="Servicio"),"",H73*IF(N73&lt;&gt;"",N73,P73))</f>
        <v/>
      </c>
      <c r="S73" s="39" t="str">
        <f aca="false">IF(D73="","",IF(N(PRESUPUESTO!H69)=0,"Servicio",IF(G73=0,"Sin comprar",IF(G73&gt;=D73,"Comprado","Parcial"))))</f>
        <v/>
      </c>
      <c r="T73" s="86" t="str">
        <f aca="false">IF(AND(ISNUMBER(Q73),N(Q73)&gt;0.1),"Precio +"&amp;TEXT(Q73,"0%"),"")</f>
        <v/>
      </c>
      <c r="U73" s="0" t="str">
        <f aca="false">IF(OR(D73="",S73="Servicio"),"",MIN(G73,D73)*P73)</f>
        <v/>
      </c>
      <c r="V73" s="0" t="str">
        <f aca="false">IF(OR(D73="",S73="Servicio"),"",D73*P73)</f>
        <v/>
      </c>
    </row>
    <row r="74" customFormat="false" ht="16.5" hidden="false" customHeight="true" outlineLevel="0" collapsed="false">
      <c r="A74" s="23" t="str">
        <f aca="false">IF(PRESUPUESTO!$A70="Ítem",PRESUPUESTO!B70,"")</f>
        <v/>
      </c>
      <c r="B74" s="23" t="str">
        <f aca="false">IF(PRESUPUESTO!C70="","",PRESUPUESTO!C70)</f>
        <v/>
      </c>
      <c r="C74" s="86" t="str">
        <f aca="false">IF(PRESUPUESTO!$A70="Ítem",PRESUPUESTO!D70,"")</f>
        <v/>
      </c>
      <c r="D74" s="87" t="str">
        <f aca="false">IF(PRESUPUESTO!$A70&lt;&gt;"Ítem","",MAX(N(PRESUPUESTO!E70),N('CORTES CLIENTE'!L83)))</f>
        <v/>
      </c>
      <c r="E74" s="80"/>
      <c r="F74" s="87" t="str">
        <f aca="false">IF(D74="","",SUMIFS(GASTOS!$H$7:$H$5000,GASTOS!$F$7:$F$5000,$A74,GASTOS!$L$7:$L$5000,"Materiales y equipos"))</f>
        <v/>
      </c>
      <c r="G74" s="88" t="str">
        <f aca="false">IF(D74="","",N(E74)+F74)</f>
        <v/>
      </c>
      <c r="H74" s="88" t="str">
        <f aca="false">IF(OR(D74="",S74="Servicio"),"",MAX(0,D74-G74))</f>
        <v/>
      </c>
      <c r="I74" s="36" t="str">
        <f aca="false">IF(OR(D74="",S74="Servicio",N(D74)=0),"",MIN(1,G74/D74))</f>
        <v/>
      </c>
      <c r="J74" s="10" t="str">
        <f aca="false">IF(D74="","",PRESUPUESTO!O70)</f>
        <v/>
      </c>
      <c r="K74" s="10" t="str">
        <f aca="false">IF(D74="","",SUMIFS(GASTOS!$J$7:$J$5000,GASTOS!$F$7:$F$5000,$A74,GASTOS!$L$7:$L$5000,"Materiales y equipos"))</f>
        <v/>
      </c>
      <c r="L74" s="105" t="str">
        <f aca="false">IF(D74="","",COUNTIFS(GASTOS!$F$7:$F$5000,$A74,GASTOS!$L$7:$L$5000,"Materiales y equipos"))</f>
        <v/>
      </c>
      <c r="M74" s="10" t="str">
        <f aca="false">IF(OR(D74="",N(F74)=0),"",K74/F74)</f>
        <v/>
      </c>
      <c r="N74" s="10" t="str">
        <f aca="false">IF(OR(D74="",N(L74)=0),"",IFERROR(LOOKUP(2,1/((GASTOS!$F$7:$F$5000=$A74)*(GASTOS!$L$7:$L$5000="Materiales y equipos")*(GASTOS!$I$7:$I$5000&lt;&gt;"")),GASTOS!$I$7:$I$5000),""))</f>
        <v/>
      </c>
      <c r="O74" s="23" t="str">
        <f aca="false">IF(OR(D74="",N(L74)=0),"",IFERROR(LOOKUP(2,1/((GASTOS!$F$7:$F$5000=$A74)*(GASTOS!$L$7:$L$5000="Materiales y equipos")*(GASTOS!$I$7:$I$5000&lt;&gt;"")),GASTOS!$D$7:$D$5000),""))</f>
        <v/>
      </c>
      <c r="P74" s="10" t="str">
        <f aca="false">IF(D74="","",N(PRESUPUESTO!I70))</f>
        <v/>
      </c>
      <c r="Q74" s="36" t="str">
        <f aca="false">IF(OR(D74="",N74="",N(P74)=0),"",N74/P74-1)</f>
        <v/>
      </c>
      <c r="R74" s="10" t="str">
        <f aca="false">IF(OR(D74="",S74="Servicio"),"",H74*IF(N74&lt;&gt;"",N74,P74))</f>
        <v/>
      </c>
      <c r="S74" s="39" t="str">
        <f aca="false">IF(D74="","",IF(N(PRESUPUESTO!H70)=0,"Servicio",IF(G74=0,"Sin comprar",IF(G74&gt;=D74,"Comprado","Parcial"))))</f>
        <v/>
      </c>
      <c r="T74" s="86" t="str">
        <f aca="false">IF(AND(ISNUMBER(Q74),N(Q74)&gt;0.1),"Precio +"&amp;TEXT(Q74,"0%"),"")</f>
        <v/>
      </c>
      <c r="U74" s="0" t="str">
        <f aca="false">IF(OR(D74="",S74="Servicio"),"",MIN(G74,D74)*P74)</f>
        <v/>
      </c>
      <c r="V74" s="0" t="str">
        <f aca="false">IF(OR(D74="",S74="Servicio"),"",D74*P74)</f>
        <v/>
      </c>
    </row>
    <row r="75" customFormat="false" ht="16.5" hidden="false" customHeight="true" outlineLevel="0" collapsed="false">
      <c r="A75" s="23" t="str">
        <f aca="false">IF(PRESUPUESTO!$A71="Ítem",PRESUPUESTO!B71,"")</f>
        <v/>
      </c>
      <c r="B75" s="23" t="str">
        <f aca="false">IF(PRESUPUESTO!C71="","",PRESUPUESTO!C71)</f>
        <v/>
      </c>
      <c r="C75" s="86" t="str">
        <f aca="false">IF(PRESUPUESTO!$A71="Ítem",PRESUPUESTO!D71,"")</f>
        <v/>
      </c>
      <c r="D75" s="87" t="str">
        <f aca="false">IF(PRESUPUESTO!$A71&lt;&gt;"Ítem","",MAX(N(PRESUPUESTO!E71),N('CORTES CLIENTE'!L84)))</f>
        <v/>
      </c>
      <c r="E75" s="80"/>
      <c r="F75" s="87" t="str">
        <f aca="false">IF(D75="","",SUMIFS(GASTOS!$H$7:$H$5000,GASTOS!$F$7:$F$5000,$A75,GASTOS!$L$7:$L$5000,"Materiales y equipos"))</f>
        <v/>
      </c>
      <c r="G75" s="88" t="str">
        <f aca="false">IF(D75="","",N(E75)+F75)</f>
        <v/>
      </c>
      <c r="H75" s="88" t="str">
        <f aca="false">IF(OR(D75="",S75="Servicio"),"",MAX(0,D75-G75))</f>
        <v/>
      </c>
      <c r="I75" s="36" t="str">
        <f aca="false">IF(OR(D75="",S75="Servicio",N(D75)=0),"",MIN(1,G75/D75))</f>
        <v/>
      </c>
      <c r="J75" s="10" t="str">
        <f aca="false">IF(D75="","",PRESUPUESTO!O71)</f>
        <v/>
      </c>
      <c r="K75" s="10" t="str">
        <f aca="false">IF(D75="","",SUMIFS(GASTOS!$J$7:$J$5000,GASTOS!$F$7:$F$5000,$A75,GASTOS!$L$7:$L$5000,"Materiales y equipos"))</f>
        <v/>
      </c>
      <c r="L75" s="105" t="str">
        <f aca="false">IF(D75="","",COUNTIFS(GASTOS!$F$7:$F$5000,$A75,GASTOS!$L$7:$L$5000,"Materiales y equipos"))</f>
        <v/>
      </c>
      <c r="M75" s="10" t="str">
        <f aca="false">IF(OR(D75="",N(F75)=0),"",K75/F75)</f>
        <v/>
      </c>
      <c r="N75" s="10" t="str">
        <f aca="false">IF(OR(D75="",N(L75)=0),"",IFERROR(LOOKUP(2,1/((GASTOS!$F$7:$F$5000=$A75)*(GASTOS!$L$7:$L$5000="Materiales y equipos")*(GASTOS!$I$7:$I$5000&lt;&gt;"")),GASTOS!$I$7:$I$5000),""))</f>
        <v/>
      </c>
      <c r="O75" s="23" t="str">
        <f aca="false">IF(OR(D75="",N(L75)=0),"",IFERROR(LOOKUP(2,1/((GASTOS!$F$7:$F$5000=$A75)*(GASTOS!$L$7:$L$5000="Materiales y equipos")*(GASTOS!$I$7:$I$5000&lt;&gt;"")),GASTOS!$D$7:$D$5000),""))</f>
        <v/>
      </c>
      <c r="P75" s="10" t="str">
        <f aca="false">IF(D75="","",N(PRESUPUESTO!I71))</f>
        <v/>
      </c>
      <c r="Q75" s="36" t="str">
        <f aca="false">IF(OR(D75="",N75="",N(P75)=0),"",N75/P75-1)</f>
        <v/>
      </c>
      <c r="R75" s="10" t="str">
        <f aca="false">IF(OR(D75="",S75="Servicio"),"",H75*IF(N75&lt;&gt;"",N75,P75))</f>
        <v/>
      </c>
      <c r="S75" s="39" t="str">
        <f aca="false">IF(D75="","",IF(N(PRESUPUESTO!H71)=0,"Servicio",IF(G75=0,"Sin comprar",IF(G75&gt;=D75,"Comprado","Parcial"))))</f>
        <v/>
      </c>
      <c r="T75" s="86" t="str">
        <f aca="false">IF(AND(ISNUMBER(Q75),N(Q75)&gt;0.1),"Precio +"&amp;TEXT(Q75,"0%"),"")</f>
        <v/>
      </c>
      <c r="U75" s="0" t="str">
        <f aca="false">IF(OR(D75="",S75="Servicio"),"",MIN(G75,D75)*P75)</f>
        <v/>
      </c>
      <c r="V75" s="0" t="str">
        <f aca="false">IF(OR(D75="",S75="Servicio"),"",D75*P75)</f>
        <v/>
      </c>
    </row>
    <row r="76" customFormat="false" ht="16.5" hidden="false" customHeight="true" outlineLevel="0" collapsed="false">
      <c r="A76" s="23" t="str">
        <f aca="false">IF(PRESUPUESTO!$A72="Ítem",PRESUPUESTO!B72,"")</f>
        <v/>
      </c>
      <c r="B76" s="23" t="str">
        <f aca="false">IF(PRESUPUESTO!C72="","",PRESUPUESTO!C72)</f>
        <v/>
      </c>
      <c r="C76" s="86" t="str">
        <f aca="false">IF(PRESUPUESTO!$A72="Ítem",PRESUPUESTO!D72,"")</f>
        <v/>
      </c>
      <c r="D76" s="87" t="str">
        <f aca="false">IF(PRESUPUESTO!$A72&lt;&gt;"Ítem","",MAX(N(PRESUPUESTO!E72),N('CORTES CLIENTE'!L85)))</f>
        <v/>
      </c>
      <c r="E76" s="80"/>
      <c r="F76" s="87" t="str">
        <f aca="false">IF(D76="","",SUMIFS(GASTOS!$H$7:$H$5000,GASTOS!$F$7:$F$5000,$A76,GASTOS!$L$7:$L$5000,"Materiales y equipos"))</f>
        <v/>
      </c>
      <c r="G76" s="88" t="str">
        <f aca="false">IF(D76="","",N(E76)+F76)</f>
        <v/>
      </c>
      <c r="H76" s="88" t="str">
        <f aca="false">IF(OR(D76="",S76="Servicio"),"",MAX(0,D76-G76))</f>
        <v/>
      </c>
      <c r="I76" s="36" t="str">
        <f aca="false">IF(OR(D76="",S76="Servicio",N(D76)=0),"",MIN(1,G76/D76))</f>
        <v/>
      </c>
      <c r="J76" s="10" t="str">
        <f aca="false">IF(D76="","",PRESUPUESTO!O72)</f>
        <v/>
      </c>
      <c r="K76" s="10" t="str">
        <f aca="false">IF(D76="","",SUMIFS(GASTOS!$J$7:$J$5000,GASTOS!$F$7:$F$5000,$A76,GASTOS!$L$7:$L$5000,"Materiales y equipos"))</f>
        <v/>
      </c>
      <c r="L76" s="105" t="str">
        <f aca="false">IF(D76="","",COUNTIFS(GASTOS!$F$7:$F$5000,$A76,GASTOS!$L$7:$L$5000,"Materiales y equipos"))</f>
        <v/>
      </c>
      <c r="M76" s="10" t="str">
        <f aca="false">IF(OR(D76="",N(F76)=0),"",K76/F76)</f>
        <v/>
      </c>
      <c r="N76" s="10" t="str">
        <f aca="false">IF(OR(D76="",N(L76)=0),"",IFERROR(LOOKUP(2,1/((GASTOS!$F$7:$F$5000=$A76)*(GASTOS!$L$7:$L$5000="Materiales y equipos")*(GASTOS!$I$7:$I$5000&lt;&gt;"")),GASTOS!$I$7:$I$5000),""))</f>
        <v/>
      </c>
      <c r="O76" s="23" t="str">
        <f aca="false">IF(OR(D76="",N(L76)=0),"",IFERROR(LOOKUP(2,1/((GASTOS!$F$7:$F$5000=$A76)*(GASTOS!$L$7:$L$5000="Materiales y equipos")*(GASTOS!$I$7:$I$5000&lt;&gt;"")),GASTOS!$D$7:$D$5000),""))</f>
        <v/>
      </c>
      <c r="P76" s="10" t="str">
        <f aca="false">IF(D76="","",N(PRESUPUESTO!I72))</f>
        <v/>
      </c>
      <c r="Q76" s="36" t="str">
        <f aca="false">IF(OR(D76="",N76="",N(P76)=0),"",N76/P76-1)</f>
        <v/>
      </c>
      <c r="R76" s="10" t="str">
        <f aca="false">IF(OR(D76="",S76="Servicio"),"",H76*IF(N76&lt;&gt;"",N76,P76))</f>
        <v/>
      </c>
      <c r="S76" s="39" t="str">
        <f aca="false">IF(D76="","",IF(N(PRESUPUESTO!H72)=0,"Servicio",IF(G76=0,"Sin comprar",IF(G76&gt;=D76,"Comprado","Parcial"))))</f>
        <v/>
      </c>
      <c r="T76" s="86" t="str">
        <f aca="false">IF(AND(ISNUMBER(Q76),N(Q76)&gt;0.1),"Precio +"&amp;TEXT(Q76,"0%"),"")</f>
        <v/>
      </c>
      <c r="U76" s="0" t="str">
        <f aca="false">IF(OR(D76="",S76="Servicio"),"",MIN(G76,D76)*P76)</f>
        <v/>
      </c>
      <c r="V76" s="0" t="str">
        <f aca="false">IF(OR(D76="",S76="Servicio"),"",D76*P76)</f>
        <v/>
      </c>
    </row>
    <row r="77" customFormat="false" ht="16.5" hidden="false" customHeight="true" outlineLevel="0" collapsed="false">
      <c r="A77" s="23" t="str">
        <f aca="false">IF(PRESUPUESTO!$A73="Ítem",PRESUPUESTO!B73,"")</f>
        <v/>
      </c>
      <c r="B77" s="23" t="str">
        <f aca="false">IF(PRESUPUESTO!C73="","",PRESUPUESTO!C73)</f>
        <v/>
      </c>
      <c r="C77" s="86" t="str">
        <f aca="false">IF(PRESUPUESTO!$A73="Ítem",PRESUPUESTO!D73,"")</f>
        <v/>
      </c>
      <c r="D77" s="87" t="str">
        <f aca="false">IF(PRESUPUESTO!$A73&lt;&gt;"Ítem","",MAX(N(PRESUPUESTO!E73),N('CORTES CLIENTE'!L86)))</f>
        <v/>
      </c>
      <c r="E77" s="80"/>
      <c r="F77" s="87" t="str">
        <f aca="false">IF(D77="","",SUMIFS(GASTOS!$H$7:$H$5000,GASTOS!$F$7:$F$5000,$A77,GASTOS!$L$7:$L$5000,"Materiales y equipos"))</f>
        <v/>
      </c>
      <c r="G77" s="88" t="str">
        <f aca="false">IF(D77="","",N(E77)+F77)</f>
        <v/>
      </c>
      <c r="H77" s="88" t="str">
        <f aca="false">IF(OR(D77="",S77="Servicio"),"",MAX(0,D77-G77))</f>
        <v/>
      </c>
      <c r="I77" s="36" t="str">
        <f aca="false">IF(OR(D77="",S77="Servicio",N(D77)=0),"",MIN(1,G77/D77))</f>
        <v/>
      </c>
      <c r="J77" s="10" t="str">
        <f aca="false">IF(D77="","",PRESUPUESTO!O73)</f>
        <v/>
      </c>
      <c r="K77" s="10" t="str">
        <f aca="false">IF(D77="","",SUMIFS(GASTOS!$J$7:$J$5000,GASTOS!$F$7:$F$5000,$A77,GASTOS!$L$7:$L$5000,"Materiales y equipos"))</f>
        <v/>
      </c>
      <c r="L77" s="105" t="str">
        <f aca="false">IF(D77="","",COUNTIFS(GASTOS!$F$7:$F$5000,$A77,GASTOS!$L$7:$L$5000,"Materiales y equipos"))</f>
        <v/>
      </c>
      <c r="M77" s="10" t="str">
        <f aca="false">IF(OR(D77="",N(F77)=0),"",K77/F77)</f>
        <v/>
      </c>
      <c r="N77" s="10" t="str">
        <f aca="false">IF(OR(D77="",N(L77)=0),"",IFERROR(LOOKUP(2,1/((GASTOS!$F$7:$F$5000=$A77)*(GASTOS!$L$7:$L$5000="Materiales y equipos")*(GASTOS!$I$7:$I$5000&lt;&gt;"")),GASTOS!$I$7:$I$5000),""))</f>
        <v/>
      </c>
      <c r="O77" s="23" t="str">
        <f aca="false">IF(OR(D77="",N(L77)=0),"",IFERROR(LOOKUP(2,1/((GASTOS!$F$7:$F$5000=$A77)*(GASTOS!$L$7:$L$5000="Materiales y equipos")*(GASTOS!$I$7:$I$5000&lt;&gt;"")),GASTOS!$D$7:$D$5000),""))</f>
        <v/>
      </c>
      <c r="P77" s="10" t="str">
        <f aca="false">IF(D77="","",N(PRESUPUESTO!I73))</f>
        <v/>
      </c>
      <c r="Q77" s="36" t="str">
        <f aca="false">IF(OR(D77="",N77="",N(P77)=0),"",N77/P77-1)</f>
        <v/>
      </c>
      <c r="R77" s="10" t="str">
        <f aca="false">IF(OR(D77="",S77="Servicio"),"",H77*IF(N77&lt;&gt;"",N77,P77))</f>
        <v/>
      </c>
      <c r="S77" s="39" t="str">
        <f aca="false">IF(D77="","",IF(N(PRESUPUESTO!H73)=0,"Servicio",IF(G77=0,"Sin comprar",IF(G77&gt;=D77,"Comprado","Parcial"))))</f>
        <v/>
      </c>
      <c r="T77" s="86" t="str">
        <f aca="false">IF(AND(ISNUMBER(Q77),N(Q77)&gt;0.1),"Precio +"&amp;TEXT(Q77,"0%"),"")</f>
        <v/>
      </c>
      <c r="U77" s="0" t="str">
        <f aca="false">IF(OR(D77="",S77="Servicio"),"",MIN(G77,D77)*P77)</f>
        <v/>
      </c>
      <c r="V77" s="0" t="str">
        <f aca="false">IF(OR(D77="",S77="Servicio"),"",D77*P77)</f>
        <v/>
      </c>
    </row>
    <row r="78" customFormat="false" ht="16.5" hidden="false" customHeight="true" outlineLevel="0" collapsed="false">
      <c r="A78" s="23" t="str">
        <f aca="false">IF(PRESUPUESTO!$A74="Ítem",PRESUPUESTO!B74,"")</f>
        <v/>
      </c>
      <c r="B78" s="23" t="str">
        <f aca="false">IF(PRESUPUESTO!C74="","",PRESUPUESTO!C74)</f>
        <v/>
      </c>
      <c r="C78" s="86" t="str">
        <f aca="false">IF(PRESUPUESTO!$A74="Ítem",PRESUPUESTO!D74,"")</f>
        <v/>
      </c>
      <c r="D78" s="87" t="str">
        <f aca="false">IF(PRESUPUESTO!$A74&lt;&gt;"Ítem","",MAX(N(PRESUPUESTO!E74),N('CORTES CLIENTE'!L87)))</f>
        <v/>
      </c>
      <c r="E78" s="80"/>
      <c r="F78" s="87" t="str">
        <f aca="false">IF(D78="","",SUMIFS(GASTOS!$H$7:$H$5000,GASTOS!$F$7:$F$5000,$A78,GASTOS!$L$7:$L$5000,"Materiales y equipos"))</f>
        <v/>
      </c>
      <c r="G78" s="88" t="str">
        <f aca="false">IF(D78="","",N(E78)+F78)</f>
        <v/>
      </c>
      <c r="H78" s="88" t="str">
        <f aca="false">IF(OR(D78="",S78="Servicio"),"",MAX(0,D78-G78))</f>
        <v/>
      </c>
      <c r="I78" s="36" t="str">
        <f aca="false">IF(OR(D78="",S78="Servicio",N(D78)=0),"",MIN(1,G78/D78))</f>
        <v/>
      </c>
      <c r="J78" s="10" t="str">
        <f aca="false">IF(D78="","",PRESUPUESTO!O74)</f>
        <v/>
      </c>
      <c r="K78" s="10" t="str">
        <f aca="false">IF(D78="","",SUMIFS(GASTOS!$J$7:$J$5000,GASTOS!$F$7:$F$5000,$A78,GASTOS!$L$7:$L$5000,"Materiales y equipos"))</f>
        <v/>
      </c>
      <c r="L78" s="105" t="str">
        <f aca="false">IF(D78="","",COUNTIFS(GASTOS!$F$7:$F$5000,$A78,GASTOS!$L$7:$L$5000,"Materiales y equipos"))</f>
        <v/>
      </c>
      <c r="M78" s="10" t="str">
        <f aca="false">IF(OR(D78="",N(F78)=0),"",K78/F78)</f>
        <v/>
      </c>
      <c r="N78" s="10" t="str">
        <f aca="false">IF(OR(D78="",N(L78)=0),"",IFERROR(LOOKUP(2,1/((GASTOS!$F$7:$F$5000=$A78)*(GASTOS!$L$7:$L$5000="Materiales y equipos")*(GASTOS!$I$7:$I$5000&lt;&gt;"")),GASTOS!$I$7:$I$5000),""))</f>
        <v/>
      </c>
      <c r="O78" s="23" t="str">
        <f aca="false">IF(OR(D78="",N(L78)=0),"",IFERROR(LOOKUP(2,1/((GASTOS!$F$7:$F$5000=$A78)*(GASTOS!$L$7:$L$5000="Materiales y equipos")*(GASTOS!$I$7:$I$5000&lt;&gt;"")),GASTOS!$D$7:$D$5000),""))</f>
        <v/>
      </c>
      <c r="P78" s="10" t="str">
        <f aca="false">IF(D78="","",N(PRESUPUESTO!I74))</f>
        <v/>
      </c>
      <c r="Q78" s="36" t="str">
        <f aca="false">IF(OR(D78="",N78="",N(P78)=0),"",N78/P78-1)</f>
        <v/>
      </c>
      <c r="R78" s="10" t="str">
        <f aca="false">IF(OR(D78="",S78="Servicio"),"",H78*IF(N78&lt;&gt;"",N78,P78))</f>
        <v/>
      </c>
      <c r="S78" s="39" t="str">
        <f aca="false">IF(D78="","",IF(N(PRESUPUESTO!H74)=0,"Servicio",IF(G78=0,"Sin comprar",IF(G78&gt;=D78,"Comprado","Parcial"))))</f>
        <v/>
      </c>
      <c r="T78" s="86" t="str">
        <f aca="false">IF(AND(ISNUMBER(Q78),N(Q78)&gt;0.1),"Precio +"&amp;TEXT(Q78,"0%"),"")</f>
        <v/>
      </c>
      <c r="U78" s="0" t="str">
        <f aca="false">IF(OR(D78="",S78="Servicio"),"",MIN(G78,D78)*P78)</f>
        <v/>
      </c>
      <c r="V78" s="0" t="str">
        <f aca="false">IF(OR(D78="",S78="Servicio"),"",D78*P78)</f>
        <v/>
      </c>
    </row>
    <row r="79" customFormat="false" ht="16.5" hidden="false" customHeight="true" outlineLevel="0" collapsed="false">
      <c r="A79" s="23" t="str">
        <f aca="false">IF(PRESUPUESTO!$A75="Ítem",PRESUPUESTO!B75,"")</f>
        <v/>
      </c>
      <c r="B79" s="23" t="str">
        <f aca="false">IF(PRESUPUESTO!C75="","",PRESUPUESTO!C75)</f>
        <v/>
      </c>
      <c r="C79" s="86" t="str">
        <f aca="false">IF(PRESUPUESTO!$A75="Ítem",PRESUPUESTO!D75,"")</f>
        <v/>
      </c>
      <c r="D79" s="87" t="str">
        <f aca="false">IF(PRESUPUESTO!$A75&lt;&gt;"Ítem","",MAX(N(PRESUPUESTO!E75),N('CORTES CLIENTE'!L88)))</f>
        <v/>
      </c>
      <c r="E79" s="80"/>
      <c r="F79" s="87" t="str">
        <f aca="false">IF(D79="","",SUMIFS(GASTOS!$H$7:$H$5000,GASTOS!$F$7:$F$5000,$A79,GASTOS!$L$7:$L$5000,"Materiales y equipos"))</f>
        <v/>
      </c>
      <c r="G79" s="88" t="str">
        <f aca="false">IF(D79="","",N(E79)+F79)</f>
        <v/>
      </c>
      <c r="H79" s="88" t="str">
        <f aca="false">IF(OR(D79="",S79="Servicio"),"",MAX(0,D79-G79))</f>
        <v/>
      </c>
      <c r="I79" s="36" t="str">
        <f aca="false">IF(OR(D79="",S79="Servicio",N(D79)=0),"",MIN(1,G79/D79))</f>
        <v/>
      </c>
      <c r="J79" s="10" t="str">
        <f aca="false">IF(D79="","",PRESUPUESTO!O75)</f>
        <v/>
      </c>
      <c r="K79" s="10" t="str">
        <f aca="false">IF(D79="","",SUMIFS(GASTOS!$J$7:$J$5000,GASTOS!$F$7:$F$5000,$A79,GASTOS!$L$7:$L$5000,"Materiales y equipos"))</f>
        <v/>
      </c>
      <c r="L79" s="105" t="str">
        <f aca="false">IF(D79="","",COUNTIFS(GASTOS!$F$7:$F$5000,$A79,GASTOS!$L$7:$L$5000,"Materiales y equipos"))</f>
        <v/>
      </c>
      <c r="M79" s="10" t="str">
        <f aca="false">IF(OR(D79="",N(F79)=0),"",K79/F79)</f>
        <v/>
      </c>
      <c r="N79" s="10" t="str">
        <f aca="false">IF(OR(D79="",N(L79)=0),"",IFERROR(LOOKUP(2,1/((GASTOS!$F$7:$F$5000=$A79)*(GASTOS!$L$7:$L$5000="Materiales y equipos")*(GASTOS!$I$7:$I$5000&lt;&gt;"")),GASTOS!$I$7:$I$5000),""))</f>
        <v/>
      </c>
      <c r="O79" s="23" t="str">
        <f aca="false">IF(OR(D79="",N(L79)=0),"",IFERROR(LOOKUP(2,1/((GASTOS!$F$7:$F$5000=$A79)*(GASTOS!$L$7:$L$5000="Materiales y equipos")*(GASTOS!$I$7:$I$5000&lt;&gt;"")),GASTOS!$D$7:$D$5000),""))</f>
        <v/>
      </c>
      <c r="P79" s="10" t="str">
        <f aca="false">IF(D79="","",N(PRESUPUESTO!I75))</f>
        <v/>
      </c>
      <c r="Q79" s="36" t="str">
        <f aca="false">IF(OR(D79="",N79="",N(P79)=0),"",N79/P79-1)</f>
        <v/>
      </c>
      <c r="R79" s="10" t="str">
        <f aca="false">IF(OR(D79="",S79="Servicio"),"",H79*IF(N79&lt;&gt;"",N79,P79))</f>
        <v/>
      </c>
      <c r="S79" s="39" t="str">
        <f aca="false">IF(D79="","",IF(N(PRESUPUESTO!H75)=0,"Servicio",IF(G79=0,"Sin comprar",IF(G79&gt;=D79,"Comprado","Parcial"))))</f>
        <v/>
      </c>
      <c r="T79" s="86" t="str">
        <f aca="false">IF(AND(ISNUMBER(Q79),N(Q79)&gt;0.1),"Precio +"&amp;TEXT(Q79,"0%"),"")</f>
        <v/>
      </c>
      <c r="U79" s="0" t="str">
        <f aca="false">IF(OR(D79="",S79="Servicio"),"",MIN(G79,D79)*P79)</f>
        <v/>
      </c>
      <c r="V79" s="0" t="str">
        <f aca="false">IF(OR(D79="",S79="Servicio"),"",D79*P79)</f>
        <v/>
      </c>
    </row>
    <row r="80" customFormat="false" ht="16.5" hidden="false" customHeight="true" outlineLevel="0" collapsed="false">
      <c r="A80" s="23" t="str">
        <f aca="false">IF(PRESUPUESTO!$A76="Ítem",PRESUPUESTO!B76,"")</f>
        <v/>
      </c>
      <c r="B80" s="23" t="str">
        <f aca="false">IF(PRESUPUESTO!C76="","",PRESUPUESTO!C76)</f>
        <v/>
      </c>
      <c r="C80" s="86" t="str">
        <f aca="false">IF(PRESUPUESTO!$A76="Ítem",PRESUPUESTO!D76,"")</f>
        <v/>
      </c>
      <c r="D80" s="87" t="str">
        <f aca="false">IF(PRESUPUESTO!$A76&lt;&gt;"Ítem","",MAX(N(PRESUPUESTO!E76),N('CORTES CLIENTE'!L89)))</f>
        <v/>
      </c>
      <c r="E80" s="80"/>
      <c r="F80" s="87" t="str">
        <f aca="false">IF(D80="","",SUMIFS(GASTOS!$H$7:$H$5000,GASTOS!$F$7:$F$5000,$A80,GASTOS!$L$7:$L$5000,"Materiales y equipos"))</f>
        <v/>
      </c>
      <c r="G80" s="88" t="str">
        <f aca="false">IF(D80="","",N(E80)+F80)</f>
        <v/>
      </c>
      <c r="H80" s="88" t="str">
        <f aca="false">IF(OR(D80="",S80="Servicio"),"",MAX(0,D80-G80))</f>
        <v/>
      </c>
      <c r="I80" s="36" t="str">
        <f aca="false">IF(OR(D80="",S80="Servicio",N(D80)=0),"",MIN(1,G80/D80))</f>
        <v/>
      </c>
      <c r="J80" s="10" t="str">
        <f aca="false">IF(D80="","",PRESUPUESTO!O76)</f>
        <v/>
      </c>
      <c r="K80" s="10" t="str">
        <f aca="false">IF(D80="","",SUMIFS(GASTOS!$J$7:$J$5000,GASTOS!$F$7:$F$5000,$A80,GASTOS!$L$7:$L$5000,"Materiales y equipos"))</f>
        <v/>
      </c>
      <c r="L80" s="105" t="str">
        <f aca="false">IF(D80="","",COUNTIFS(GASTOS!$F$7:$F$5000,$A80,GASTOS!$L$7:$L$5000,"Materiales y equipos"))</f>
        <v/>
      </c>
      <c r="M80" s="10" t="str">
        <f aca="false">IF(OR(D80="",N(F80)=0),"",K80/F80)</f>
        <v/>
      </c>
      <c r="N80" s="10" t="str">
        <f aca="false">IF(OR(D80="",N(L80)=0),"",IFERROR(LOOKUP(2,1/((GASTOS!$F$7:$F$5000=$A80)*(GASTOS!$L$7:$L$5000="Materiales y equipos")*(GASTOS!$I$7:$I$5000&lt;&gt;"")),GASTOS!$I$7:$I$5000),""))</f>
        <v/>
      </c>
      <c r="O80" s="23" t="str">
        <f aca="false">IF(OR(D80="",N(L80)=0),"",IFERROR(LOOKUP(2,1/((GASTOS!$F$7:$F$5000=$A80)*(GASTOS!$L$7:$L$5000="Materiales y equipos")*(GASTOS!$I$7:$I$5000&lt;&gt;"")),GASTOS!$D$7:$D$5000),""))</f>
        <v/>
      </c>
      <c r="P80" s="10" t="str">
        <f aca="false">IF(D80="","",N(PRESUPUESTO!I76))</f>
        <v/>
      </c>
      <c r="Q80" s="36" t="str">
        <f aca="false">IF(OR(D80="",N80="",N(P80)=0),"",N80/P80-1)</f>
        <v/>
      </c>
      <c r="R80" s="10" t="str">
        <f aca="false">IF(OR(D80="",S80="Servicio"),"",H80*IF(N80&lt;&gt;"",N80,P80))</f>
        <v/>
      </c>
      <c r="S80" s="39" t="str">
        <f aca="false">IF(D80="","",IF(N(PRESUPUESTO!H76)=0,"Servicio",IF(G80=0,"Sin comprar",IF(G80&gt;=D80,"Comprado","Parcial"))))</f>
        <v/>
      </c>
      <c r="T80" s="86" t="str">
        <f aca="false">IF(AND(ISNUMBER(Q80),N(Q80)&gt;0.1),"Precio +"&amp;TEXT(Q80,"0%"),"")</f>
        <v/>
      </c>
      <c r="U80" s="0" t="str">
        <f aca="false">IF(OR(D80="",S80="Servicio"),"",MIN(G80,D80)*P80)</f>
        <v/>
      </c>
      <c r="V80" s="0" t="str">
        <f aca="false">IF(OR(D80="",S80="Servicio"),"",D80*P80)</f>
        <v/>
      </c>
    </row>
    <row r="81" customFormat="false" ht="16.5" hidden="false" customHeight="true" outlineLevel="0" collapsed="false">
      <c r="A81" s="23" t="str">
        <f aca="false">IF(PRESUPUESTO!$A77="Ítem",PRESUPUESTO!B77,"")</f>
        <v/>
      </c>
      <c r="B81" s="23" t="str">
        <f aca="false">IF(PRESUPUESTO!C77="","",PRESUPUESTO!C77)</f>
        <v/>
      </c>
      <c r="C81" s="86" t="str">
        <f aca="false">IF(PRESUPUESTO!$A77="Ítem",PRESUPUESTO!D77,"")</f>
        <v/>
      </c>
      <c r="D81" s="87" t="str">
        <f aca="false">IF(PRESUPUESTO!$A77&lt;&gt;"Ítem","",MAX(N(PRESUPUESTO!E77),N('CORTES CLIENTE'!L90)))</f>
        <v/>
      </c>
      <c r="E81" s="80"/>
      <c r="F81" s="87" t="str">
        <f aca="false">IF(D81="","",SUMIFS(GASTOS!$H$7:$H$5000,GASTOS!$F$7:$F$5000,$A81,GASTOS!$L$7:$L$5000,"Materiales y equipos"))</f>
        <v/>
      </c>
      <c r="G81" s="88" t="str">
        <f aca="false">IF(D81="","",N(E81)+F81)</f>
        <v/>
      </c>
      <c r="H81" s="88" t="str">
        <f aca="false">IF(OR(D81="",S81="Servicio"),"",MAX(0,D81-G81))</f>
        <v/>
      </c>
      <c r="I81" s="36" t="str">
        <f aca="false">IF(OR(D81="",S81="Servicio",N(D81)=0),"",MIN(1,G81/D81))</f>
        <v/>
      </c>
      <c r="J81" s="10" t="str">
        <f aca="false">IF(D81="","",PRESUPUESTO!O77)</f>
        <v/>
      </c>
      <c r="K81" s="10" t="str">
        <f aca="false">IF(D81="","",SUMIFS(GASTOS!$J$7:$J$5000,GASTOS!$F$7:$F$5000,$A81,GASTOS!$L$7:$L$5000,"Materiales y equipos"))</f>
        <v/>
      </c>
      <c r="L81" s="105" t="str">
        <f aca="false">IF(D81="","",COUNTIFS(GASTOS!$F$7:$F$5000,$A81,GASTOS!$L$7:$L$5000,"Materiales y equipos"))</f>
        <v/>
      </c>
      <c r="M81" s="10" t="str">
        <f aca="false">IF(OR(D81="",N(F81)=0),"",K81/F81)</f>
        <v/>
      </c>
      <c r="N81" s="10" t="str">
        <f aca="false">IF(OR(D81="",N(L81)=0),"",IFERROR(LOOKUP(2,1/((GASTOS!$F$7:$F$5000=$A81)*(GASTOS!$L$7:$L$5000="Materiales y equipos")*(GASTOS!$I$7:$I$5000&lt;&gt;"")),GASTOS!$I$7:$I$5000),""))</f>
        <v/>
      </c>
      <c r="O81" s="23" t="str">
        <f aca="false">IF(OR(D81="",N(L81)=0),"",IFERROR(LOOKUP(2,1/((GASTOS!$F$7:$F$5000=$A81)*(GASTOS!$L$7:$L$5000="Materiales y equipos")*(GASTOS!$I$7:$I$5000&lt;&gt;"")),GASTOS!$D$7:$D$5000),""))</f>
        <v/>
      </c>
      <c r="P81" s="10" t="str">
        <f aca="false">IF(D81="","",N(PRESUPUESTO!I77))</f>
        <v/>
      </c>
      <c r="Q81" s="36" t="str">
        <f aca="false">IF(OR(D81="",N81="",N(P81)=0),"",N81/P81-1)</f>
        <v/>
      </c>
      <c r="R81" s="10" t="str">
        <f aca="false">IF(OR(D81="",S81="Servicio"),"",H81*IF(N81&lt;&gt;"",N81,P81))</f>
        <v/>
      </c>
      <c r="S81" s="39" t="str">
        <f aca="false">IF(D81="","",IF(N(PRESUPUESTO!H77)=0,"Servicio",IF(G81=0,"Sin comprar",IF(G81&gt;=D81,"Comprado","Parcial"))))</f>
        <v/>
      </c>
      <c r="T81" s="86" t="str">
        <f aca="false">IF(AND(ISNUMBER(Q81),N(Q81)&gt;0.1),"Precio +"&amp;TEXT(Q81,"0%"),"")</f>
        <v/>
      </c>
      <c r="U81" s="0" t="str">
        <f aca="false">IF(OR(D81="",S81="Servicio"),"",MIN(G81,D81)*P81)</f>
        <v/>
      </c>
      <c r="V81" s="0" t="str">
        <f aca="false">IF(OR(D81="",S81="Servicio"),"",D81*P81)</f>
        <v/>
      </c>
    </row>
    <row r="82" customFormat="false" ht="16.5" hidden="false" customHeight="true" outlineLevel="0" collapsed="false">
      <c r="A82" s="23" t="str">
        <f aca="false">IF(PRESUPUESTO!$A78="Ítem",PRESUPUESTO!B78,"")</f>
        <v/>
      </c>
      <c r="B82" s="23" t="str">
        <f aca="false">IF(PRESUPUESTO!C78="","",PRESUPUESTO!C78)</f>
        <v/>
      </c>
      <c r="C82" s="86" t="str">
        <f aca="false">IF(PRESUPUESTO!$A78="Ítem",PRESUPUESTO!D78,"")</f>
        <v/>
      </c>
      <c r="D82" s="87" t="str">
        <f aca="false">IF(PRESUPUESTO!$A78&lt;&gt;"Ítem","",MAX(N(PRESUPUESTO!E78),N('CORTES CLIENTE'!L91)))</f>
        <v/>
      </c>
      <c r="E82" s="80"/>
      <c r="F82" s="87" t="str">
        <f aca="false">IF(D82="","",SUMIFS(GASTOS!$H$7:$H$5000,GASTOS!$F$7:$F$5000,$A82,GASTOS!$L$7:$L$5000,"Materiales y equipos"))</f>
        <v/>
      </c>
      <c r="G82" s="88" t="str">
        <f aca="false">IF(D82="","",N(E82)+F82)</f>
        <v/>
      </c>
      <c r="H82" s="88" t="str">
        <f aca="false">IF(OR(D82="",S82="Servicio"),"",MAX(0,D82-G82))</f>
        <v/>
      </c>
      <c r="I82" s="36" t="str">
        <f aca="false">IF(OR(D82="",S82="Servicio",N(D82)=0),"",MIN(1,G82/D82))</f>
        <v/>
      </c>
      <c r="J82" s="10" t="str">
        <f aca="false">IF(D82="","",PRESUPUESTO!O78)</f>
        <v/>
      </c>
      <c r="K82" s="10" t="str">
        <f aca="false">IF(D82="","",SUMIFS(GASTOS!$J$7:$J$5000,GASTOS!$F$7:$F$5000,$A82,GASTOS!$L$7:$L$5000,"Materiales y equipos"))</f>
        <v/>
      </c>
      <c r="L82" s="105" t="str">
        <f aca="false">IF(D82="","",COUNTIFS(GASTOS!$F$7:$F$5000,$A82,GASTOS!$L$7:$L$5000,"Materiales y equipos"))</f>
        <v/>
      </c>
      <c r="M82" s="10" t="str">
        <f aca="false">IF(OR(D82="",N(F82)=0),"",K82/F82)</f>
        <v/>
      </c>
      <c r="N82" s="10" t="str">
        <f aca="false">IF(OR(D82="",N(L82)=0),"",IFERROR(LOOKUP(2,1/((GASTOS!$F$7:$F$5000=$A82)*(GASTOS!$L$7:$L$5000="Materiales y equipos")*(GASTOS!$I$7:$I$5000&lt;&gt;"")),GASTOS!$I$7:$I$5000),""))</f>
        <v/>
      </c>
      <c r="O82" s="23" t="str">
        <f aca="false">IF(OR(D82="",N(L82)=0),"",IFERROR(LOOKUP(2,1/((GASTOS!$F$7:$F$5000=$A82)*(GASTOS!$L$7:$L$5000="Materiales y equipos")*(GASTOS!$I$7:$I$5000&lt;&gt;"")),GASTOS!$D$7:$D$5000),""))</f>
        <v/>
      </c>
      <c r="P82" s="10" t="str">
        <f aca="false">IF(D82="","",N(PRESUPUESTO!I78))</f>
        <v/>
      </c>
      <c r="Q82" s="36" t="str">
        <f aca="false">IF(OR(D82="",N82="",N(P82)=0),"",N82/P82-1)</f>
        <v/>
      </c>
      <c r="R82" s="10" t="str">
        <f aca="false">IF(OR(D82="",S82="Servicio"),"",H82*IF(N82&lt;&gt;"",N82,P82))</f>
        <v/>
      </c>
      <c r="S82" s="39" t="str">
        <f aca="false">IF(D82="","",IF(N(PRESUPUESTO!H78)=0,"Servicio",IF(G82=0,"Sin comprar",IF(G82&gt;=D82,"Comprado","Parcial"))))</f>
        <v/>
      </c>
      <c r="T82" s="86" t="str">
        <f aca="false">IF(AND(ISNUMBER(Q82),N(Q82)&gt;0.1),"Precio +"&amp;TEXT(Q82,"0%"),"")</f>
        <v/>
      </c>
      <c r="U82" s="0" t="str">
        <f aca="false">IF(OR(D82="",S82="Servicio"),"",MIN(G82,D82)*P82)</f>
        <v/>
      </c>
      <c r="V82" s="0" t="str">
        <f aca="false">IF(OR(D82="",S82="Servicio"),"",D82*P82)</f>
        <v/>
      </c>
    </row>
    <row r="83" customFormat="false" ht="16.5" hidden="false" customHeight="true" outlineLevel="0" collapsed="false">
      <c r="A83" s="23" t="str">
        <f aca="false">IF(PRESUPUESTO!$A79="Ítem",PRESUPUESTO!B79,"")</f>
        <v/>
      </c>
      <c r="B83" s="23" t="str">
        <f aca="false">IF(PRESUPUESTO!C79="","",PRESUPUESTO!C79)</f>
        <v/>
      </c>
      <c r="C83" s="86" t="str">
        <f aca="false">IF(PRESUPUESTO!$A79="Ítem",PRESUPUESTO!D79,"")</f>
        <v/>
      </c>
      <c r="D83" s="87" t="str">
        <f aca="false">IF(PRESUPUESTO!$A79&lt;&gt;"Ítem","",MAX(N(PRESUPUESTO!E79),N('CORTES CLIENTE'!L92)))</f>
        <v/>
      </c>
      <c r="E83" s="80"/>
      <c r="F83" s="87" t="str">
        <f aca="false">IF(D83="","",SUMIFS(GASTOS!$H$7:$H$5000,GASTOS!$F$7:$F$5000,$A83,GASTOS!$L$7:$L$5000,"Materiales y equipos"))</f>
        <v/>
      </c>
      <c r="G83" s="88" t="str">
        <f aca="false">IF(D83="","",N(E83)+F83)</f>
        <v/>
      </c>
      <c r="H83" s="88" t="str">
        <f aca="false">IF(OR(D83="",S83="Servicio"),"",MAX(0,D83-G83))</f>
        <v/>
      </c>
      <c r="I83" s="36" t="str">
        <f aca="false">IF(OR(D83="",S83="Servicio",N(D83)=0),"",MIN(1,G83/D83))</f>
        <v/>
      </c>
      <c r="J83" s="10" t="str">
        <f aca="false">IF(D83="","",PRESUPUESTO!O79)</f>
        <v/>
      </c>
      <c r="K83" s="10" t="str">
        <f aca="false">IF(D83="","",SUMIFS(GASTOS!$J$7:$J$5000,GASTOS!$F$7:$F$5000,$A83,GASTOS!$L$7:$L$5000,"Materiales y equipos"))</f>
        <v/>
      </c>
      <c r="L83" s="105" t="str">
        <f aca="false">IF(D83="","",COUNTIFS(GASTOS!$F$7:$F$5000,$A83,GASTOS!$L$7:$L$5000,"Materiales y equipos"))</f>
        <v/>
      </c>
      <c r="M83" s="10" t="str">
        <f aca="false">IF(OR(D83="",N(F83)=0),"",K83/F83)</f>
        <v/>
      </c>
      <c r="N83" s="10" t="str">
        <f aca="false">IF(OR(D83="",N(L83)=0),"",IFERROR(LOOKUP(2,1/((GASTOS!$F$7:$F$5000=$A83)*(GASTOS!$L$7:$L$5000="Materiales y equipos")*(GASTOS!$I$7:$I$5000&lt;&gt;"")),GASTOS!$I$7:$I$5000),""))</f>
        <v/>
      </c>
      <c r="O83" s="23" t="str">
        <f aca="false">IF(OR(D83="",N(L83)=0),"",IFERROR(LOOKUP(2,1/((GASTOS!$F$7:$F$5000=$A83)*(GASTOS!$L$7:$L$5000="Materiales y equipos")*(GASTOS!$I$7:$I$5000&lt;&gt;"")),GASTOS!$D$7:$D$5000),""))</f>
        <v/>
      </c>
      <c r="P83" s="10" t="str">
        <f aca="false">IF(D83="","",N(PRESUPUESTO!I79))</f>
        <v/>
      </c>
      <c r="Q83" s="36" t="str">
        <f aca="false">IF(OR(D83="",N83="",N(P83)=0),"",N83/P83-1)</f>
        <v/>
      </c>
      <c r="R83" s="10" t="str">
        <f aca="false">IF(OR(D83="",S83="Servicio"),"",H83*IF(N83&lt;&gt;"",N83,P83))</f>
        <v/>
      </c>
      <c r="S83" s="39" t="str">
        <f aca="false">IF(D83="","",IF(N(PRESUPUESTO!H79)=0,"Servicio",IF(G83=0,"Sin comprar",IF(G83&gt;=D83,"Comprado","Parcial"))))</f>
        <v/>
      </c>
      <c r="T83" s="86" t="str">
        <f aca="false">IF(AND(ISNUMBER(Q83),N(Q83)&gt;0.1),"Precio +"&amp;TEXT(Q83,"0%"),"")</f>
        <v/>
      </c>
      <c r="U83" s="0" t="str">
        <f aca="false">IF(OR(D83="",S83="Servicio"),"",MIN(G83,D83)*P83)</f>
        <v/>
      </c>
      <c r="V83" s="0" t="str">
        <f aca="false">IF(OR(D83="",S83="Servicio"),"",D83*P83)</f>
        <v/>
      </c>
    </row>
    <row r="84" customFormat="false" ht="16.5" hidden="false" customHeight="true" outlineLevel="0" collapsed="false">
      <c r="A84" s="23" t="str">
        <f aca="false">IF(PRESUPUESTO!$A80="Ítem",PRESUPUESTO!B80,"")</f>
        <v/>
      </c>
      <c r="B84" s="23" t="str">
        <f aca="false">IF(PRESUPUESTO!C80="","",PRESUPUESTO!C80)</f>
        <v/>
      </c>
      <c r="C84" s="86" t="str">
        <f aca="false">IF(PRESUPUESTO!$A80="Ítem",PRESUPUESTO!D80,"")</f>
        <v/>
      </c>
      <c r="D84" s="87" t="str">
        <f aca="false">IF(PRESUPUESTO!$A80&lt;&gt;"Ítem","",MAX(N(PRESUPUESTO!E80),N('CORTES CLIENTE'!L93)))</f>
        <v/>
      </c>
      <c r="E84" s="80"/>
      <c r="F84" s="87" t="str">
        <f aca="false">IF(D84="","",SUMIFS(GASTOS!$H$7:$H$5000,GASTOS!$F$7:$F$5000,$A84,GASTOS!$L$7:$L$5000,"Materiales y equipos"))</f>
        <v/>
      </c>
      <c r="G84" s="88" t="str">
        <f aca="false">IF(D84="","",N(E84)+F84)</f>
        <v/>
      </c>
      <c r="H84" s="88" t="str">
        <f aca="false">IF(OR(D84="",S84="Servicio"),"",MAX(0,D84-G84))</f>
        <v/>
      </c>
      <c r="I84" s="36" t="str">
        <f aca="false">IF(OR(D84="",S84="Servicio",N(D84)=0),"",MIN(1,G84/D84))</f>
        <v/>
      </c>
      <c r="J84" s="10" t="str">
        <f aca="false">IF(D84="","",PRESUPUESTO!O80)</f>
        <v/>
      </c>
      <c r="K84" s="10" t="str">
        <f aca="false">IF(D84="","",SUMIFS(GASTOS!$J$7:$J$5000,GASTOS!$F$7:$F$5000,$A84,GASTOS!$L$7:$L$5000,"Materiales y equipos"))</f>
        <v/>
      </c>
      <c r="L84" s="105" t="str">
        <f aca="false">IF(D84="","",COUNTIFS(GASTOS!$F$7:$F$5000,$A84,GASTOS!$L$7:$L$5000,"Materiales y equipos"))</f>
        <v/>
      </c>
      <c r="M84" s="10" t="str">
        <f aca="false">IF(OR(D84="",N(F84)=0),"",K84/F84)</f>
        <v/>
      </c>
      <c r="N84" s="10" t="str">
        <f aca="false">IF(OR(D84="",N(L84)=0),"",IFERROR(LOOKUP(2,1/((GASTOS!$F$7:$F$5000=$A84)*(GASTOS!$L$7:$L$5000="Materiales y equipos")*(GASTOS!$I$7:$I$5000&lt;&gt;"")),GASTOS!$I$7:$I$5000),""))</f>
        <v/>
      </c>
      <c r="O84" s="23" t="str">
        <f aca="false">IF(OR(D84="",N(L84)=0),"",IFERROR(LOOKUP(2,1/((GASTOS!$F$7:$F$5000=$A84)*(GASTOS!$L$7:$L$5000="Materiales y equipos")*(GASTOS!$I$7:$I$5000&lt;&gt;"")),GASTOS!$D$7:$D$5000),""))</f>
        <v/>
      </c>
      <c r="P84" s="10" t="str">
        <f aca="false">IF(D84="","",N(PRESUPUESTO!I80))</f>
        <v/>
      </c>
      <c r="Q84" s="36" t="str">
        <f aca="false">IF(OR(D84="",N84="",N(P84)=0),"",N84/P84-1)</f>
        <v/>
      </c>
      <c r="R84" s="10" t="str">
        <f aca="false">IF(OR(D84="",S84="Servicio"),"",H84*IF(N84&lt;&gt;"",N84,P84))</f>
        <v/>
      </c>
      <c r="S84" s="39" t="str">
        <f aca="false">IF(D84="","",IF(N(PRESUPUESTO!H80)=0,"Servicio",IF(G84=0,"Sin comprar",IF(G84&gt;=D84,"Comprado","Parcial"))))</f>
        <v/>
      </c>
      <c r="T84" s="86" t="str">
        <f aca="false">IF(AND(ISNUMBER(Q84),N(Q84)&gt;0.1),"Precio +"&amp;TEXT(Q84,"0%"),"")</f>
        <v/>
      </c>
      <c r="U84" s="0" t="str">
        <f aca="false">IF(OR(D84="",S84="Servicio"),"",MIN(G84,D84)*P84)</f>
        <v/>
      </c>
      <c r="V84" s="0" t="str">
        <f aca="false">IF(OR(D84="",S84="Servicio"),"",D84*P84)</f>
        <v/>
      </c>
    </row>
    <row r="85" customFormat="false" ht="16.5" hidden="false" customHeight="true" outlineLevel="0" collapsed="false">
      <c r="A85" s="23" t="str">
        <f aca="false">IF(PRESUPUESTO!$A81="Ítem",PRESUPUESTO!B81,"")</f>
        <v/>
      </c>
      <c r="B85" s="23" t="str">
        <f aca="false">IF(PRESUPUESTO!C81="","",PRESUPUESTO!C81)</f>
        <v/>
      </c>
      <c r="C85" s="86" t="str">
        <f aca="false">IF(PRESUPUESTO!$A81="Ítem",PRESUPUESTO!D81,"")</f>
        <v/>
      </c>
      <c r="D85" s="87" t="str">
        <f aca="false">IF(PRESUPUESTO!$A81&lt;&gt;"Ítem","",MAX(N(PRESUPUESTO!E81),N('CORTES CLIENTE'!L94)))</f>
        <v/>
      </c>
      <c r="E85" s="80"/>
      <c r="F85" s="87" t="str">
        <f aca="false">IF(D85="","",SUMIFS(GASTOS!$H$7:$H$5000,GASTOS!$F$7:$F$5000,$A85,GASTOS!$L$7:$L$5000,"Materiales y equipos"))</f>
        <v/>
      </c>
      <c r="G85" s="88" t="str">
        <f aca="false">IF(D85="","",N(E85)+F85)</f>
        <v/>
      </c>
      <c r="H85" s="88" t="str">
        <f aca="false">IF(OR(D85="",S85="Servicio"),"",MAX(0,D85-G85))</f>
        <v/>
      </c>
      <c r="I85" s="36" t="str">
        <f aca="false">IF(OR(D85="",S85="Servicio",N(D85)=0),"",MIN(1,G85/D85))</f>
        <v/>
      </c>
      <c r="J85" s="10" t="str">
        <f aca="false">IF(D85="","",PRESUPUESTO!O81)</f>
        <v/>
      </c>
      <c r="K85" s="10" t="str">
        <f aca="false">IF(D85="","",SUMIFS(GASTOS!$J$7:$J$5000,GASTOS!$F$7:$F$5000,$A85,GASTOS!$L$7:$L$5000,"Materiales y equipos"))</f>
        <v/>
      </c>
      <c r="L85" s="105" t="str">
        <f aca="false">IF(D85="","",COUNTIFS(GASTOS!$F$7:$F$5000,$A85,GASTOS!$L$7:$L$5000,"Materiales y equipos"))</f>
        <v/>
      </c>
      <c r="M85" s="10" t="str">
        <f aca="false">IF(OR(D85="",N(F85)=0),"",K85/F85)</f>
        <v/>
      </c>
      <c r="N85" s="10" t="str">
        <f aca="false">IF(OR(D85="",N(L85)=0),"",IFERROR(LOOKUP(2,1/((GASTOS!$F$7:$F$5000=$A85)*(GASTOS!$L$7:$L$5000="Materiales y equipos")*(GASTOS!$I$7:$I$5000&lt;&gt;"")),GASTOS!$I$7:$I$5000),""))</f>
        <v/>
      </c>
      <c r="O85" s="23" t="str">
        <f aca="false">IF(OR(D85="",N(L85)=0),"",IFERROR(LOOKUP(2,1/((GASTOS!$F$7:$F$5000=$A85)*(GASTOS!$L$7:$L$5000="Materiales y equipos")*(GASTOS!$I$7:$I$5000&lt;&gt;"")),GASTOS!$D$7:$D$5000),""))</f>
        <v/>
      </c>
      <c r="P85" s="10" t="str">
        <f aca="false">IF(D85="","",N(PRESUPUESTO!I81))</f>
        <v/>
      </c>
      <c r="Q85" s="36" t="str">
        <f aca="false">IF(OR(D85="",N85="",N(P85)=0),"",N85/P85-1)</f>
        <v/>
      </c>
      <c r="R85" s="10" t="str">
        <f aca="false">IF(OR(D85="",S85="Servicio"),"",H85*IF(N85&lt;&gt;"",N85,P85))</f>
        <v/>
      </c>
      <c r="S85" s="39" t="str">
        <f aca="false">IF(D85="","",IF(N(PRESUPUESTO!H81)=0,"Servicio",IF(G85=0,"Sin comprar",IF(G85&gt;=D85,"Comprado","Parcial"))))</f>
        <v/>
      </c>
      <c r="T85" s="86" t="str">
        <f aca="false">IF(AND(ISNUMBER(Q85),N(Q85)&gt;0.1),"Precio +"&amp;TEXT(Q85,"0%"),"")</f>
        <v/>
      </c>
      <c r="U85" s="0" t="str">
        <f aca="false">IF(OR(D85="",S85="Servicio"),"",MIN(G85,D85)*P85)</f>
        <v/>
      </c>
      <c r="V85" s="0" t="str">
        <f aca="false">IF(OR(D85="",S85="Servicio"),"",D85*P85)</f>
        <v/>
      </c>
    </row>
    <row r="86" customFormat="false" ht="16.5" hidden="false" customHeight="true" outlineLevel="0" collapsed="false">
      <c r="A86" s="23" t="str">
        <f aca="false">IF(PRESUPUESTO!$A82="Ítem",PRESUPUESTO!B82,"")</f>
        <v/>
      </c>
      <c r="B86" s="23" t="str">
        <f aca="false">IF(PRESUPUESTO!C82="","",PRESUPUESTO!C82)</f>
        <v/>
      </c>
      <c r="C86" s="86" t="str">
        <f aca="false">IF(PRESUPUESTO!$A82="Ítem",PRESUPUESTO!D82,"")</f>
        <v/>
      </c>
      <c r="D86" s="87" t="str">
        <f aca="false">IF(PRESUPUESTO!$A82&lt;&gt;"Ítem","",MAX(N(PRESUPUESTO!E82),N('CORTES CLIENTE'!L95)))</f>
        <v/>
      </c>
      <c r="E86" s="80"/>
      <c r="F86" s="87" t="str">
        <f aca="false">IF(D86="","",SUMIFS(GASTOS!$H$7:$H$5000,GASTOS!$F$7:$F$5000,$A86,GASTOS!$L$7:$L$5000,"Materiales y equipos"))</f>
        <v/>
      </c>
      <c r="G86" s="88" t="str">
        <f aca="false">IF(D86="","",N(E86)+F86)</f>
        <v/>
      </c>
      <c r="H86" s="88" t="str">
        <f aca="false">IF(OR(D86="",S86="Servicio"),"",MAX(0,D86-G86))</f>
        <v/>
      </c>
      <c r="I86" s="36" t="str">
        <f aca="false">IF(OR(D86="",S86="Servicio",N(D86)=0),"",MIN(1,G86/D86))</f>
        <v/>
      </c>
      <c r="J86" s="10" t="str">
        <f aca="false">IF(D86="","",PRESUPUESTO!O82)</f>
        <v/>
      </c>
      <c r="K86" s="10" t="str">
        <f aca="false">IF(D86="","",SUMIFS(GASTOS!$J$7:$J$5000,GASTOS!$F$7:$F$5000,$A86,GASTOS!$L$7:$L$5000,"Materiales y equipos"))</f>
        <v/>
      </c>
      <c r="L86" s="105" t="str">
        <f aca="false">IF(D86="","",COUNTIFS(GASTOS!$F$7:$F$5000,$A86,GASTOS!$L$7:$L$5000,"Materiales y equipos"))</f>
        <v/>
      </c>
      <c r="M86" s="10" t="str">
        <f aca="false">IF(OR(D86="",N(F86)=0),"",K86/F86)</f>
        <v/>
      </c>
      <c r="N86" s="10" t="str">
        <f aca="false">IF(OR(D86="",N(L86)=0),"",IFERROR(LOOKUP(2,1/((GASTOS!$F$7:$F$5000=$A86)*(GASTOS!$L$7:$L$5000="Materiales y equipos")*(GASTOS!$I$7:$I$5000&lt;&gt;"")),GASTOS!$I$7:$I$5000),""))</f>
        <v/>
      </c>
      <c r="O86" s="23" t="str">
        <f aca="false">IF(OR(D86="",N(L86)=0),"",IFERROR(LOOKUP(2,1/((GASTOS!$F$7:$F$5000=$A86)*(GASTOS!$L$7:$L$5000="Materiales y equipos")*(GASTOS!$I$7:$I$5000&lt;&gt;"")),GASTOS!$D$7:$D$5000),""))</f>
        <v/>
      </c>
      <c r="P86" s="10" t="str">
        <f aca="false">IF(D86="","",N(PRESUPUESTO!I82))</f>
        <v/>
      </c>
      <c r="Q86" s="36" t="str">
        <f aca="false">IF(OR(D86="",N86="",N(P86)=0),"",N86/P86-1)</f>
        <v/>
      </c>
      <c r="R86" s="10" t="str">
        <f aca="false">IF(OR(D86="",S86="Servicio"),"",H86*IF(N86&lt;&gt;"",N86,P86))</f>
        <v/>
      </c>
      <c r="S86" s="39" t="str">
        <f aca="false">IF(D86="","",IF(N(PRESUPUESTO!H82)=0,"Servicio",IF(G86=0,"Sin comprar",IF(G86&gt;=D86,"Comprado","Parcial"))))</f>
        <v/>
      </c>
      <c r="T86" s="86" t="str">
        <f aca="false">IF(AND(ISNUMBER(Q86),N(Q86)&gt;0.1),"Precio +"&amp;TEXT(Q86,"0%"),"")</f>
        <v/>
      </c>
      <c r="U86" s="0" t="str">
        <f aca="false">IF(OR(D86="",S86="Servicio"),"",MIN(G86,D86)*P86)</f>
        <v/>
      </c>
      <c r="V86" s="0" t="str">
        <f aca="false">IF(OR(D86="",S86="Servicio"),"",D86*P86)</f>
        <v/>
      </c>
    </row>
    <row r="87" customFormat="false" ht="16.5" hidden="false" customHeight="true" outlineLevel="0" collapsed="false">
      <c r="A87" s="23" t="str">
        <f aca="false">IF(PRESUPUESTO!$A83="Ítem",PRESUPUESTO!B83,"")</f>
        <v/>
      </c>
      <c r="B87" s="23" t="str">
        <f aca="false">IF(PRESUPUESTO!C83="","",PRESUPUESTO!C83)</f>
        <v/>
      </c>
      <c r="C87" s="86" t="str">
        <f aca="false">IF(PRESUPUESTO!$A83="Ítem",PRESUPUESTO!D83,"")</f>
        <v/>
      </c>
      <c r="D87" s="87" t="str">
        <f aca="false">IF(PRESUPUESTO!$A83&lt;&gt;"Ítem","",MAX(N(PRESUPUESTO!E83),N('CORTES CLIENTE'!L96)))</f>
        <v/>
      </c>
      <c r="E87" s="80"/>
      <c r="F87" s="87" t="str">
        <f aca="false">IF(D87="","",SUMIFS(GASTOS!$H$7:$H$5000,GASTOS!$F$7:$F$5000,$A87,GASTOS!$L$7:$L$5000,"Materiales y equipos"))</f>
        <v/>
      </c>
      <c r="G87" s="88" t="str">
        <f aca="false">IF(D87="","",N(E87)+F87)</f>
        <v/>
      </c>
      <c r="H87" s="88" t="str">
        <f aca="false">IF(OR(D87="",S87="Servicio"),"",MAX(0,D87-G87))</f>
        <v/>
      </c>
      <c r="I87" s="36" t="str">
        <f aca="false">IF(OR(D87="",S87="Servicio",N(D87)=0),"",MIN(1,G87/D87))</f>
        <v/>
      </c>
      <c r="J87" s="10" t="str">
        <f aca="false">IF(D87="","",PRESUPUESTO!O83)</f>
        <v/>
      </c>
      <c r="K87" s="10" t="str">
        <f aca="false">IF(D87="","",SUMIFS(GASTOS!$J$7:$J$5000,GASTOS!$F$7:$F$5000,$A87,GASTOS!$L$7:$L$5000,"Materiales y equipos"))</f>
        <v/>
      </c>
      <c r="L87" s="105" t="str">
        <f aca="false">IF(D87="","",COUNTIFS(GASTOS!$F$7:$F$5000,$A87,GASTOS!$L$7:$L$5000,"Materiales y equipos"))</f>
        <v/>
      </c>
      <c r="M87" s="10" t="str">
        <f aca="false">IF(OR(D87="",N(F87)=0),"",K87/F87)</f>
        <v/>
      </c>
      <c r="N87" s="10" t="str">
        <f aca="false">IF(OR(D87="",N(L87)=0),"",IFERROR(LOOKUP(2,1/((GASTOS!$F$7:$F$5000=$A87)*(GASTOS!$L$7:$L$5000="Materiales y equipos")*(GASTOS!$I$7:$I$5000&lt;&gt;"")),GASTOS!$I$7:$I$5000),""))</f>
        <v/>
      </c>
      <c r="O87" s="23" t="str">
        <f aca="false">IF(OR(D87="",N(L87)=0),"",IFERROR(LOOKUP(2,1/((GASTOS!$F$7:$F$5000=$A87)*(GASTOS!$L$7:$L$5000="Materiales y equipos")*(GASTOS!$I$7:$I$5000&lt;&gt;"")),GASTOS!$D$7:$D$5000),""))</f>
        <v/>
      </c>
      <c r="P87" s="10" t="str">
        <f aca="false">IF(D87="","",N(PRESUPUESTO!I83))</f>
        <v/>
      </c>
      <c r="Q87" s="36" t="str">
        <f aca="false">IF(OR(D87="",N87="",N(P87)=0),"",N87/P87-1)</f>
        <v/>
      </c>
      <c r="R87" s="10" t="str">
        <f aca="false">IF(OR(D87="",S87="Servicio"),"",H87*IF(N87&lt;&gt;"",N87,P87))</f>
        <v/>
      </c>
      <c r="S87" s="39" t="str">
        <f aca="false">IF(D87="","",IF(N(PRESUPUESTO!H83)=0,"Servicio",IF(G87=0,"Sin comprar",IF(G87&gt;=D87,"Comprado","Parcial"))))</f>
        <v/>
      </c>
      <c r="T87" s="86" t="str">
        <f aca="false">IF(AND(ISNUMBER(Q87),N(Q87)&gt;0.1),"Precio +"&amp;TEXT(Q87,"0%"),"")</f>
        <v/>
      </c>
      <c r="U87" s="0" t="str">
        <f aca="false">IF(OR(D87="",S87="Servicio"),"",MIN(G87,D87)*P87)</f>
        <v/>
      </c>
      <c r="V87" s="0" t="str">
        <f aca="false">IF(OR(D87="",S87="Servicio"),"",D87*P87)</f>
        <v/>
      </c>
    </row>
    <row r="88" customFormat="false" ht="16.5" hidden="false" customHeight="true" outlineLevel="0" collapsed="false">
      <c r="A88" s="23" t="str">
        <f aca="false">IF(PRESUPUESTO!$A84="Ítem",PRESUPUESTO!B84,"")</f>
        <v/>
      </c>
      <c r="B88" s="23" t="str">
        <f aca="false">IF(PRESUPUESTO!C84="","",PRESUPUESTO!C84)</f>
        <v/>
      </c>
      <c r="C88" s="86" t="str">
        <f aca="false">IF(PRESUPUESTO!$A84="Ítem",PRESUPUESTO!D84,"")</f>
        <v/>
      </c>
      <c r="D88" s="87" t="str">
        <f aca="false">IF(PRESUPUESTO!$A84&lt;&gt;"Ítem","",MAX(N(PRESUPUESTO!E84),N('CORTES CLIENTE'!L97)))</f>
        <v/>
      </c>
      <c r="E88" s="80"/>
      <c r="F88" s="87" t="str">
        <f aca="false">IF(D88="","",SUMIFS(GASTOS!$H$7:$H$5000,GASTOS!$F$7:$F$5000,$A88,GASTOS!$L$7:$L$5000,"Materiales y equipos"))</f>
        <v/>
      </c>
      <c r="G88" s="88" t="str">
        <f aca="false">IF(D88="","",N(E88)+F88)</f>
        <v/>
      </c>
      <c r="H88" s="88" t="str">
        <f aca="false">IF(OR(D88="",S88="Servicio"),"",MAX(0,D88-G88))</f>
        <v/>
      </c>
      <c r="I88" s="36" t="str">
        <f aca="false">IF(OR(D88="",S88="Servicio",N(D88)=0),"",MIN(1,G88/D88))</f>
        <v/>
      </c>
      <c r="J88" s="10" t="str">
        <f aca="false">IF(D88="","",PRESUPUESTO!O84)</f>
        <v/>
      </c>
      <c r="K88" s="10" t="str">
        <f aca="false">IF(D88="","",SUMIFS(GASTOS!$J$7:$J$5000,GASTOS!$F$7:$F$5000,$A88,GASTOS!$L$7:$L$5000,"Materiales y equipos"))</f>
        <v/>
      </c>
      <c r="L88" s="105" t="str">
        <f aca="false">IF(D88="","",COUNTIFS(GASTOS!$F$7:$F$5000,$A88,GASTOS!$L$7:$L$5000,"Materiales y equipos"))</f>
        <v/>
      </c>
      <c r="M88" s="10" t="str">
        <f aca="false">IF(OR(D88="",N(F88)=0),"",K88/F88)</f>
        <v/>
      </c>
      <c r="N88" s="10" t="str">
        <f aca="false">IF(OR(D88="",N(L88)=0),"",IFERROR(LOOKUP(2,1/((GASTOS!$F$7:$F$5000=$A88)*(GASTOS!$L$7:$L$5000="Materiales y equipos")*(GASTOS!$I$7:$I$5000&lt;&gt;"")),GASTOS!$I$7:$I$5000),""))</f>
        <v/>
      </c>
      <c r="O88" s="23" t="str">
        <f aca="false">IF(OR(D88="",N(L88)=0),"",IFERROR(LOOKUP(2,1/((GASTOS!$F$7:$F$5000=$A88)*(GASTOS!$L$7:$L$5000="Materiales y equipos")*(GASTOS!$I$7:$I$5000&lt;&gt;"")),GASTOS!$D$7:$D$5000),""))</f>
        <v/>
      </c>
      <c r="P88" s="10" t="str">
        <f aca="false">IF(D88="","",N(PRESUPUESTO!I84))</f>
        <v/>
      </c>
      <c r="Q88" s="36" t="str">
        <f aca="false">IF(OR(D88="",N88="",N(P88)=0),"",N88/P88-1)</f>
        <v/>
      </c>
      <c r="R88" s="10" t="str">
        <f aca="false">IF(OR(D88="",S88="Servicio"),"",H88*IF(N88&lt;&gt;"",N88,P88))</f>
        <v/>
      </c>
      <c r="S88" s="39" t="str">
        <f aca="false">IF(D88="","",IF(N(PRESUPUESTO!H84)=0,"Servicio",IF(G88=0,"Sin comprar",IF(G88&gt;=D88,"Comprado","Parcial"))))</f>
        <v/>
      </c>
      <c r="T88" s="86" t="str">
        <f aca="false">IF(AND(ISNUMBER(Q88),N(Q88)&gt;0.1),"Precio +"&amp;TEXT(Q88,"0%"),"")</f>
        <v/>
      </c>
      <c r="U88" s="0" t="str">
        <f aca="false">IF(OR(D88="",S88="Servicio"),"",MIN(G88,D88)*P88)</f>
        <v/>
      </c>
      <c r="V88" s="0" t="str">
        <f aca="false">IF(OR(D88="",S88="Servicio"),"",D88*P88)</f>
        <v/>
      </c>
    </row>
    <row r="89" customFormat="false" ht="16.5" hidden="false" customHeight="true" outlineLevel="0" collapsed="false">
      <c r="A89" s="23" t="str">
        <f aca="false">IF(PRESUPUESTO!$A85="Ítem",PRESUPUESTO!B85,"")</f>
        <v/>
      </c>
      <c r="B89" s="23" t="str">
        <f aca="false">IF(PRESUPUESTO!C85="","",PRESUPUESTO!C85)</f>
        <v/>
      </c>
      <c r="C89" s="86" t="str">
        <f aca="false">IF(PRESUPUESTO!$A85="Ítem",PRESUPUESTO!D85,"")</f>
        <v/>
      </c>
      <c r="D89" s="87" t="str">
        <f aca="false">IF(PRESUPUESTO!$A85&lt;&gt;"Ítem","",MAX(N(PRESUPUESTO!E85),N('CORTES CLIENTE'!L98)))</f>
        <v/>
      </c>
      <c r="E89" s="80"/>
      <c r="F89" s="87" t="str">
        <f aca="false">IF(D89="","",SUMIFS(GASTOS!$H$7:$H$5000,GASTOS!$F$7:$F$5000,$A89,GASTOS!$L$7:$L$5000,"Materiales y equipos"))</f>
        <v/>
      </c>
      <c r="G89" s="88" t="str">
        <f aca="false">IF(D89="","",N(E89)+F89)</f>
        <v/>
      </c>
      <c r="H89" s="88" t="str">
        <f aca="false">IF(OR(D89="",S89="Servicio"),"",MAX(0,D89-G89))</f>
        <v/>
      </c>
      <c r="I89" s="36" t="str">
        <f aca="false">IF(OR(D89="",S89="Servicio",N(D89)=0),"",MIN(1,G89/D89))</f>
        <v/>
      </c>
      <c r="J89" s="10" t="str">
        <f aca="false">IF(D89="","",PRESUPUESTO!O85)</f>
        <v/>
      </c>
      <c r="K89" s="10" t="str">
        <f aca="false">IF(D89="","",SUMIFS(GASTOS!$J$7:$J$5000,GASTOS!$F$7:$F$5000,$A89,GASTOS!$L$7:$L$5000,"Materiales y equipos"))</f>
        <v/>
      </c>
      <c r="L89" s="105" t="str">
        <f aca="false">IF(D89="","",COUNTIFS(GASTOS!$F$7:$F$5000,$A89,GASTOS!$L$7:$L$5000,"Materiales y equipos"))</f>
        <v/>
      </c>
      <c r="M89" s="10" t="str">
        <f aca="false">IF(OR(D89="",N(F89)=0),"",K89/F89)</f>
        <v/>
      </c>
      <c r="N89" s="10" t="str">
        <f aca="false">IF(OR(D89="",N(L89)=0),"",IFERROR(LOOKUP(2,1/((GASTOS!$F$7:$F$5000=$A89)*(GASTOS!$L$7:$L$5000="Materiales y equipos")*(GASTOS!$I$7:$I$5000&lt;&gt;"")),GASTOS!$I$7:$I$5000),""))</f>
        <v/>
      </c>
      <c r="O89" s="23" t="str">
        <f aca="false">IF(OR(D89="",N(L89)=0),"",IFERROR(LOOKUP(2,1/((GASTOS!$F$7:$F$5000=$A89)*(GASTOS!$L$7:$L$5000="Materiales y equipos")*(GASTOS!$I$7:$I$5000&lt;&gt;"")),GASTOS!$D$7:$D$5000),""))</f>
        <v/>
      </c>
      <c r="P89" s="10" t="str">
        <f aca="false">IF(D89="","",N(PRESUPUESTO!I85))</f>
        <v/>
      </c>
      <c r="Q89" s="36" t="str">
        <f aca="false">IF(OR(D89="",N89="",N(P89)=0),"",N89/P89-1)</f>
        <v/>
      </c>
      <c r="R89" s="10" t="str">
        <f aca="false">IF(OR(D89="",S89="Servicio"),"",H89*IF(N89&lt;&gt;"",N89,P89))</f>
        <v/>
      </c>
      <c r="S89" s="39" t="str">
        <f aca="false">IF(D89="","",IF(N(PRESUPUESTO!H85)=0,"Servicio",IF(G89=0,"Sin comprar",IF(G89&gt;=D89,"Comprado","Parcial"))))</f>
        <v/>
      </c>
      <c r="T89" s="86" t="str">
        <f aca="false">IF(AND(ISNUMBER(Q89),N(Q89)&gt;0.1),"Precio +"&amp;TEXT(Q89,"0%"),"")</f>
        <v/>
      </c>
      <c r="U89" s="0" t="str">
        <f aca="false">IF(OR(D89="",S89="Servicio"),"",MIN(G89,D89)*P89)</f>
        <v/>
      </c>
      <c r="V89" s="0" t="str">
        <f aca="false">IF(OR(D89="",S89="Servicio"),"",D89*P89)</f>
        <v/>
      </c>
    </row>
    <row r="90" customFormat="false" ht="16.5" hidden="false" customHeight="true" outlineLevel="0" collapsed="false">
      <c r="A90" s="23" t="str">
        <f aca="false">IF(PRESUPUESTO!$A86="Ítem",PRESUPUESTO!B86,"")</f>
        <v/>
      </c>
      <c r="B90" s="23" t="str">
        <f aca="false">IF(PRESUPUESTO!C86="","",PRESUPUESTO!C86)</f>
        <v/>
      </c>
      <c r="C90" s="86" t="str">
        <f aca="false">IF(PRESUPUESTO!$A86="Ítem",PRESUPUESTO!D86,"")</f>
        <v/>
      </c>
      <c r="D90" s="87" t="str">
        <f aca="false">IF(PRESUPUESTO!$A86&lt;&gt;"Ítem","",MAX(N(PRESUPUESTO!E86),N('CORTES CLIENTE'!L99)))</f>
        <v/>
      </c>
      <c r="E90" s="80"/>
      <c r="F90" s="87" t="str">
        <f aca="false">IF(D90="","",SUMIFS(GASTOS!$H$7:$H$5000,GASTOS!$F$7:$F$5000,$A90,GASTOS!$L$7:$L$5000,"Materiales y equipos"))</f>
        <v/>
      </c>
      <c r="G90" s="88" t="str">
        <f aca="false">IF(D90="","",N(E90)+F90)</f>
        <v/>
      </c>
      <c r="H90" s="88" t="str">
        <f aca="false">IF(OR(D90="",S90="Servicio"),"",MAX(0,D90-G90))</f>
        <v/>
      </c>
      <c r="I90" s="36" t="str">
        <f aca="false">IF(OR(D90="",S90="Servicio",N(D90)=0),"",MIN(1,G90/D90))</f>
        <v/>
      </c>
      <c r="J90" s="10" t="str">
        <f aca="false">IF(D90="","",PRESUPUESTO!O86)</f>
        <v/>
      </c>
      <c r="K90" s="10" t="str">
        <f aca="false">IF(D90="","",SUMIFS(GASTOS!$J$7:$J$5000,GASTOS!$F$7:$F$5000,$A90,GASTOS!$L$7:$L$5000,"Materiales y equipos"))</f>
        <v/>
      </c>
      <c r="L90" s="105" t="str">
        <f aca="false">IF(D90="","",COUNTIFS(GASTOS!$F$7:$F$5000,$A90,GASTOS!$L$7:$L$5000,"Materiales y equipos"))</f>
        <v/>
      </c>
      <c r="M90" s="10" t="str">
        <f aca="false">IF(OR(D90="",N(F90)=0),"",K90/F90)</f>
        <v/>
      </c>
      <c r="N90" s="10" t="str">
        <f aca="false">IF(OR(D90="",N(L90)=0),"",IFERROR(LOOKUP(2,1/((GASTOS!$F$7:$F$5000=$A90)*(GASTOS!$L$7:$L$5000="Materiales y equipos")*(GASTOS!$I$7:$I$5000&lt;&gt;"")),GASTOS!$I$7:$I$5000),""))</f>
        <v/>
      </c>
      <c r="O90" s="23" t="str">
        <f aca="false">IF(OR(D90="",N(L90)=0),"",IFERROR(LOOKUP(2,1/((GASTOS!$F$7:$F$5000=$A90)*(GASTOS!$L$7:$L$5000="Materiales y equipos")*(GASTOS!$I$7:$I$5000&lt;&gt;"")),GASTOS!$D$7:$D$5000),""))</f>
        <v/>
      </c>
      <c r="P90" s="10" t="str">
        <f aca="false">IF(D90="","",N(PRESUPUESTO!I86))</f>
        <v/>
      </c>
      <c r="Q90" s="36" t="str">
        <f aca="false">IF(OR(D90="",N90="",N(P90)=0),"",N90/P90-1)</f>
        <v/>
      </c>
      <c r="R90" s="10" t="str">
        <f aca="false">IF(OR(D90="",S90="Servicio"),"",H90*IF(N90&lt;&gt;"",N90,P90))</f>
        <v/>
      </c>
      <c r="S90" s="39" t="str">
        <f aca="false">IF(D90="","",IF(N(PRESUPUESTO!H86)=0,"Servicio",IF(G90=0,"Sin comprar",IF(G90&gt;=D90,"Comprado","Parcial"))))</f>
        <v/>
      </c>
      <c r="T90" s="86" t="str">
        <f aca="false">IF(AND(ISNUMBER(Q90),N(Q90)&gt;0.1),"Precio +"&amp;TEXT(Q90,"0%"),"")</f>
        <v/>
      </c>
      <c r="U90" s="0" t="str">
        <f aca="false">IF(OR(D90="",S90="Servicio"),"",MIN(G90,D90)*P90)</f>
        <v/>
      </c>
      <c r="V90" s="0" t="str">
        <f aca="false">IF(OR(D90="",S90="Servicio"),"",D90*P90)</f>
        <v/>
      </c>
    </row>
    <row r="91" customFormat="false" ht="16.5" hidden="false" customHeight="true" outlineLevel="0" collapsed="false">
      <c r="A91" s="23" t="str">
        <f aca="false">IF(PRESUPUESTO!$A87="Ítem",PRESUPUESTO!B87,"")</f>
        <v/>
      </c>
      <c r="B91" s="23" t="str">
        <f aca="false">IF(PRESUPUESTO!C87="","",PRESUPUESTO!C87)</f>
        <v/>
      </c>
      <c r="C91" s="86" t="str">
        <f aca="false">IF(PRESUPUESTO!$A87="Ítem",PRESUPUESTO!D87,"")</f>
        <v/>
      </c>
      <c r="D91" s="87" t="str">
        <f aca="false">IF(PRESUPUESTO!$A87&lt;&gt;"Ítem","",MAX(N(PRESUPUESTO!E87),N('CORTES CLIENTE'!L100)))</f>
        <v/>
      </c>
      <c r="E91" s="80"/>
      <c r="F91" s="87" t="str">
        <f aca="false">IF(D91="","",SUMIFS(GASTOS!$H$7:$H$5000,GASTOS!$F$7:$F$5000,$A91,GASTOS!$L$7:$L$5000,"Materiales y equipos"))</f>
        <v/>
      </c>
      <c r="G91" s="88" t="str">
        <f aca="false">IF(D91="","",N(E91)+F91)</f>
        <v/>
      </c>
      <c r="H91" s="88" t="str">
        <f aca="false">IF(OR(D91="",S91="Servicio"),"",MAX(0,D91-G91))</f>
        <v/>
      </c>
      <c r="I91" s="36" t="str">
        <f aca="false">IF(OR(D91="",S91="Servicio",N(D91)=0),"",MIN(1,G91/D91))</f>
        <v/>
      </c>
      <c r="J91" s="10" t="str">
        <f aca="false">IF(D91="","",PRESUPUESTO!O87)</f>
        <v/>
      </c>
      <c r="K91" s="10" t="str">
        <f aca="false">IF(D91="","",SUMIFS(GASTOS!$J$7:$J$5000,GASTOS!$F$7:$F$5000,$A91,GASTOS!$L$7:$L$5000,"Materiales y equipos"))</f>
        <v/>
      </c>
      <c r="L91" s="105" t="str">
        <f aca="false">IF(D91="","",COUNTIFS(GASTOS!$F$7:$F$5000,$A91,GASTOS!$L$7:$L$5000,"Materiales y equipos"))</f>
        <v/>
      </c>
      <c r="M91" s="10" t="str">
        <f aca="false">IF(OR(D91="",N(F91)=0),"",K91/F91)</f>
        <v/>
      </c>
      <c r="N91" s="10" t="str">
        <f aca="false">IF(OR(D91="",N(L91)=0),"",IFERROR(LOOKUP(2,1/((GASTOS!$F$7:$F$5000=$A91)*(GASTOS!$L$7:$L$5000="Materiales y equipos")*(GASTOS!$I$7:$I$5000&lt;&gt;"")),GASTOS!$I$7:$I$5000),""))</f>
        <v/>
      </c>
      <c r="O91" s="23" t="str">
        <f aca="false">IF(OR(D91="",N(L91)=0),"",IFERROR(LOOKUP(2,1/((GASTOS!$F$7:$F$5000=$A91)*(GASTOS!$L$7:$L$5000="Materiales y equipos")*(GASTOS!$I$7:$I$5000&lt;&gt;"")),GASTOS!$D$7:$D$5000),""))</f>
        <v/>
      </c>
      <c r="P91" s="10" t="str">
        <f aca="false">IF(D91="","",N(PRESUPUESTO!I87))</f>
        <v/>
      </c>
      <c r="Q91" s="36" t="str">
        <f aca="false">IF(OR(D91="",N91="",N(P91)=0),"",N91/P91-1)</f>
        <v/>
      </c>
      <c r="R91" s="10" t="str">
        <f aca="false">IF(OR(D91="",S91="Servicio"),"",H91*IF(N91&lt;&gt;"",N91,P91))</f>
        <v/>
      </c>
      <c r="S91" s="39" t="str">
        <f aca="false">IF(D91="","",IF(N(PRESUPUESTO!H87)=0,"Servicio",IF(G91=0,"Sin comprar",IF(G91&gt;=D91,"Comprado","Parcial"))))</f>
        <v/>
      </c>
      <c r="T91" s="86" t="str">
        <f aca="false">IF(AND(ISNUMBER(Q91),N(Q91)&gt;0.1),"Precio +"&amp;TEXT(Q91,"0%"),"")</f>
        <v/>
      </c>
      <c r="U91" s="0" t="str">
        <f aca="false">IF(OR(D91="",S91="Servicio"),"",MIN(G91,D91)*P91)</f>
        <v/>
      </c>
      <c r="V91" s="0" t="str">
        <f aca="false">IF(OR(D91="",S91="Servicio"),"",D91*P91)</f>
        <v/>
      </c>
    </row>
    <row r="92" customFormat="false" ht="16.5" hidden="false" customHeight="true" outlineLevel="0" collapsed="false">
      <c r="A92" s="23" t="str">
        <f aca="false">IF(PRESUPUESTO!$A88="Ítem",PRESUPUESTO!B88,"")</f>
        <v/>
      </c>
      <c r="B92" s="23" t="str">
        <f aca="false">IF(PRESUPUESTO!C88="","",PRESUPUESTO!C88)</f>
        <v/>
      </c>
      <c r="C92" s="86" t="str">
        <f aca="false">IF(PRESUPUESTO!$A88="Ítem",PRESUPUESTO!D88,"")</f>
        <v/>
      </c>
      <c r="D92" s="87" t="str">
        <f aca="false">IF(PRESUPUESTO!$A88&lt;&gt;"Ítem","",MAX(N(PRESUPUESTO!E88),N('CORTES CLIENTE'!L101)))</f>
        <v/>
      </c>
      <c r="E92" s="80"/>
      <c r="F92" s="87" t="str">
        <f aca="false">IF(D92="","",SUMIFS(GASTOS!$H$7:$H$5000,GASTOS!$F$7:$F$5000,$A92,GASTOS!$L$7:$L$5000,"Materiales y equipos"))</f>
        <v/>
      </c>
      <c r="G92" s="88" t="str">
        <f aca="false">IF(D92="","",N(E92)+F92)</f>
        <v/>
      </c>
      <c r="H92" s="88" t="str">
        <f aca="false">IF(OR(D92="",S92="Servicio"),"",MAX(0,D92-G92))</f>
        <v/>
      </c>
      <c r="I92" s="36" t="str">
        <f aca="false">IF(OR(D92="",S92="Servicio",N(D92)=0),"",MIN(1,G92/D92))</f>
        <v/>
      </c>
      <c r="J92" s="10" t="str">
        <f aca="false">IF(D92="","",PRESUPUESTO!O88)</f>
        <v/>
      </c>
      <c r="K92" s="10" t="str">
        <f aca="false">IF(D92="","",SUMIFS(GASTOS!$J$7:$J$5000,GASTOS!$F$7:$F$5000,$A92,GASTOS!$L$7:$L$5000,"Materiales y equipos"))</f>
        <v/>
      </c>
      <c r="L92" s="105" t="str">
        <f aca="false">IF(D92="","",COUNTIFS(GASTOS!$F$7:$F$5000,$A92,GASTOS!$L$7:$L$5000,"Materiales y equipos"))</f>
        <v/>
      </c>
      <c r="M92" s="10" t="str">
        <f aca="false">IF(OR(D92="",N(F92)=0),"",K92/F92)</f>
        <v/>
      </c>
      <c r="N92" s="10" t="str">
        <f aca="false">IF(OR(D92="",N(L92)=0),"",IFERROR(LOOKUP(2,1/((GASTOS!$F$7:$F$5000=$A92)*(GASTOS!$L$7:$L$5000="Materiales y equipos")*(GASTOS!$I$7:$I$5000&lt;&gt;"")),GASTOS!$I$7:$I$5000),""))</f>
        <v/>
      </c>
      <c r="O92" s="23" t="str">
        <f aca="false">IF(OR(D92="",N(L92)=0),"",IFERROR(LOOKUP(2,1/((GASTOS!$F$7:$F$5000=$A92)*(GASTOS!$L$7:$L$5000="Materiales y equipos")*(GASTOS!$I$7:$I$5000&lt;&gt;"")),GASTOS!$D$7:$D$5000),""))</f>
        <v/>
      </c>
      <c r="P92" s="10" t="str">
        <f aca="false">IF(D92="","",N(PRESUPUESTO!I88))</f>
        <v/>
      </c>
      <c r="Q92" s="36" t="str">
        <f aca="false">IF(OR(D92="",N92="",N(P92)=0),"",N92/P92-1)</f>
        <v/>
      </c>
      <c r="R92" s="10" t="str">
        <f aca="false">IF(OR(D92="",S92="Servicio"),"",H92*IF(N92&lt;&gt;"",N92,P92))</f>
        <v/>
      </c>
      <c r="S92" s="39" t="str">
        <f aca="false">IF(D92="","",IF(N(PRESUPUESTO!H88)=0,"Servicio",IF(G92=0,"Sin comprar",IF(G92&gt;=D92,"Comprado","Parcial"))))</f>
        <v/>
      </c>
      <c r="T92" s="86" t="str">
        <f aca="false">IF(AND(ISNUMBER(Q92),N(Q92)&gt;0.1),"Precio +"&amp;TEXT(Q92,"0%"),"")</f>
        <v/>
      </c>
      <c r="U92" s="0" t="str">
        <f aca="false">IF(OR(D92="",S92="Servicio"),"",MIN(G92,D92)*P92)</f>
        <v/>
      </c>
      <c r="V92" s="0" t="str">
        <f aca="false">IF(OR(D92="",S92="Servicio"),"",D92*P92)</f>
        <v/>
      </c>
    </row>
    <row r="93" customFormat="false" ht="16.5" hidden="false" customHeight="true" outlineLevel="0" collapsed="false">
      <c r="A93" s="23" t="str">
        <f aca="false">IF(PRESUPUESTO!$A89="Ítem",PRESUPUESTO!B89,"")</f>
        <v/>
      </c>
      <c r="B93" s="23" t="str">
        <f aca="false">IF(PRESUPUESTO!C89="","",PRESUPUESTO!C89)</f>
        <v/>
      </c>
      <c r="C93" s="86" t="str">
        <f aca="false">IF(PRESUPUESTO!$A89="Ítem",PRESUPUESTO!D89,"")</f>
        <v/>
      </c>
      <c r="D93" s="87" t="str">
        <f aca="false">IF(PRESUPUESTO!$A89&lt;&gt;"Ítem","",MAX(N(PRESUPUESTO!E89),N('CORTES CLIENTE'!L102)))</f>
        <v/>
      </c>
      <c r="E93" s="80"/>
      <c r="F93" s="87" t="str">
        <f aca="false">IF(D93="","",SUMIFS(GASTOS!$H$7:$H$5000,GASTOS!$F$7:$F$5000,$A93,GASTOS!$L$7:$L$5000,"Materiales y equipos"))</f>
        <v/>
      </c>
      <c r="G93" s="88" t="str">
        <f aca="false">IF(D93="","",N(E93)+F93)</f>
        <v/>
      </c>
      <c r="H93" s="88" t="str">
        <f aca="false">IF(OR(D93="",S93="Servicio"),"",MAX(0,D93-G93))</f>
        <v/>
      </c>
      <c r="I93" s="36" t="str">
        <f aca="false">IF(OR(D93="",S93="Servicio",N(D93)=0),"",MIN(1,G93/D93))</f>
        <v/>
      </c>
      <c r="J93" s="10" t="str">
        <f aca="false">IF(D93="","",PRESUPUESTO!O89)</f>
        <v/>
      </c>
      <c r="K93" s="10" t="str">
        <f aca="false">IF(D93="","",SUMIFS(GASTOS!$J$7:$J$5000,GASTOS!$F$7:$F$5000,$A93,GASTOS!$L$7:$L$5000,"Materiales y equipos"))</f>
        <v/>
      </c>
      <c r="L93" s="105" t="str">
        <f aca="false">IF(D93="","",COUNTIFS(GASTOS!$F$7:$F$5000,$A93,GASTOS!$L$7:$L$5000,"Materiales y equipos"))</f>
        <v/>
      </c>
      <c r="M93" s="10" t="str">
        <f aca="false">IF(OR(D93="",N(F93)=0),"",K93/F93)</f>
        <v/>
      </c>
      <c r="N93" s="10" t="str">
        <f aca="false">IF(OR(D93="",N(L93)=0),"",IFERROR(LOOKUP(2,1/((GASTOS!$F$7:$F$5000=$A93)*(GASTOS!$L$7:$L$5000="Materiales y equipos")*(GASTOS!$I$7:$I$5000&lt;&gt;"")),GASTOS!$I$7:$I$5000),""))</f>
        <v/>
      </c>
      <c r="O93" s="23" t="str">
        <f aca="false">IF(OR(D93="",N(L93)=0),"",IFERROR(LOOKUP(2,1/((GASTOS!$F$7:$F$5000=$A93)*(GASTOS!$L$7:$L$5000="Materiales y equipos")*(GASTOS!$I$7:$I$5000&lt;&gt;"")),GASTOS!$D$7:$D$5000),""))</f>
        <v/>
      </c>
      <c r="P93" s="10" t="str">
        <f aca="false">IF(D93="","",N(PRESUPUESTO!I89))</f>
        <v/>
      </c>
      <c r="Q93" s="36" t="str">
        <f aca="false">IF(OR(D93="",N93="",N(P93)=0),"",N93/P93-1)</f>
        <v/>
      </c>
      <c r="R93" s="10" t="str">
        <f aca="false">IF(OR(D93="",S93="Servicio"),"",H93*IF(N93&lt;&gt;"",N93,P93))</f>
        <v/>
      </c>
      <c r="S93" s="39" t="str">
        <f aca="false">IF(D93="","",IF(N(PRESUPUESTO!H89)=0,"Servicio",IF(G93=0,"Sin comprar",IF(G93&gt;=D93,"Comprado","Parcial"))))</f>
        <v/>
      </c>
      <c r="T93" s="86" t="str">
        <f aca="false">IF(AND(ISNUMBER(Q93),N(Q93)&gt;0.1),"Precio +"&amp;TEXT(Q93,"0%"),"")</f>
        <v/>
      </c>
      <c r="U93" s="0" t="str">
        <f aca="false">IF(OR(D93="",S93="Servicio"),"",MIN(G93,D93)*P93)</f>
        <v/>
      </c>
      <c r="V93" s="0" t="str">
        <f aca="false">IF(OR(D93="",S93="Servicio"),"",D93*P93)</f>
        <v/>
      </c>
    </row>
    <row r="94" customFormat="false" ht="16.5" hidden="false" customHeight="true" outlineLevel="0" collapsed="false">
      <c r="A94" s="23" t="str">
        <f aca="false">IF(PRESUPUESTO!$A90="Ítem",PRESUPUESTO!B90,"")</f>
        <v/>
      </c>
      <c r="B94" s="23" t="str">
        <f aca="false">IF(PRESUPUESTO!C90="","",PRESUPUESTO!C90)</f>
        <v/>
      </c>
      <c r="C94" s="86" t="str">
        <f aca="false">IF(PRESUPUESTO!$A90="Ítem",PRESUPUESTO!D90,"")</f>
        <v/>
      </c>
      <c r="D94" s="87" t="str">
        <f aca="false">IF(PRESUPUESTO!$A90&lt;&gt;"Ítem","",MAX(N(PRESUPUESTO!E90),N('CORTES CLIENTE'!L103)))</f>
        <v/>
      </c>
      <c r="E94" s="80"/>
      <c r="F94" s="87" t="str">
        <f aca="false">IF(D94="","",SUMIFS(GASTOS!$H$7:$H$5000,GASTOS!$F$7:$F$5000,$A94,GASTOS!$L$7:$L$5000,"Materiales y equipos"))</f>
        <v/>
      </c>
      <c r="G94" s="88" t="str">
        <f aca="false">IF(D94="","",N(E94)+F94)</f>
        <v/>
      </c>
      <c r="H94" s="88" t="str">
        <f aca="false">IF(OR(D94="",S94="Servicio"),"",MAX(0,D94-G94))</f>
        <v/>
      </c>
      <c r="I94" s="36" t="str">
        <f aca="false">IF(OR(D94="",S94="Servicio",N(D94)=0),"",MIN(1,G94/D94))</f>
        <v/>
      </c>
      <c r="J94" s="10" t="str">
        <f aca="false">IF(D94="","",PRESUPUESTO!O90)</f>
        <v/>
      </c>
      <c r="K94" s="10" t="str">
        <f aca="false">IF(D94="","",SUMIFS(GASTOS!$J$7:$J$5000,GASTOS!$F$7:$F$5000,$A94,GASTOS!$L$7:$L$5000,"Materiales y equipos"))</f>
        <v/>
      </c>
      <c r="L94" s="105" t="str">
        <f aca="false">IF(D94="","",COUNTIFS(GASTOS!$F$7:$F$5000,$A94,GASTOS!$L$7:$L$5000,"Materiales y equipos"))</f>
        <v/>
      </c>
      <c r="M94" s="10" t="str">
        <f aca="false">IF(OR(D94="",N(F94)=0),"",K94/F94)</f>
        <v/>
      </c>
      <c r="N94" s="10" t="str">
        <f aca="false">IF(OR(D94="",N(L94)=0),"",IFERROR(LOOKUP(2,1/((GASTOS!$F$7:$F$5000=$A94)*(GASTOS!$L$7:$L$5000="Materiales y equipos")*(GASTOS!$I$7:$I$5000&lt;&gt;"")),GASTOS!$I$7:$I$5000),""))</f>
        <v/>
      </c>
      <c r="O94" s="23" t="str">
        <f aca="false">IF(OR(D94="",N(L94)=0),"",IFERROR(LOOKUP(2,1/((GASTOS!$F$7:$F$5000=$A94)*(GASTOS!$L$7:$L$5000="Materiales y equipos")*(GASTOS!$I$7:$I$5000&lt;&gt;"")),GASTOS!$D$7:$D$5000),""))</f>
        <v/>
      </c>
      <c r="P94" s="10" t="str">
        <f aca="false">IF(D94="","",N(PRESUPUESTO!I90))</f>
        <v/>
      </c>
      <c r="Q94" s="36" t="str">
        <f aca="false">IF(OR(D94="",N94="",N(P94)=0),"",N94/P94-1)</f>
        <v/>
      </c>
      <c r="R94" s="10" t="str">
        <f aca="false">IF(OR(D94="",S94="Servicio"),"",H94*IF(N94&lt;&gt;"",N94,P94))</f>
        <v/>
      </c>
      <c r="S94" s="39" t="str">
        <f aca="false">IF(D94="","",IF(N(PRESUPUESTO!H90)=0,"Servicio",IF(G94=0,"Sin comprar",IF(G94&gt;=D94,"Comprado","Parcial"))))</f>
        <v/>
      </c>
      <c r="T94" s="86" t="str">
        <f aca="false">IF(AND(ISNUMBER(Q94),N(Q94)&gt;0.1),"Precio +"&amp;TEXT(Q94,"0%"),"")</f>
        <v/>
      </c>
      <c r="U94" s="0" t="str">
        <f aca="false">IF(OR(D94="",S94="Servicio"),"",MIN(G94,D94)*P94)</f>
        <v/>
      </c>
      <c r="V94" s="0" t="str">
        <f aca="false">IF(OR(D94="",S94="Servicio"),"",D94*P94)</f>
        <v/>
      </c>
    </row>
    <row r="95" customFormat="false" ht="16.5" hidden="false" customHeight="true" outlineLevel="0" collapsed="false">
      <c r="A95" s="23" t="str">
        <f aca="false">IF(PRESUPUESTO!$A91="Ítem",PRESUPUESTO!B91,"")</f>
        <v/>
      </c>
      <c r="B95" s="23" t="str">
        <f aca="false">IF(PRESUPUESTO!C91="","",PRESUPUESTO!C91)</f>
        <v/>
      </c>
      <c r="C95" s="86" t="str">
        <f aca="false">IF(PRESUPUESTO!$A91="Ítem",PRESUPUESTO!D91,"")</f>
        <v/>
      </c>
      <c r="D95" s="87" t="str">
        <f aca="false">IF(PRESUPUESTO!$A91&lt;&gt;"Ítem","",MAX(N(PRESUPUESTO!E91),N('CORTES CLIENTE'!L104)))</f>
        <v/>
      </c>
      <c r="E95" s="80"/>
      <c r="F95" s="87" t="str">
        <f aca="false">IF(D95="","",SUMIFS(GASTOS!$H$7:$H$5000,GASTOS!$F$7:$F$5000,$A95,GASTOS!$L$7:$L$5000,"Materiales y equipos"))</f>
        <v/>
      </c>
      <c r="G95" s="88" t="str">
        <f aca="false">IF(D95="","",N(E95)+F95)</f>
        <v/>
      </c>
      <c r="H95" s="88" t="str">
        <f aca="false">IF(OR(D95="",S95="Servicio"),"",MAX(0,D95-G95))</f>
        <v/>
      </c>
      <c r="I95" s="36" t="str">
        <f aca="false">IF(OR(D95="",S95="Servicio",N(D95)=0),"",MIN(1,G95/D95))</f>
        <v/>
      </c>
      <c r="J95" s="10" t="str">
        <f aca="false">IF(D95="","",PRESUPUESTO!O91)</f>
        <v/>
      </c>
      <c r="K95" s="10" t="str">
        <f aca="false">IF(D95="","",SUMIFS(GASTOS!$J$7:$J$5000,GASTOS!$F$7:$F$5000,$A95,GASTOS!$L$7:$L$5000,"Materiales y equipos"))</f>
        <v/>
      </c>
      <c r="L95" s="105" t="str">
        <f aca="false">IF(D95="","",COUNTIFS(GASTOS!$F$7:$F$5000,$A95,GASTOS!$L$7:$L$5000,"Materiales y equipos"))</f>
        <v/>
      </c>
      <c r="M95" s="10" t="str">
        <f aca="false">IF(OR(D95="",N(F95)=0),"",K95/F95)</f>
        <v/>
      </c>
      <c r="N95" s="10" t="str">
        <f aca="false">IF(OR(D95="",N(L95)=0),"",IFERROR(LOOKUP(2,1/((GASTOS!$F$7:$F$5000=$A95)*(GASTOS!$L$7:$L$5000="Materiales y equipos")*(GASTOS!$I$7:$I$5000&lt;&gt;"")),GASTOS!$I$7:$I$5000),""))</f>
        <v/>
      </c>
      <c r="O95" s="23" t="str">
        <f aca="false">IF(OR(D95="",N(L95)=0),"",IFERROR(LOOKUP(2,1/((GASTOS!$F$7:$F$5000=$A95)*(GASTOS!$L$7:$L$5000="Materiales y equipos")*(GASTOS!$I$7:$I$5000&lt;&gt;"")),GASTOS!$D$7:$D$5000),""))</f>
        <v/>
      </c>
      <c r="P95" s="10" t="str">
        <f aca="false">IF(D95="","",N(PRESUPUESTO!I91))</f>
        <v/>
      </c>
      <c r="Q95" s="36" t="str">
        <f aca="false">IF(OR(D95="",N95="",N(P95)=0),"",N95/P95-1)</f>
        <v/>
      </c>
      <c r="R95" s="10" t="str">
        <f aca="false">IF(OR(D95="",S95="Servicio"),"",H95*IF(N95&lt;&gt;"",N95,P95))</f>
        <v/>
      </c>
      <c r="S95" s="39" t="str">
        <f aca="false">IF(D95="","",IF(N(PRESUPUESTO!H91)=0,"Servicio",IF(G95=0,"Sin comprar",IF(G95&gt;=D95,"Comprado","Parcial"))))</f>
        <v/>
      </c>
      <c r="T95" s="86" t="str">
        <f aca="false">IF(AND(ISNUMBER(Q95),N(Q95)&gt;0.1),"Precio +"&amp;TEXT(Q95,"0%"),"")</f>
        <v/>
      </c>
      <c r="U95" s="0" t="str">
        <f aca="false">IF(OR(D95="",S95="Servicio"),"",MIN(G95,D95)*P95)</f>
        <v/>
      </c>
      <c r="V95" s="0" t="str">
        <f aca="false">IF(OR(D95="",S95="Servicio"),"",D95*P95)</f>
        <v/>
      </c>
    </row>
    <row r="96" customFormat="false" ht="16.5" hidden="false" customHeight="true" outlineLevel="0" collapsed="false">
      <c r="A96" s="23" t="str">
        <f aca="false">IF(PRESUPUESTO!$A92="Ítem",PRESUPUESTO!B92,"")</f>
        <v/>
      </c>
      <c r="B96" s="23" t="str">
        <f aca="false">IF(PRESUPUESTO!C92="","",PRESUPUESTO!C92)</f>
        <v/>
      </c>
      <c r="C96" s="86" t="str">
        <f aca="false">IF(PRESUPUESTO!$A92="Ítem",PRESUPUESTO!D92,"")</f>
        <v/>
      </c>
      <c r="D96" s="87" t="str">
        <f aca="false">IF(PRESUPUESTO!$A92&lt;&gt;"Ítem","",MAX(N(PRESUPUESTO!E92),N('CORTES CLIENTE'!L105)))</f>
        <v/>
      </c>
      <c r="E96" s="80"/>
      <c r="F96" s="87" t="str">
        <f aca="false">IF(D96="","",SUMIFS(GASTOS!$H$7:$H$5000,GASTOS!$F$7:$F$5000,$A96,GASTOS!$L$7:$L$5000,"Materiales y equipos"))</f>
        <v/>
      </c>
      <c r="G96" s="88" t="str">
        <f aca="false">IF(D96="","",N(E96)+F96)</f>
        <v/>
      </c>
      <c r="H96" s="88" t="str">
        <f aca="false">IF(OR(D96="",S96="Servicio"),"",MAX(0,D96-G96))</f>
        <v/>
      </c>
      <c r="I96" s="36" t="str">
        <f aca="false">IF(OR(D96="",S96="Servicio",N(D96)=0),"",MIN(1,G96/D96))</f>
        <v/>
      </c>
      <c r="J96" s="10" t="str">
        <f aca="false">IF(D96="","",PRESUPUESTO!O92)</f>
        <v/>
      </c>
      <c r="K96" s="10" t="str">
        <f aca="false">IF(D96="","",SUMIFS(GASTOS!$J$7:$J$5000,GASTOS!$F$7:$F$5000,$A96,GASTOS!$L$7:$L$5000,"Materiales y equipos"))</f>
        <v/>
      </c>
      <c r="L96" s="105" t="str">
        <f aca="false">IF(D96="","",COUNTIFS(GASTOS!$F$7:$F$5000,$A96,GASTOS!$L$7:$L$5000,"Materiales y equipos"))</f>
        <v/>
      </c>
      <c r="M96" s="10" t="str">
        <f aca="false">IF(OR(D96="",N(F96)=0),"",K96/F96)</f>
        <v/>
      </c>
      <c r="N96" s="10" t="str">
        <f aca="false">IF(OR(D96="",N(L96)=0),"",IFERROR(LOOKUP(2,1/((GASTOS!$F$7:$F$5000=$A96)*(GASTOS!$L$7:$L$5000="Materiales y equipos")*(GASTOS!$I$7:$I$5000&lt;&gt;"")),GASTOS!$I$7:$I$5000),""))</f>
        <v/>
      </c>
      <c r="O96" s="23" t="str">
        <f aca="false">IF(OR(D96="",N(L96)=0),"",IFERROR(LOOKUP(2,1/((GASTOS!$F$7:$F$5000=$A96)*(GASTOS!$L$7:$L$5000="Materiales y equipos")*(GASTOS!$I$7:$I$5000&lt;&gt;"")),GASTOS!$D$7:$D$5000),""))</f>
        <v/>
      </c>
      <c r="P96" s="10" t="str">
        <f aca="false">IF(D96="","",N(PRESUPUESTO!I92))</f>
        <v/>
      </c>
      <c r="Q96" s="36" t="str">
        <f aca="false">IF(OR(D96="",N96="",N(P96)=0),"",N96/P96-1)</f>
        <v/>
      </c>
      <c r="R96" s="10" t="str">
        <f aca="false">IF(OR(D96="",S96="Servicio"),"",H96*IF(N96&lt;&gt;"",N96,P96))</f>
        <v/>
      </c>
      <c r="S96" s="39" t="str">
        <f aca="false">IF(D96="","",IF(N(PRESUPUESTO!H92)=0,"Servicio",IF(G96=0,"Sin comprar",IF(G96&gt;=D96,"Comprado","Parcial"))))</f>
        <v/>
      </c>
      <c r="T96" s="86" t="str">
        <f aca="false">IF(AND(ISNUMBER(Q96),N(Q96)&gt;0.1),"Precio +"&amp;TEXT(Q96,"0%"),"")</f>
        <v/>
      </c>
      <c r="U96" s="0" t="str">
        <f aca="false">IF(OR(D96="",S96="Servicio"),"",MIN(G96,D96)*P96)</f>
        <v/>
      </c>
      <c r="V96" s="0" t="str">
        <f aca="false">IF(OR(D96="",S96="Servicio"),"",D96*P96)</f>
        <v/>
      </c>
    </row>
    <row r="97" customFormat="false" ht="16.5" hidden="false" customHeight="true" outlineLevel="0" collapsed="false">
      <c r="A97" s="23" t="str">
        <f aca="false">IF(PRESUPUESTO!$A93="Ítem",PRESUPUESTO!B93,"")</f>
        <v/>
      </c>
      <c r="B97" s="23" t="str">
        <f aca="false">IF(PRESUPUESTO!C93="","",PRESUPUESTO!C93)</f>
        <v/>
      </c>
      <c r="C97" s="86" t="str">
        <f aca="false">IF(PRESUPUESTO!$A93="Ítem",PRESUPUESTO!D93,"")</f>
        <v/>
      </c>
      <c r="D97" s="87" t="str">
        <f aca="false">IF(PRESUPUESTO!$A93&lt;&gt;"Ítem","",MAX(N(PRESUPUESTO!E93),N('CORTES CLIENTE'!L106)))</f>
        <v/>
      </c>
      <c r="E97" s="80"/>
      <c r="F97" s="87" t="str">
        <f aca="false">IF(D97="","",SUMIFS(GASTOS!$H$7:$H$5000,GASTOS!$F$7:$F$5000,$A97,GASTOS!$L$7:$L$5000,"Materiales y equipos"))</f>
        <v/>
      </c>
      <c r="G97" s="88" t="str">
        <f aca="false">IF(D97="","",N(E97)+F97)</f>
        <v/>
      </c>
      <c r="H97" s="88" t="str">
        <f aca="false">IF(OR(D97="",S97="Servicio"),"",MAX(0,D97-G97))</f>
        <v/>
      </c>
      <c r="I97" s="36" t="str">
        <f aca="false">IF(OR(D97="",S97="Servicio",N(D97)=0),"",MIN(1,G97/D97))</f>
        <v/>
      </c>
      <c r="J97" s="10" t="str">
        <f aca="false">IF(D97="","",PRESUPUESTO!O93)</f>
        <v/>
      </c>
      <c r="K97" s="10" t="str">
        <f aca="false">IF(D97="","",SUMIFS(GASTOS!$J$7:$J$5000,GASTOS!$F$7:$F$5000,$A97,GASTOS!$L$7:$L$5000,"Materiales y equipos"))</f>
        <v/>
      </c>
      <c r="L97" s="105" t="str">
        <f aca="false">IF(D97="","",COUNTIFS(GASTOS!$F$7:$F$5000,$A97,GASTOS!$L$7:$L$5000,"Materiales y equipos"))</f>
        <v/>
      </c>
      <c r="M97" s="10" t="str">
        <f aca="false">IF(OR(D97="",N(F97)=0),"",K97/F97)</f>
        <v/>
      </c>
      <c r="N97" s="10" t="str">
        <f aca="false">IF(OR(D97="",N(L97)=0),"",IFERROR(LOOKUP(2,1/((GASTOS!$F$7:$F$5000=$A97)*(GASTOS!$L$7:$L$5000="Materiales y equipos")*(GASTOS!$I$7:$I$5000&lt;&gt;"")),GASTOS!$I$7:$I$5000),""))</f>
        <v/>
      </c>
      <c r="O97" s="23" t="str">
        <f aca="false">IF(OR(D97="",N(L97)=0),"",IFERROR(LOOKUP(2,1/((GASTOS!$F$7:$F$5000=$A97)*(GASTOS!$L$7:$L$5000="Materiales y equipos")*(GASTOS!$I$7:$I$5000&lt;&gt;"")),GASTOS!$D$7:$D$5000),""))</f>
        <v/>
      </c>
      <c r="P97" s="10" t="str">
        <f aca="false">IF(D97="","",N(PRESUPUESTO!I93))</f>
        <v/>
      </c>
      <c r="Q97" s="36" t="str">
        <f aca="false">IF(OR(D97="",N97="",N(P97)=0),"",N97/P97-1)</f>
        <v/>
      </c>
      <c r="R97" s="10" t="str">
        <f aca="false">IF(OR(D97="",S97="Servicio"),"",H97*IF(N97&lt;&gt;"",N97,P97))</f>
        <v/>
      </c>
      <c r="S97" s="39" t="str">
        <f aca="false">IF(D97="","",IF(N(PRESUPUESTO!H93)=0,"Servicio",IF(G97=0,"Sin comprar",IF(G97&gt;=D97,"Comprado","Parcial"))))</f>
        <v/>
      </c>
      <c r="T97" s="86" t="str">
        <f aca="false">IF(AND(ISNUMBER(Q97),N(Q97)&gt;0.1),"Precio +"&amp;TEXT(Q97,"0%"),"")</f>
        <v/>
      </c>
      <c r="U97" s="0" t="str">
        <f aca="false">IF(OR(D97="",S97="Servicio"),"",MIN(G97,D97)*P97)</f>
        <v/>
      </c>
      <c r="V97" s="0" t="str">
        <f aca="false">IF(OR(D97="",S97="Servicio"),"",D97*P97)</f>
        <v/>
      </c>
    </row>
    <row r="98" customFormat="false" ht="16.5" hidden="false" customHeight="true" outlineLevel="0" collapsed="false">
      <c r="A98" s="23" t="str">
        <f aca="false">IF(PRESUPUESTO!$A94="Ítem",PRESUPUESTO!B94,"")</f>
        <v/>
      </c>
      <c r="B98" s="23" t="str">
        <f aca="false">IF(PRESUPUESTO!C94="","",PRESUPUESTO!C94)</f>
        <v/>
      </c>
      <c r="C98" s="86" t="str">
        <f aca="false">IF(PRESUPUESTO!$A94="Ítem",PRESUPUESTO!D94,"")</f>
        <v/>
      </c>
      <c r="D98" s="87" t="str">
        <f aca="false">IF(PRESUPUESTO!$A94&lt;&gt;"Ítem","",MAX(N(PRESUPUESTO!E94),N('CORTES CLIENTE'!L107)))</f>
        <v/>
      </c>
      <c r="E98" s="80"/>
      <c r="F98" s="87" t="str">
        <f aca="false">IF(D98="","",SUMIFS(GASTOS!$H$7:$H$5000,GASTOS!$F$7:$F$5000,$A98,GASTOS!$L$7:$L$5000,"Materiales y equipos"))</f>
        <v/>
      </c>
      <c r="G98" s="88" t="str">
        <f aca="false">IF(D98="","",N(E98)+F98)</f>
        <v/>
      </c>
      <c r="H98" s="88" t="str">
        <f aca="false">IF(OR(D98="",S98="Servicio"),"",MAX(0,D98-G98))</f>
        <v/>
      </c>
      <c r="I98" s="36" t="str">
        <f aca="false">IF(OR(D98="",S98="Servicio",N(D98)=0),"",MIN(1,G98/D98))</f>
        <v/>
      </c>
      <c r="J98" s="10" t="str">
        <f aca="false">IF(D98="","",PRESUPUESTO!O94)</f>
        <v/>
      </c>
      <c r="K98" s="10" t="str">
        <f aca="false">IF(D98="","",SUMIFS(GASTOS!$J$7:$J$5000,GASTOS!$F$7:$F$5000,$A98,GASTOS!$L$7:$L$5000,"Materiales y equipos"))</f>
        <v/>
      </c>
      <c r="L98" s="105" t="str">
        <f aca="false">IF(D98="","",COUNTIFS(GASTOS!$F$7:$F$5000,$A98,GASTOS!$L$7:$L$5000,"Materiales y equipos"))</f>
        <v/>
      </c>
      <c r="M98" s="10" t="str">
        <f aca="false">IF(OR(D98="",N(F98)=0),"",K98/F98)</f>
        <v/>
      </c>
      <c r="N98" s="10" t="str">
        <f aca="false">IF(OR(D98="",N(L98)=0),"",IFERROR(LOOKUP(2,1/((GASTOS!$F$7:$F$5000=$A98)*(GASTOS!$L$7:$L$5000="Materiales y equipos")*(GASTOS!$I$7:$I$5000&lt;&gt;"")),GASTOS!$I$7:$I$5000),""))</f>
        <v/>
      </c>
      <c r="O98" s="23" t="str">
        <f aca="false">IF(OR(D98="",N(L98)=0),"",IFERROR(LOOKUP(2,1/((GASTOS!$F$7:$F$5000=$A98)*(GASTOS!$L$7:$L$5000="Materiales y equipos")*(GASTOS!$I$7:$I$5000&lt;&gt;"")),GASTOS!$D$7:$D$5000),""))</f>
        <v/>
      </c>
      <c r="P98" s="10" t="str">
        <f aca="false">IF(D98="","",N(PRESUPUESTO!I94))</f>
        <v/>
      </c>
      <c r="Q98" s="36" t="str">
        <f aca="false">IF(OR(D98="",N98="",N(P98)=0),"",N98/P98-1)</f>
        <v/>
      </c>
      <c r="R98" s="10" t="str">
        <f aca="false">IF(OR(D98="",S98="Servicio"),"",H98*IF(N98&lt;&gt;"",N98,P98))</f>
        <v/>
      </c>
      <c r="S98" s="39" t="str">
        <f aca="false">IF(D98="","",IF(N(PRESUPUESTO!H94)=0,"Servicio",IF(G98=0,"Sin comprar",IF(G98&gt;=D98,"Comprado","Parcial"))))</f>
        <v/>
      </c>
      <c r="T98" s="86" t="str">
        <f aca="false">IF(AND(ISNUMBER(Q98),N(Q98)&gt;0.1),"Precio +"&amp;TEXT(Q98,"0%"),"")</f>
        <v/>
      </c>
      <c r="U98" s="0" t="str">
        <f aca="false">IF(OR(D98="",S98="Servicio"),"",MIN(G98,D98)*P98)</f>
        <v/>
      </c>
      <c r="V98" s="0" t="str">
        <f aca="false">IF(OR(D98="",S98="Servicio"),"",D98*P98)</f>
        <v/>
      </c>
    </row>
    <row r="99" customFormat="false" ht="16.5" hidden="false" customHeight="true" outlineLevel="0" collapsed="false">
      <c r="A99" s="23" t="str">
        <f aca="false">IF(PRESUPUESTO!$A95="Ítem",PRESUPUESTO!B95,"")</f>
        <v/>
      </c>
      <c r="B99" s="23" t="str">
        <f aca="false">IF(PRESUPUESTO!C95="","",PRESUPUESTO!C95)</f>
        <v/>
      </c>
      <c r="C99" s="86" t="str">
        <f aca="false">IF(PRESUPUESTO!$A95="Ítem",PRESUPUESTO!D95,"")</f>
        <v/>
      </c>
      <c r="D99" s="87" t="str">
        <f aca="false">IF(PRESUPUESTO!$A95&lt;&gt;"Ítem","",MAX(N(PRESUPUESTO!E95),N('CORTES CLIENTE'!L108)))</f>
        <v/>
      </c>
      <c r="E99" s="80"/>
      <c r="F99" s="87" t="str">
        <f aca="false">IF(D99="","",SUMIFS(GASTOS!$H$7:$H$5000,GASTOS!$F$7:$F$5000,$A99,GASTOS!$L$7:$L$5000,"Materiales y equipos"))</f>
        <v/>
      </c>
      <c r="G99" s="88" t="str">
        <f aca="false">IF(D99="","",N(E99)+F99)</f>
        <v/>
      </c>
      <c r="H99" s="88" t="str">
        <f aca="false">IF(OR(D99="",S99="Servicio"),"",MAX(0,D99-G99))</f>
        <v/>
      </c>
      <c r="I99" s="36" t="str">
        <f aca="false">IF(OR(D99="",S99="Servicio",N(D99)=0),"",MIN(1,G99/D99))</f>
        <v/>
      </c>
      <c r="J99" s="10" t="str">
        <f aca="false">IF(D99="","",PRESUPUESTO!O95)</f>
        <v/>
      </c>
      <c r="K99" s="10" t="str">
        <f aca="false">IF(D99="","",SUMIFS(GASTOS!$J$7:$J$5000,GASTOS!$F$7:$F$5000,$A99,GASTOS!$L$7:$L$5000,"Materiales y equipos"))</f>
        <v/>
      </c>
      <c r="L99" s="105" t="str">
        <f aca="false">IF(D99="","",COUNTIFS(GASTOS!$F$7:$F$5000,$A99,GASTOS!$L$7:$L$5000,"Materiales y equipos"))</f>
        <v/>
      </c>
      <c r="M99" s="10" t="str">
        <f aca="false">IF(OR(D99="",N(F99)=0),"",K99/F99)</f>
        <v/>
      </c>
      <c r="N99" s="10" t="str">
        <f aca="false">IF(OR(D99="",N(L99)=0),"",IFERROR(LOOKUP(2,1/((GASTOS!$F$7:$F$5000=$A99)*(GASTOS!$L$7:$L$5000="Materiales y equipos")*(GASTOS!$I$7:$I$5000&lt;&gt;"")),GASTOS!$I$7:$I$5000),""))</f>
        <v/>
      </c>
      <c r="O99" s="23" t="str">
        <f aca="false">IF(OR(D99="",N(L99)=0),"",IFERROR(LOOKUP(2,1/((GASTOS!$F$7:$F$5000=$A99)*(GASTOS!$L$7:$L$5000="Materiales y equipos")*(GASTOS!$I$7:$I$5000&lt;&gt;"")),GASTOS!$D$7:$D$5000),""))</f>
        <v/>
      </c>
      <c r="P99" s="10" t="str">
        <f aca="false">IF(D99="","",N(PRESUPUESTO!I95))</f>
        <v/>
      </c>
      <c r="Q99" s="36" t="str">
        <f aca="false">IF(OR(D99="",N99="",N(P99)=0),"",N99/P99-1)</f>
        <v/>
      </c>
      <c r="R99" s="10" t="str">
        <f aca="false">IF(OR(D99="",S99="Servicio"),"",H99*IF(N99&lt;&gt;"",N99,P99))</f>
        <v/>
      </c>
      <c r="S99" s="39" t="str">
        <f aca="false">IF(D99="","",IF(N(PRESUPUESTO!H95)=0,"Servicio",IF(G99=0,"Sin comprar",IF(G99&gt;=D99,"Comprado","Parcial"))))</f>
        <v/>
      </c>
      <c r="T99" s="86" t="str">
        <f aca="false">IF(AND(ISNUMBER(Q99),N(Q99)&gt;0.1),"Precio +"&amp;TEXT(Q99,"0%"),"")</f>
        <v/>
      </c>
      <c r="U99" s="0" t="str">
        <f aca="false">IF(OR(D99="",S99="Servicio"),"",MIN(G99,D99)*P99)</f>
        <v/>
      </c>
      <c r="V99" s="0" t="str">
        <f aca="false">IF(OR(D99="",S99="Servicio"),"",D99*P99)</f>
        <v/>
      </c>
    </row>
    <row r="100" customFormat="false" ht="16.5" hidden="false" customHeight="true" outlineLevel="0" collapsed="false">
      <c r="A100" s="23" t="str">
        <f aca="false">IF(PRESUPUESTO!$A96="Ítem",PRESUPUESTO!B96,"")</f>
        <v/>
      </c>
      <c r="B100" s="23" t="str">
        <f aca="false">IF(PRESUPUESTO!C96="","",PRESUPUESTO!C96)</f>
        <v/>
      </c>
      <c r="C100" s="86" t="str">
        <f aca="false">IF(PRESUPUESTO!$A96="Ítem",PRESUPUESTO!D96,"")</f>
        <v/>
      </c>
      <c r="D100" s="87" t="str">
        <f aca="false">IF(PRESUPUESTO!$A96&lt;&gt;"Ítem","",MAX(N(PRESUPUESTO!E96),N('CORTES CLIENTE'!L109)))</f>
        <v/>
      </c>
      <c r="E100" s="80"/>
      <c r="F100" s="87" t="str">
        <f aca="false">IF(D100="","",SUMIFS(GASTOS!$H$7:$H$5000,GASTOS!$F$7:$F$5000,$A100,GASTOS!$L$7:$L$5000,"Materiales y equipos"))</f>
        <v/>
      </c>
      <c r="G100" s="88" t="str">
        <f aca="false">IF(D100="","",N(E100)+F100)</f>
        <v/>
      </c>
      <c r="H100" s="88" t="str">
        <f aca="false">IF(OR(D100="",S100="Servicio"),"",MAX(0,D100-G100))</f>
        <v/>
      </c>
      <c r="I100" s="36" t="str">
        <f aca="false">IF(OR(D100="",S100="Servicio",N(D100)=0),"",MIN(1,G100/D100))</f>
        <v/>
      </c>
      <c r="J100" s="10" t="str">
        <f aca="false">IF(D100="","",PRESUPUESTO!O96)</f>
        <v/>
      </c>
      <c r="K100" s="10" t="str">
        <f aca="false">IF(D100="","",SUMIFS(GASTOS!$J$7:$J$5000,GASTOS!$F$7:$F$5000,$A100,GASTOS!$L$7:$L$5000,"Materiales y equipos"))</f>
        <v/>
      </c>
      <c r="L100" s="105" t="str">
        <f aca="false">IF(D100="","",COUNTIFS(GASTOS!$F$7:$F$5000,$A100,GASTOS!$L$7:$L$5000,"Materiales y equipos"))</f>
        <v/>
      </c>
      <c r="M100" s="10" t="str">
        <f aca="false">IF(OR(D100="",N(F100)=0),"",K100/F100)</f>
        <v/>
      </c>
      <c r="N100" s="10" t="str">
        <f aca="false">IF(OR(D100="",N(L100)=0),"",IFERROR(LOOKUP(2,1/((GASTOS!$F$7:$F$5000=$A100)*(GASTOS!$L$7:$L$5000="Materiales y equipos")*(GASTOS!$I$7:$I$5000&lt;&gt;"")),GASTOS!$I$7:$I$5000),""))</f>
        <v/>
      </c>
      <c r="O100" s="23" t="str">
        <f aca="false">IF(OR(D100="",N(L100)=0),"",IFERROR(LOOKUP(2,1/((GASTOS!$F$7:$F$5000=$A100)*(GASTOS!$L$7:$L$5000="Materiales y equipos")*(GASTOS!$I$7:$I$5000&lt;&gt;"")),GASTOS!$D$7:$D$5000),""))</f>
        <v/>
      </c>
      <c r="P100" s="10" t="str">
        <f aca="false">IF(D100="","",N(PRESUPUESTO!I96))</f>
        <v/>
      </c>
      <c r="Q100" s="36" t="str">
        <f aca="false">IF(OR(D100="",N100="",N(P100)=0),"",N100/P100-1)</f>
        <v/>
      </c>
      <c r="R100" s="10" t="str">
        <f aca="false">IF(OR(D100="",S100="Servicio"),"",H100*IF(N100&lt;&gt;"",N100,P100))</f>
        <v/>
      </c>
      <c r="S100" s="39" t="str">
        <f aca="false">IF(D100="","",IF(N(PRESUPUESTO!H96)=0,"Servicio",IF(G100=0,"Sin comprar",IF(G100&gt;=D100,"Comprado","Parcial"))))</f>
        <v/>
      </c>
      <c r="T100" s="86" t="str">
        <f aca="false">IF(AND(ISNUMBER(Q100),N(Q100)&gt;0.1),"Precio +"&amp;TEXT(Q100,"0%"),"")</f>
        <v/>
      </c>
      <c r="U100" s="0" t="str">
        <f aca="false">IF(OR(D100="",S100="Servicio"),"",MIN(G100,D100)*P100)</f>
        <v/>
      </c>
      <c r="V100" s="0" t="str">
        <f aca="false">IF(OR(D100="",S100="Servicio"),"",D100*P100)</f>
        <v/>
      </c>
    </row>
    <row r="101" customFormat="false" ht="16.5" hidden="false" customHeight="true" outlineLevel="0" collapsed="false">
      <c r="A101" s="23" t="str">
        <f aca="false">IF(PRESUPUESTO!$A97="Ítem",PRESUPUESTO!B97,"")</f>
        <v/>
      </c>
      <c r="B101" s="23" t="str">
        <f aca="false">IF(PRESUPUESTO!C97="","",PRESUPUESTO!C97)</f>
        <v/>
      </c>
      <c r="C101" s="86" t="str">
        <f aca="false">IF(PRESUPUESTO!$A97="Ítem",PRESUPUESTO!D97,"")</f>
        <v/>
      </c>
      <c r="D101" s="87" t="str">
        <f aca="false">IF(PRESUPUESTO!$A97&lt;&gt;"Ítem","",MAX(N(PRESUPUESTO!E97),N('CORTES CLIENTE'!L110)))</f>
        <v/>
      </c>
      <c r="E101" s="80"/>
      <c r="F101" s="87" t="str">
        <f aca="false">IF(D101="","",SUMIFS(GASTOS!$H$7:$H$5000,GASTOS!$F$7:$F$5000,$A101,GASTOS!$L$7:$L$5000,"Materiales y equipos"))</f>
        <v/>
      </c>
      <c r="G101" s="88" t="str">
        <f aca="false">IF(D101="","",N(E101)+F101)</f>
        <v/>
      </c>
      <c r="H101" s="88" t="str">
        <f aca="false">IF(OR(D101="",S101="Servicio"),"",MAX(0,D101-G101))</f>
        <v/>
      </c>
      <c r="I101" s="36" t="str">
        <f aca="false">IF(OR(D101="",S101="Servicio",N(D101)=0),"",MIN(1,G101/D101))</f>
        <v/>
      </c>
      <c r="J101" s="10" t="str">
        <f aca="false">IF(D101="","",PRESUPUESTO!O97)</f>
        <v/>
      </c>
      <c r="K101" s="10" t="str">
        <f aca="false">IF(D101="","",SUMIFS(GASTOS!$J$7:$J$5000,GASTOS!$F$7:$F$5000,$A101,GASTOS!$L$7:$L$5000,"Materiales y equipos"))</f>
        <v/>
      </c>
      <c r="L101" s="105" t="str">
        <f aca="false">IF(D101="","",COUNTIFS(GASTOS!$F$7:$F$5000,$A101,GASTOS!$L$7:$L$5000,"Materiales y equipos"))</f>
        <v/>
      </c>
      <c r="M101" s="10" t="str">
        <f aca="false">IF(OR(D101="",N(F101)=0),"",K101/F101)</f>
        <v/>
      </c>
      <c r="N101" s="10" t="str">
        <f aca="false">IF(OR(D101="",N(L101)=0),"",IFERROR(LOOKUP(2,1/((GASTOS!$F$7:$F$5000=$A101)*(GASTOS!$L$7:$L$5000="Materiales y equipos")*(GASTOS!$I$7:$I$5000&lt;&gt;"")),GASTOS!$I$7:$I$5000),""))</f>
        <v/>
      </c>
      <c r="O101" s="23" t="str">
        <f aca="false">IF(OR(D101="",N(L101)=0),"",IFERROR(LOOKUP(2,1/((GASTOS!$F$7:$F$5000=$A101)*(GASTOS!$L$7:$L$5000="Materiales y equipos")*(GASTOS!$I$7:$I$5000&lt;&gt;"")),GASTOS!$D$7:$D$5000),""))</f>
        <v/>
      </c>
      <c r="P101" s="10" t="str">
        <f aca="false">IF(D101="","",N(PRESUPUESTO!I97))</f>
        <v/>
      </c>
      <c r="Q101" s="36" t="str">
        <f aca="false">IF(OR(D101="",N101="",N(P101)=0),"",N101/P101-1)</f>
        <v/>
      </c>
      <c r="R101" s="10" t="str">
        <f aca="false">IF(OR(D101="",S101="Servicio"),"",H101*IF(N101&lt;&gt;"",N101,P101))</f>
        <v/>
      </c>
      <c r="S101" s="39" t="str">
        <f aca="false">IF(D101="","",IF(N(PRESUPUESTO!H97)=0,"Servicio",IF(G101=0,"Sin comprar",IF(G101&gt;=D101,"Comprado","Parcial"))))</f>
        <v/>
      </c>
      <c r="T101" s="86" t="str">
        <f aca="false">IF(AND(ISNUMBER(Q101),N(Q101)&gt;0.1),"Precio +"&amp;TEXT(Q101,"0%"),"")</f>
        <v/>
      </c>
      <c r="U101" s="0" t="str">
        <f aca="false">IF(OR(D101="",S101="Servicio"),"",MIN(G101,D101)*P101)</f>
        <v/>
      </c>
      <c r="V101" s="0" t="str">
        <f aca="false">IF(OR(D101="",S101="Servicio"),"",D101*P101)</f>
        <v/>
      </c>
    </row>
    <row r="102" customFormat="false" ht="16.5" hidden="false" customHeight="true" outlineLevel="0" collapsed="false">
      <c r="A102" s="23" t="str">
        <f aca="false">IF(PRESUPUESTO!$A98="Ítem",PRESUPUESTO!B98,"")</f>
        <v/>
      </c>
      <c r="B102" s="23" t="str">
        <f aca="false">IF(PRESUPUESTO!C98="","",PRESUPUESTO!C98)</f>
        <v/>
      </c>
      <c r="C102" s="86" t="str">
        <f aca="false">IF(PRESUPUESTO!$A98="Ítem",PRESUPUESTO!D98,"")</f>
        <v/>
      </c>
      <c r="D102" s="87" t="str">
        <f aca="false">IF(PRESUPUESTO!$A98&lt;&gt;"Ítem","",MAX(N(PRESUPUESTO!E98),N('CORTES CLIENTE'!L111)))</f>
        <v/>
      </c>
      <c r="E102" s="80"/>
      <c r="F102" s="87" t="str">
        <f aca="false">IF(D102="","",SUMIFS(GASTOS!$H$7:$H$5000,GASTOS!$F$7:$F$5000,$A102,GASTOS!$L$7:$L$5000,"Materiales y equipos"))</f>
        <v/>
      </c>
      <c r="G102" s="88" t="str">
        <f aca="false">IF(D102="","",N(E102)+F102)</f>
        <v/>
      </c>
      <c r="H102" s="88" t="str">
        <f aca="false">IF(OR(D102="",S102="Servicio"),"",MAX(0,D102-G102))</f>
        <v/>
      </c>
      <c r="I102" s="36" t="str">
        <f aca="false">IF(OR(D102="",S102="Servicio",N(D102)=0),"",MIN(1,G102/D102))</f>
        <v/>
      </c>
      <c r="J102" s="10" t="str">
        <f aca="false">IF(D102="","",PRESUPUESTO!O98)</f>
        <v/>
      </c>
      <c r="K102" s="10" t="str">
        <f aca="false">IF(D102="","",SUMIFS(GASTOS!$J$7:$J$5000,GASTOS!$F$7:$F$5000,$A102,GASTOS!$L$7:$L$5000,"Materiales y equipos"))</f>
        <v/>
      </c>
      <c r="L102" s="105" t="str">
        <f aca="false">IF(D102="","",COUNTIFS(GASTOS!$F$7:$F$5000,$A102,GASTOS!$L$7:$L$5000,"Materiales y equipos"))</f>
        <v/>
      </c>
      <c r="M102" s="10" t="str">
        <f aca="false">IF(OR(D102="",N(F102)=0),"",K102/F102)</f>
        <v/>
      </c>
      <c r="N102" s="10" t="str">
        <f aca="false">IF(OR(D102="",N(L102)=0),"",IFERROR(LOOKUP(2,1/((GASTOS!$F$7:$F$5000=$A102)*(GASTOS!$L$7:$L$5000="Materiales y equipos")*(GASTOS!$I$7:$I$5000&lt;&gt;"")),GASTOS!$I$7:$I$5000),""))</f>
        <v/>
      </c>
      <c r="O102" s="23" t="str">
        <f aca="false">IF(OR(D102="",N(L102)=0),"",IFERROR(LOOKUP(2,1/((GASTOS!$F$7:$F$5000=$A102)*(GASTOS!$L$7:$L$5000="Materiales y equipos")*(GASTOS!$I$7:$I$5000&lt;&gt;"")),GASTOS!$D$7:$D$5000),""))</f>
        <v/>
      </c>
      <c r="P102" s="10" t="str">
        <f aca="false">IF(D102="","",N(PRESUPUESTO!I98))</f>
        <v/>
      </c>
      <c r="Q102" s="36" t="str">
        <f aca="false">IF(OR(D102="",N102="",N(P102)=0),"",N102/P102-1)</f>
        <v/>
      </c>
      <c r="R102" s="10" t="str">
        <f aca="false">IF(OR(D102="",S102="Servicio"),"",H102*IF(N102&lt;&gt;"",N102,P102))</f>
        <v/>
      </c>
      <c r="S102" s="39" t="str">
        <f aca="false">IF(D102="","",IF(N(PRESUPUESTO!H98)=0,"Servicio",IF(G102=0,"Sin comprar",IF(G102&gt;=D102,"Comprado","Parcial"))))</f>
        <v/>
      </c>
      <c r="T102" s="86" t="str">
        <f aca="false">IF(AND(ISNUMBER(Q102),N(Q102)&gt;0.1),"Precio +"&amp;TEXT(Q102,"0%"),"")</f>
        <v/>
      </c>
      <c r="U102" s="0" t="str">
        <f aca="false">IF(OR(D102="",S102="Servicio"),"",MIN(G102,D102)*P102)</f>
        <v/>
      </c>
      <c r="V102" s="0" t="str">
        <f aca="false">IF(OR(D102="",S102="Servicio"),"",D102*P102)</f>
        <v/>
      </c>
    </row>
    <row r="103" customFormat="false" ht="16.5" hidden="false" customHeight="true" outlineLevel="0" collapsed="false">
      <c r="A103" s="23" t="str">
        <f aca="false">IF(PRESUPUESTO!$A99="Ítem",PRESUPUESTO!B99,"")</f>
        <v/>
      </c>
      <c r="B103" s="23" t="str">
        <f aca="false">IF(PRESUPUESTO!C99="","",PRESUPUESTO!C99)</f>
        <v/>
      </c>
      <c r="C103" s="86" t="str">
        <f aca="false">IF(PRESUPUESTO!$A99="Ítem",PRESUPUESTO!D99,"")</f>
        <v/>
      </c>
      <c r="D103" s="87" t="str">
        <f aca="false">IF(PRESUPUESTO!$A99&lt;&gt;"Ítem","",MAX(N(PRESUPUESTO!E99),N('CORTES CLIENTE'!L112)))</f>
        <v/>
      </c>
      <c r="E103" s="80"/>
      <c r="F103" s="87" t="str">
        <f aca="false">IF(D103="","",SUMIFS(GASTOS!$H$7:$H$5000,GASTOS!$F$7:$F$5000,$A103,GASTOS!$L$7:$L$5000,"Materiales y equipos"))</f>
        <v/>
      </c>
      <c r="G103" s="88" t="str">
        <f aca="false">IF(D103="","",N(E103)+F103)</f>
        <v/>
      </c>
      <c r="H103" s="88" t="str">
        <f aca="false">IF(OR(D103="",S103="Servicio"),"",MAX(0,D103-G103))</f>
        <v/>
      </c>
      <c r="I103" s="36" t="str">
        <f aca="false">IF(OR(D103="",S103="Servicio",N(D103)=0),"",MIN(1,G103/D103))</f>
        <v/>
      </c>
      <c r="J103" s="10" t="str">
        <f aca="false">IF(D103="","",PRESUPUESTO!O99)</f>
        <v/>
      </c>
      <c r="K103" s="10" t="str">
        <f aca="false">IF(D103="","",SUMIFS(GASTOS!$J$7:$J$5000,GASTOS!$F$7:$F$5000,$A103,GASTOS!$L$7:$L$5000,"Materiales y equipos"))</f>
        <v/>
      </c>
      <c r="L103" s="105" t="str">
        <f aca="false">IF(D103="","",COUNTIFS(GASTOS!$F$7:$F$5000,$A103,GASTOS!$L$7:$L$5000,"Materiales y equipos"))</f>
        <v/>
      </c>
      <c r="M103" s="10" t="str">
        <f aca="false">IF(OR(D103="",N(F103)=0),"",K103/F103)</f>
        <v/>
      </c>
      <c r="N103" s="10" t="str">
        <f aca="false">IF(OR(D103="",N(L103)=0),"",IFERROR(LOOKUP(2,1/((GASTOS!$F$7:$F$5000=$A103)*(GASTOS!$L$7:$L$5000="Materiales y equipos")*(GASTOS!$I$7:$I$5000&lt;&gt;"")),GASTOS!$I$7:$I$5000),""))</f>
        <v/>
      </c>
      <c r="O103" s="23" t="str">
        <f aca="false">IF(OR(D103="",N(L103)=0),"",IFERROR(LOOKUP(2,1/((GASTOS!$F$7:$F$5000=$A103)*(GASTOS!$L$7:$L$5000="Materiales y equipos")*(GASTOS!$I$7:$I$5000&lt;&gt;"")),GASTOS!$D$7:$D$5000),""))</f>
        <v/>
      </c>
      <c r="P103" s="10" t="str">
        <f aca="false">IF(D103="","",N(PRESUPUESTO!I99))</f>
        <v/>
      </c>
      <c r="Q103" s="36" t="str">
        <f aca="false">IF(OR(D103="",N103="",N(P103)=0),"",N103/P103-1)</f>
        <v/>
      </c>
      <c r="R103" s="10" t="str">
        <f aca="false">IF(OR(D103="",S103="Servicio"),"",H103*IF(N103&lt;&gt;"",N103,P103))</f>
        <v/>
      </c>
      <c r="S103" s="39" t="str">
        <f aca="false">IF(D103="","",IF(N(PRESUPUESTO!H99)=0,"Servicio",IF(G103=0,"Sin comprar",IF(G103&gt;=D103,"Comprado","Parcial"))))</f>
        <v/>
      </c>
      <c r="T103" s="86" t="str">
        <f aca="false">IF(AND(ISNUMBER(Q103),N(Q103)&gt;0.1),"Precio +"&amp;TEXT(Q103,"0%"),"")</f>
        <v/>
      </c>
      <c r="U103" s="0" t="str">
        <f aca="false">IF(OR(D103="",S103="Servicio"),"",MIN(G103,D103)*P103)</f>
        <v/>
      </c>
      <c r="V103" s="0" t="str">
        <f aca="false">IF(OR(D103="",S103="Servicio"),"",D103*P103)</f>
        <v/>
      </c>
    </row>
    <row r="104" customFormat="false" ht="16.5" hidden="false" customHeight="true" outlineLevel="0" collapsed="false">
      <c r="A104" s="23" t="str">
        <f aca="false">IF(PRESUPUESTO!$A100="Ítem",PRESUPUESTO!B100,"")</f>
        <v/>
      </c>
      <c r="B104" s="23" t="str">
        <f aca="false">IF(PRESUPUESTO!C100="","",PRESUPUESTO!C100)</f>
        <v/>
      </c>
      <c r="C104" s="86" t="str">
        <f aca="false">IF(PRESUPUESTO!$A100="Ítem",PRESUPUESTO!D100,"")</f>
        <v/>
      </c>
      <c r="D104" s="87" t="str">
        <f aca="false">IF(PRESUPUESTO!$A100&lt;&gt;"Ítem","",MAX(N(PRESUPUESTO!E100),N('CORTES CLIENTE'!L113)))</f>
        <v/>
      </c>
      <c r="E104" s="80"/>
      <c r="F104" s="87" t="str">
        <f aca="false">IF(D104="","",SUMIFS(GASTOS!$H$7:$H$5000,GASTOS!$F$7:$F$5000,$A104,GASTOS!$L$7:$L$5000,"Materiales y equipos"))</f>
        <v/>
      </c>
      <c r="G104" s="88" t="str">
        <f aca="false">IF(D104="","",N(E104)+F104)</f>
        <v/>
      </c>
      <c r="H104" s="88" t="str">
        <f aca="false">IF(OR(D104="",S104="Servicio"),"",MAX(0,D104-G104))</f>
        <v/>
      </c>
      <c r="I104" s="36" t="str">
        <f aca="false">IF(OR(D104="",S104="Servicio",N(D104)=0),"",MIN(1,G104/D104))</f>
        <v/>
      </c>
      <c r="J104" s="10" t="str">
        <f aca="false">IF(D104="","",PRESUPUESTO!O100)</f>
        <v/>
      </c>
      <c r="K104" s="10" t="str">
        <f aca="false">IF(D104="","",SUMIFS(GASTOS!$J$7:$J$5000,GASTOS!$F$7:$F$5000,$A104,GASTOS!$L$7:$L$5000,"Materiales y equipos"))</f>
        <v/>
      </c>
      <c r="L104" s="105" t="str">
        <f aca="false">IF(D104="","",COUNTIFS(GASTOS!$F$7:$F$5000,$A104,GASTOS!$L$7:$L$5000,"Materiales y equipos"))</f>
        <v/>
      </c>
      <c r="M104" s="10" t="str">
        <f aca="false">IF(OR(D104="",N(F104)=0),"",K104/F104)</f>
        <v/>
      </c>
      <c r="N104" s="10" t="str">
        <f aca="false">IF(OR(D104="",N(L104)=0),"",IFERROR(LOOKUP(2,1/((GASTOS!$F$7:$F$5000=$A104)*(GASTOS!$L$7:$L$5000="Materiales y equipos")*(GASTOS!$I$7:$I$5000&lt;&gt;"")),GASTOS!$I$7:$I$5000),""))</f>
        <v/>
      </c>
      <c r="O104" s="23" t="str">
        <f aca="false">IF(OR(D104="",N(L104)=0),"",IFERROR(LOOKUP(2,1/((GASTOS!$F$7:$F$5000=$A104)*(GASTOS!$L$7:$L$5000="Materiales y equipos")*(GASTOS!$I$7:$I$5000&lt;&gt;"")),GASTOS!$D$7:$D$5000),""))</f>
        <v/>
      </c>
      <c r="P104" s="10" t="str">
        <f aca="false">IF(D104="","",N(PRESUPUESTO!I100))</f>
        <v/>
      </c>
      <c r="Q104" s="36" t="str">
        <f aca="false">IF(OR(D104="",N104="",N(P104)=0),"",N104/P104-1)</f>
        <v/>
      </c>
      <c r="R104" s="10" t="str">
        <f aca="false">IF(OR(D104="",S104="Servicio"),"",H104*IF(N104&lt;&gt;"",N104,P104))</f>
        <v/>
      </c>
      <c r="S104" s="39" t="str">
        <f aca="false">IF(D104="","",IF(N(PRESUPUESTO!H100)=0,"Servicio",IF(G104=0,"Sin comprar",IF(G104&gt;=D104,"Comprado","Parcial"))))</f>
        <v/>
      </c>
      <c r="T104" s="86" t="str">
        <f aca="false">IF(AND(ISNUMBER(Q104),N(Q104)&gt;0.1),"Precio +"&amp;TEXT(Q104,"0%"),"")</f>
        <v/>
      </c>
      <c r="U104" s="0" t="str">
        <f aca="false">IF(OR(D104="",S104="Servicio"),"",MIN(G104,D104)*P104)</f>
        <v/>
      </c>
      <c r="V104" s="0" t="str">
        <f aca="false">IF(OR(D104="",S104="Servicio"),"",D104*P104)</f>
        <v/>
      </c>
    </row>
    <row r="105" customFormat="false" ht="16.5" hidden="false" customHeight="true" outlineLevel="0" collapsed="false">
      <c r="A105" s="23" t="str">
        <f aca="false">IF(PRESUPUESTO!$A101="Ítem",PRESUPUESTO!B101,"")</f>
        <v/>
      </c>
      <c r="B105" s="23" t="str">
        <f aca="false">IF(PRESUPUESTO!C101="","",PRESUPUESTO!C101)</f>
        <v/>
      </c>
      <c r="C105" s="86" t="str">
        <f aca="false">IF(PRESUPUESTO!$A101="Ítem",PRESUPUESTO!D101,"")</f>
        <v/>
      </c>
      <c r="D105" s="87" t="str">
        <f aca="false">IF(PRESUPUESTO!$A101&lt;&gt;"Ítem","",MAX(N(PRESUPUESTO!E101),N('CORTES CLIENTE'!L114)))</f>
        <v/>
      </c>
      <c r="E105" s="80"/>
      <c r="F105" s="87" t="str">
        <f aca="false">IF(D105="","",SUMIFS(GASTOS!$H$7:$H$5000,GASTOS!$F$7:$F$5000,$A105,GASTOS!$L$7:$L$5000,"Materiales y equipos"))</f>
        <v/>
      </c>
      <c r="G105" s="88" t="str">
        <f aca="false">IF(D105="","",N(E105)+F105)</f>
        <v/>
      </c>
      <c r="H105" s="88" t="str">
        <f aca="false">IF(OR(D105="",S105="Servicio"),"",MAX(0,D105-G105))</f>
        <v/>
      </c>
      <c r="I105" s="36" t="str">
        <f aca="false">IF(OR(D105="",S105="Servicio",N(D105)=0),"",MIN(1,G105/D105))</f>
        <v/>
      </c>
      <c r="J105" s="10" t="str">
        <f aca="false">IF(D105="","",PRESUPUESTO!O101)</f>
        <v/>
      </c>
      <c r="K105" s="10" t="str">
        <f aca="false">IF(D105="","",SUMIFS(GASTOS!$J$7:$J$5000,GASTOS!$F$7:$F$5000,$A105,GASTOS!$L$7:$L$5000,"Materiales y equipos"))</f>
        <v/>
      </c>
      <c r="L105" s="105" t="str">
        <f aca="false">IF(D105="","",COUNTIFS(GASTOS!$F$7:$F$5000,$A105,GASTOS!$L$7:$L$5000,"Materiales y equipos"))</f>
        <v/>
      </c>
      <c r="M105" s="10" t="str">
        <f aca="false">IF(OR(D105="",N(F105)=0),"",K105/F105)</f>
        <v/>
      </c>
      <c r="N105" s="10" t="str">
        <f aca="false">IF(OR(D105="",N(L105)=0),"",IFERROR(LOOKUP(2,1/((GASTOS!$F$7:$F$5000=$A105)*(GASTOS!$L$7:$L$5000="Materiales y equipos")*(GASTOS!$I$7:$I$5000&lt;&gt;"")),GASTOS!$I$7:$I$5000),""))</f>
        <v/>
      </c>
      <c r="O105" s="23" t="str">
        <f aca="false">IF(OR(D105="",N(L105)=0),"",IFERROR(LOOKUP(2,1/((GASTOS!$F$7:$F$5000=$A105)*(GASTOS!$L$7:$L$5000="Materiales y equipos")*(GASTOS!$I$7:$I$5000&lt;&gt;"")),GASTOS!$D$7:$D$5000),""))</f>
        <v/>
      </c>
      <c r="P105" s="10" t="str">
        <f aca="false">IF(D105="","",N(PRESUPUESTO!I101))</f>
        <v/>
      </c>
      <c r="Q105" s="36" t="str">
        <f aca="false">IF(OR(D105="",N105="",N(P105)=0),"",N105/P105-1)</f>
        <v/>
      </c>
      <c r="R105" s="10" t="str">
        <f aca="false">IF(OR(D105="",S105="Servicio"),"",H105*IF(N105&lt;&gt;"",N105,P105))</f>
        <v/>
      </c>
      <c r="S105" s="39" t="str">
        <f aca="false">IF(D105="","",IF(N(PRESUPUESTO!H101)=0,"Servicio",IF(G105=0,"Sin comprar",IF(G105&gt;=D105,"Comprado","Parcial"))))</f>
        <v/>
      </c>
      <c r="T105" s="86" t="str">
        <f aca="false">IF(AND(ISNUMBER(Q105),N(Q105)&gt;0.1),"Precio +"&amp;TEXT(Q105,"0%"),"")</f>
        <v/>
      </c>
      <c r="U105" s="0" t="str">
        <f aca="false">IF(OR(D105="",S105="Servicio"),"",MIN(G105,D105)*P105)</f>
        <v/>
      </c>
      <c r="V105" s="0" t="str">
        <f aca="false">IF(OR(D105="",S105="Servicio"),"",D105*P105)</f>
        <v/>
      </c>
    </row>
    <row r="106" customFormat="false" ht="16.5" hidden="false" customHeight="true" outlineLevel="0" collapsed="false">
      <c r="A106" s="23" t="str">
        <f aca="false">IF(PRESUPUESTO!$A102="Ítem",PRESUPUESTO!B102,"")</f>
        <v/>
      </c>
      <c r="B106" s="23" t="str">
        <f aca="false">IF(PRESUPUESTO!C102="","",PRESUPUESTO!C102)</f>
        <v/>
      </c>
      <c r="C106" s="86" t="str">
        <f aca="false">IF(PRESUPUESTO!$A102="Ítem",PRESUPUESTO!D102,"")</f>
        <v/>
      </c>
      <c r="D106" s="87" t="str">
        <f aca="false">IF(PRESUPUESTO!$A102&lt;&gt;"Ítem","",MAX(N(PRESUPUESTO!E102),N('CORTES CLIENTE'!L115)))</f>
        <v/>
      </c>
      <c r="E106" s="80"/>
      <c r="F106" s="87" t="str">
        <f aca="false">IF(D106="","",SUMIFS(GASTOS!$H$7:$H$5000,GASTOS!$F$7:$F$5000,$A106,GASTOS!$L$7:$L$5000,"Materiales y equipos"))</f>
        <v/>
      </c>
      <c r="G106" s="88" t="str">
        <f aca="false">IF(D106="","",N(E106)+F106)</f>
        <v/>
      </c>
      <c r="H106" s="88" t="str">
        <f aca="false">IF(OR(D106="",S106="Servicio"),"",MAX(0,D106-G106))</f>
        <v/>
      </c>
      <c r="I106" s="36" t="str">
        <f aca="false">IF(OR(D106="",S106="Servicio",N(D106)=0),"",MIN(1,G106/D106))</f>
        <v/>
      </c>
      <c r="J106" s="10" t="str">
        <f aca="false">IF(D106="","",PRESUPUESTO!O102)</f>
        <v/>
      </c>
      <c r="K106" s="10" t="str">
        <f aca="false">IF(D106="","",SUMIFS(GASTOS!$J$7:$J$5000,GASTOS!$F$7:$F$5000,$A106,GASTOS!$L$7:$L$5000,"Materiales y equipos"))</f>
        <v/>
      </c>
      <c r="L106" s="105" t="str">
        <f aca="false">IF(D106="","",COUNTIFS(GASTOS!$F$7:$F$5000,$A106,GASTOS!$L$7:$L$5000,"Materiales y equipos"))</f>
        <v/>
      </c>
      <c r="M106" s="10" t="str">
        <f aca="false">IF(OR(D106="",N(F106)=0),"",K106/F106)</f>
        <v/>
      </c>
      <c r="N106" s="10" t="str">
        <f aca="false">IF(OR(D106="",N(L106)=0),"",IFERROR(LOOKUP(2,1/((GASTOS!$F$7:$F$5000=$A106)*(GASTOS!$L$7:$L$5000="Materiales y equipos")*(GASTOS!$I$7:$I$5000&lt;&gt;"")),GASTOS!$I$7:$I$5000),""))</f>
        <v/>
      </c>
      <c r="O106" s="23" t="str">
        <f aca="false">IF(OR(D106="",N(L106)=0),"",IFERROR(LOOKUP(2,1/((GASTOS!$F$7:$F$5000=$A106)*(GASTOS!$L$7:$L$5000="Materiales y equipos")*(GASTOS!$I$7:$I$5000&lt;&gt;"")),GASTOS!$D$7:$D$5000),""))</f>
        <v/>
      </c>
      <c r="P106" s="10" t="str">
        <f aca="false">IF(D106="","",N(PRESUPUESTO!I102))</f>
        <v/>
      </c>
      <c r="Q106" s="36" t="str">
        <f aca="false">IF(OR(D106="",N106="",N(P106)=0),"",N106/P106-1)</f>
        <v/>
      </c>
      <c r="R106" s="10" t="str">
        <f aca="false">IF(OR(D106="",S106="Servicio"),"",H106*IF(N106&lt;&gt;"",N106,P106))</f>
        <v/>
      </c>
      <c r="S106" s="39" t="str">
        <f aca="false">IF(D106="","",IF(N(PRESUPUESTO!H102)=0,"Servicio",IF(G106=0,"Sin comprar",IF(G106&gt;=D106,"Comprado","Parcial"))))</f>
        <v/>
      </c>
      <c r="T106" s="86" t="str">
        <f aca="false">IF(AND(ISNUMBER(Q106),N(Q106)&gt;0.1),"Precio +"&amp;TEXT(Q106,"0%"),"")</f>
        <v/>
      </c>
      <c r="U106" s="0" t="str">
        <f aca="false">IF(OR(D106="",S106="Servicio"),"",MIN(G106,D106)*P106)</f>
        <v/>
      </c>
      <c r="V106" s="0" t="str">
        <f aca="false">IF(OR(D106="",S106="Servicio"),"",D106*P106)</f>
        <v/>
      </c>
    </row>
    <row r="107" customFormat="false" ht="16.5" hidden="false" customHeight="true" outlineLevel="0" collapsed="false">
      <c r="A107" s="23" t="str">
        <f aca="false">IF(PRESUPUESTO!$A103="Ítem",PRESUPUESTO!B103,"")</f>
        <v/>
      </c>
      <c r="B107" s="23" t="str">
        <f aca="false">IF(PRESUPUESTO!C103="","",PRESUPUESTO!C103)</f>
        <v/>
      </c>
      <c r="C107" s="86" t="str">
        <f aca="false">IF(PRESUPUESTO!$A103="Ítem",PRESUPUESTO!D103,"")</f>
        <v/>
      </c>
      <c r="D107" s="87" t="str">
        <f aca="false">IF(PRESUPUESTO!$A103&lt;&gt;"Ítem","",MAX(N(PRESUPUESTO!E103),N('CORTES CLIENTE'!L116)))</f>
        <v/>
      </c>
      <c r="E107" s="80"/>
      <c r="F107" s="87" t="str">
        <f aca="false">IF(D107="","",SUMIFS(GASTOS!$H$7:$H$5000,GASTOS!$F$7:$F$5000,$A107,GASTOS!$L$7:$L$5000,"Materiales y equipos"))</f>
        <v/>
      </c>
      <c r="G107" s="88" t="str">
        <f aca="false">IF(D107="","",N(E107)+F107)</f>
        <v/>
      </c>
      <c r="H107" s="88" t="str">
        <f aca="false">IF(OR(D107="",S107="Servicio"),"",MAX(0,D107-G107))</f>
        <v/>
      </c>
      <c r="I107" s="36" t="str">
        <f aca="false">IF(OR(D107="",S107="Servicio",N(D107)=0),"",MIN(1,G107/D107))</f>
        <v/>
      </c>
      <c r="J107" s="10" t="str">
        <f aca="false">IF(D107="","",PRESUPUESTO!O103)</f>
        <v/>
      </c>
      <c r="K107" s="10" t="str">
        <f aca="false">IF(D107="","",SUMIFS(GASTOS!$J$7:$J$5000,GASTOS!$F$7:$F$5000,$A107,GASTOS!$L$7:$L$5000,"Materiales y equipos"))</f>
        <v/>
      </c>
      <c r="L107" s="105" t="str">
        <f aca="false">IF(D107="","",COUNTIFS(GASTOS!$F$7:$F$5000,$A107,GASTOS!$L$7:$L$5000,"Materiales y equipos"))</f>
        <v/>
      </c>
      <c r="M107" s="10" t="str">
        <f aca="false">IF(OR(D107="",N(F107)=0),"",K107/F107)</f>
        <v/>
      </c>
      <c r="N107" s="10" t="str">
        <f aca="false">IF(OR(D107="",N(L107)=0),"",IFERROR(LOOKUP(2,1/((GASTOS!$F$7:$F$5000=$A107)*(GASTOS!$L$7:$L$5000="Materiales y equipos")*(GASTOS!$I$7:$I$5000&lt;&gt;"")),GASTOS!$I$7:$I$5000),""))</f>
        <v/>
      </c>
      <c r="O107" s="23" t="str">
        <f aca="false">IF(OR(D107="",N(L107)=0),"",IFERROR(LOOKUP(2,1/((GASTOS!$F$7:$F$5000=$A107)*(GASTOS!$L$7:$L$5000="Materiales y equipos")*(GASTOS!$I$7:$I$5000&lt;&gt;"")),GASTOS!$D$7:$D$5000),""))</f>
        <v/>
      </c>
      <c r="P107" s="10" t="str">
        <f aca="false">IF(D107="","",N(PRESUPUESTO!I103))</f>
        <v/>
      </c>
      <c r="Q107" s="36" t="str">
        <f aca="false">IF(OR(D107="",N107="",N(P107)=0),"",N107/P107-1)</f>
        <v/>
      </c>
      <c r="R107" s="10" t="str">
        <f aca="false">IF(OR(D107="",S107="Servicio"),"",H107*IF(N107&lt;&gt;"",N107,P107))</f>
        <v/>
      </c>
      <c r="S107" s="39" t="str">
        <f aca="false">IF(D107="","",IF(N(PRESUPUESTO!H103)=0,"Servicio",IF(G107=0,"Sin comprar",IF(G107&gt;=D107,"Comprado","Parcial"))))</f>
        <v/>
      </c>
      <c r="T107" s="86" t="str">
        <f aca="false">IF(AND(ISNUMBER(Q107),N(Q107)&gt;0.1),"Precio +"&amp;TEXT(Q107,"0%"),"")</f>
        <v/>
      </c>
      <c r="U107" s="0" t="str">
        <f aca="false">IF(OR(D107="",S107="Servicio"),"",MIN(G107,D107)*P107)</f>
        <v/>
      </c>
      <c r="V107" s="0" t="str">
        <f aca="false">IF(OR(D107="",S107="Servicio"),"",D107*P107)</f>
        <v/>
      </c>
    </row>
    <row r="108" customFormat="false" ht="16.5" hidden="false" customHeight="true" outlineLevel="0" collapsed="false">
      <c r="A108" s="23" t="str">
        <f aca="false">IF(PRESUPUESTO!$A104="Ítem",PRESUPUESTO!B104,"")</f>
        <v/>
      </c>
      <c r="B108" s="23" t="str">
        <f aca="false">IF(PRESUPUESTO!C104="","",PRESUPUESTO!C104)</f>
        <v/>
      </c>
      <c r="C108" s="86" t="str">
        <f aca="false">IF(PRESUPUESTO!$A104="Ítem",PRESUPUESTO!D104,"")</f>
        <v/>
      </c>
      <c r="D108" s="87" t="str">
        <f aca="false">IF(PRESUPUESTO!$A104&lt;&gt;"Ítem","",MAX(N(PRESUPUESTO!E104),N('CORTES CLIENTE'!L117)))</f>
        <v/>
      </c>
      <c r="E108" s="80"/>
      <c r="F108" s="87" t="str">
        <f aca="false">IF(D108="","",SUMIFS(GASTOS!$H$7:$H$5000,GASTOS!$F$7:$F$5000,$A108,GASTOS!$L$7:$L$5000,"Materiales y equipos"))</f>
        <v/>
      </c>
      <c r="G108" s="88" t="str">
        <f aca="false">IF(D108="","",N(E108)+F108)</f>
        <v/>
      </c>
      <c r="H108" s="88" t="str">
        <f aca="false">IF(OR(D108="",S108="Servicio"),"",MAX(0,D108-G108))</f>
        <v/>
      </c>
      <c r="I108" s="36" t="str">
        <f aca="false">IF(OR(D108="",S108="Servicio",N(D108)=0),"",MIN(1,G108/D108))</f>
        <v/>
      </c>
      <c r="J108" s="10" t="str">
        <f aca="false">IF(D108="","",PRESUPUESTO!O104)</f>
        <v/>
      </c>
      <c r="K108" s="10" t="str">
        <f aca="false">IF(D108="","",SUMIFS(GASTOS!$J$7:$J$5000,GASTOS!$F$7:$F$5000,$A108,GASTOS!$L$7:$L$5000,"Materiales y equipos"))</f>
        <v/>
      </c>
      <c r="L108" s="105" t="str">
        <f aca="false">IF(D108="","",COUNTIFS(GASTOS!$F$7:$F$5000,$A108,GASTOS!$L$7:$L$5000,"Materiales y equipos"))</f>
        <v/>
      </c>
      <c r="M108" s="10" t="str">
        <f aca="false">IF(OR(D108="",N(F108)=0),"",K108/F108)</f>
        <v/>
      </c>
      <c r="N108" s="10" t="str">
        <f aca="false">IF(OR(D108="",N(L108)=0),"",IFERROR(LOOKUP(2,1/((GASTOS!$F$7:$F$5000=$A108)*(GASTOS!$L$7:$L$5000="Materiales y equipos")*(GASTOS!$I$7:$I$5000&lt;&gt;"")),GASTOS!$I$7:$I$5000),""))</f>
        <v/>
      </c>
      <c r="O108" s="23" t="str">
        <f aca="false">IF(OR(D108="",N(L108)=0),"",IFERROR(LOOKUP(2,1/((GASTOS!$F$7:$F$5000=$A108)*(GASTOS!$L$7:$L$5000="Materiales y equipos")*(GASTOS!$I$7:$I$5000&lt;&gt;"")),GASTOS!$D$7:$D$5000),""))</f>
        <v/>
      </c>
      <c r="P108" s="10" t="str">
        <f aca="false">IF(D108="","",N(PRESUPUESTO!I104))</f>
        <v/>
      </c>
      <c r="Q108" s="36" t="str">
        <f aca="false">IF(OR(D108="",N108="",N(P108)=0),"",N108/P108-1)</f>
        <v/>
      </c>
      <c r="R108" s="10" t="str">
        <f aca="false">IF(OR(D108="",S108="Servicio"),"",H108*IF(N108&lt;&gt;"",N108,P108))</f>
        <v/>
      </c>
      <c r="S108" s="39" t="str">
        <f aca="false">IF(D108="","",IF(N(PRESUPUESTO!H104)=0,"Servicio",IF(G108=0,"Sin comprar",IF(G108&gt;=D108,"Comprado","Parcial"))))</f>
        <v/>
      </c>
      <c r="T108" s="86" t="str">
        <f aca="false">IF(AND(ISNUMBER(Q108),N(Q108)&gt;0.1),"Precio +"&amp;TEXT(Q108,"0%"),"")</f>
        <v/>
      </c>
      <c r="U108" s="0" t="str">
        <f aca="false">IF(OR(D108="",S108="Servicio"),"",MIN(G108,D108)*P108)</f>
        <v/>
      </c>
      <c r="V108" s="0" t="str">
        <f aca="false">IF(OR(D108="",S108="Servicio"),"",D108*P108)</f>
        <v/>
      </c>
    </row>
    <row r="109" customFormat="false" ht="16.5" hidden="false" customHeight="true" outlineLevel="0" collapsed="false">
      <c r="A109" s="23" t="str">
        <f aca="false">IF(PRESUPUESTO!$A105="Ítem",PRESUPUESTO!B105,"")</f>
        <v/>
      </c>
      <c r="B109" s="23" t="str">
        <f aca="false">IF(PRESUPUESTO!C105="","",PRESUPUESTO!C105)</f>
        <v/>
      </c>
      <c r="C109" s="86" t="str">
        <f aca="false">IF(PRESUPUESTO!$A105="Ítem",PRESUPUESTO!D105,"")</f>
        <v/>
      </c>
      <c r="D109" s="87" t="str">
        <f aca="false">IF(PRESUPUESTO!$A105&lt;&gt;"Ítem","",MAX(N(PRESUPUESTO!E105),N('CORTES CLIENTE'!L118)))</f>
        <v/>
      </c>
      <c r="E109" s="80"/>
      <c r="F109" s="87" t="str">
        <f aca="false">IF(D109="","",SUMIFS(GASTOS!$H$7:$H$5000,GASTOS!$F$7:$F$5000,$A109,GASTOS!$L$7:$L$5000,"Materiales y equipos"))</f>
        <v/>
      </c>
      <c r="G109" s="88" t="str">
        <f aca="false">IF(D109="","",N(E109)+F109)</f>
        <v/>
      </c>
      <c r="H109" s="88" t="str">
        <f aca="false">IF(OR(D109="",S109="Servicio"),"",MAX(0,D109-G109))</f>
        <v/>
      </c>
      <c r="I109" s="36" t="str">
        <f aca="false">IF(OR(D109="",S109="Servicio",N(D109)=0),"",MIN(1,G109/D109))</f>
        <v/>
      </c>
      <c r="J109" s="10" t="str">
        <f aca="false">IF(D109="","",PRESUPUESTO!O105)</f>
        <v/>
      </c>
      <c r="K109" s="10" t="str">
        <f aca="false">IF(D109="","",SUMIFS(GASTOS!$J$7:$J$5000,GASTOS!$F$7:$F$5000,$A109,GASTOS!$L$7:$L$5000,"Materiales y equipos"))</f>
        <v/>
      </c>
      <c r="L109" s="105" t="str">
        <f aca="false">IF(D109="","",COUNTIFS(GASTOS!$F$7:$F$5000,$A109,GASTOS!$L$7:$L$5000,"Materiales y equipos"))</f>
        <v/>
      </c>
      <c r="M109" s="10" t="str">
        <f aca="false">IF(OR(D109="",N(F109)=0),"",K109/F109)</f>
        <v/>
      </c>
      <c r="N109" s="10" t="str">
        <f aca="false">IF(OR(D109="",N(L109)=0),"",IFERROR(LOOKUP(2,1/((GASTOS!$F$7:$F$5000=$A109)*(GASTOS!$L$7:$L$5000="Materiales y equipos")*(GASTOS!$I$7:$I$5000&lt;&gt;"")),GASTOS!$I$7:$I$5000),""))</f>
        <v/>
      </c>
      <c r="O109" s="23" t="str">
        <f aca="false">IF(OR(D109="",N(L109)=0),"",IFERROR(LOOKUP(2,1/((GASTOS!$F$7:$F$5000=$A109)*(GASTOS!$L$7:$L$5000="Materiales y equipos")*(GASTOS!$I$7:$I$5000&lt;&gt;"")),GASTOS!$D$7:$D$5000),""))</f>
        <v/>
      </c>
      <c r="P109" s="10" t="str">
        <f aca="false">IF(D109="","",N(PRESUPUESTO!I105))</f>
        <v/>
      </c>
      <c r="Q109" s="36" t="str">
        <f aca="false">IF(OR(D109="",N109="",N(P109)=0),"",N109/P109-1)</f>
        <v/>
      </c>
      <c r="R109" s="10" t="str">
        <f aca="false">IF(OR(D109="",S109="Servicio"),"",H109*IF(N109&lt;&gt;"",N109,P109))</f>
        <v/>
      </c>
      <c r="S109" s="39" t="str">
        <f aca="false">IF(D109="","",IF(N(PRESUPUESTO!H105)=0,"Servicio",IF(G109=0,"Sin comprar",IF(G109&gt;=D109,"Comprado","Parcial"))))</f>
        <v/>
      </c>
      <c r="T109" s="86" t="str">
        <f aca="false">IF(AND(ISNUMBER(Q109),N(Q109)&gt;0.1),"Precio +"&amp;TEXT(Q109,"0%"),"")</f>
        <v/>
      </c>
      <c r="U109" s="0" t="str">
        <f aca="false">IF(OR(D109="",S109="Servicio"),"",MIN(G109,D109)*P109)</f>
        <v/>
      </c>
      <c r="V109" s="0" t="str">
        <f aca="false">IF(OR(D109="",S109="Servicio"),"",D109*P109)</f>
        <v/>
      </c>
    </row>
    <row r="110" customFormat="false" ht="16.5" hidden="false" customHeight="true" outlineLevel="0" collapsed="false">
      <c r="A110" s="23" t="str">
        <f aca="false">IF(PRESUPUESTO!$A106="Ítem",PRESUPUESTO!B106,"")</f>
        <v/>
      </c>
      <c r="B110" s="23" t="str">
        <f aca="false">IF(PRESUPUESTO!C106="","",PRESUPUESTO!C106)</f>
        <v/>
      </c>
      <c r="C110" s="86" t="str">
        <f aca="false">IF(PRESUPUESTO!$A106="Ítem",PRESUPUESTO!D106,"")</f>
        <v/>
      </c>
      <c r="D110" s="87" t="str">
        <f aca="false">IF(PRESUPUESTO!$A106&lt;&gt;"Ítem","",MAX(N(PRESUPUESTO!E106),N('CORTES CLIENTE'!L119)))</f>
        <v/>
      </c>
      <c r="E110" s="80"/>
      <c r="F110" s="87" t="str">
        <f aca="false">IF(D110="","",SUMIFS(GASTOS!$H$7:$H$5000,GASTOS!$F$7:$F$5000,$A110,GASTOS!$L$7:$L$5000,"Materiales y equipos"))</f>
        <v/>
      </c>
      <c r="G110" s="88" t="str">
        <f aca="false">IF(D110="","",N(E110)+F110)</f>
        <v/>
      </c>
      <c r="H110" s="88" t="str">
        <f aca="false">IF(OR(D110="",S110="Servicio"),"",MAX(0,D110-G110))</f>
        <v/>
      </c>
      <c r="I110" s="36" t="str">
        <f aca="false">IF(OR(D110="",S110="Servicio",N(D110)=0),"",MIN(1,G110/D110))</f>
        <v/>
      </c>
      <c r="J110" s="10" t="str">
        <f aca="false">IF(D110="","",PRESUPUESTO!O106)</f>
        <v/>
      </c>
      <c r="K110" s="10" t="str">
        <f aca="false">IF(D110="","",SUMIFS(GASTOS!$J$7:$J$5000,GASTOS!$F$7:$F$5000,$A110,GASTOS!$L$7:$L$5000,"Materiales y equipos"))</f>
        <v/>
      </c>
      <c r="L110" s="105" t="str">
        <f aca="false">IF(D110="","",COUNTIFS(GASTOS!$F$7:$F$5000,$A110,GASTOS!$L$7:$L$5000,"Materiales y equipos"))</f>
        <v/>
      </c>
      <c r="M110" s="10" t="str">
        <f aca="false">IF(OR(D110="",N(F110)=0),"",K110/F110)</f>
        <v/>
      </c>
      <c r="N110" s="10" t="str">
        <f aca="false">IF(OR(D110="",N(L110)=0),"",IFERROR(LOOKUP(2,1/((GASTOS!$F$7:$F$5000=$A110)*(GASTOS!$L$7:$L$5000="Materiales y equipos")*(GASTOS!$I$7:$I$5000&lt;&gt;"")),GASTOS!$I$7:$I$5000),""))</f>
        <v/>
      </c>
      <c r="O110" s="23" t="str">
        <f aca="false">IF(OR(D110="",N(L110)=0),"",IFERROR(LOOKUP(2,1/((GASTOS!$F$7:$F$5000=$A110)*(GASTOS!$L$7:$L$5000="Materiales y equipos")*(GASTOS!$I$7:$I$5000&lt;&gt;"")),GASTOS!$D$7:$D$5000),""))</f>
        <v/>
      </c>
      <c r="P110" s="10" t="str">
        <f aca="false">IF(D110="","",N(PRESUPUESTO!I106))</f>
        <v/>
      </c>
      <c r="Q110" s="36" t="str">
        <f aca="false">IF(OR(D110="",N110="",N(P110)=0),"",N110/P110-1)</f>
        <v/>
      </c>
      <c r="R110" s="10" t="str">
        <f aca="false">IF(OR(D110="",S110="Servicio"),"",H110*IF(N110&lt;&gt;"",N110,P110))</f>
        <v/>
      </c>
      <c r="S110" s="39" t="str">
        <f aca="false">IF(D110="","",IF(N(PRESUPUESTO!H106)=0,"Servicio",IF(G110=0,"Sin comprar",IF(G110&gt;=D110,"Comprado","Parcial"))))</f>
        <v/>
      </c>
      <c r="T110" s="86" t="str">
        <f aca="false">IF(AND(ISNUMBER(Q110),N(Q110)&gt;0.1),"Precio +"&amp;TEXT(Q110,"0%"),"")</f>
        <v/>
      </c>
      <c r="U110" s="0" t="str">
        <f aca="false">IF(OR(D110="",S110="Servicio"),"",MIN(G110,D110)*P110)</f>
        <v/>
      </c>
      <c r="V110" s="0" t="str">
        <f aca="false">IF(OR(D110="",S110="Servicio"),"",D110*P110)</f>
        <v/>
      </c>
    </row>
    <row r="111" customFormat="false" ht="16.5" hidden="false" customHeight="true" outlineLevel="0" collapsed="false">
      <c r="A111" s="23" t="str">
        <f aca="false">IF(PRESUPUESTO!$A107="Ítem",PRESUPUESTO!B107,"")</f>
        <v/>
      </c>
      <c r="B111" s="23" t="str">
        <f aca="false">IF(PRESUPUESTO!C107="","",PRESUPUESTO!C107)</f>
        <v/>
      </c>
      <c r="C111" s="86" t="str">
        <f aca="false">IF(PRESUPUESTO!$A107="Ítem",PRESUPUESTO!D107,"")</f>
        <v/>
      </c>
      <c r="D111" s="87" t="str">
        <f aca="false">IF(PRESUPUESTO!$A107&lt;&gt;"Ítem","",MAX(N(PRESUPUESTO!E107),N('CORTES CLIENTE'!L120)))</f>
        <v/>
      </c>
      <c r="E111" s="80"/>
      <c r="F111" s="87" t="str">
        <f aca="false">IF(D111="","",SUMIFS(GASTOS!$H$7:$H$5000,GASTOS!$F$7:$F$5000,$A111,GASTOS!$L$7:$L$5000,"Materiales y equipos"))</f>
        <v/>
      </c>
      <c r="G111" s="88" t="str">
        <f aca="false">IF(D111="","",N(E111)+F111)</f>
        <v/>
      </c>
      <c r="H111" s="88" t="str">
        <f aca="false">IF(OR(D111="",S111="Servicio"),"",MAX(0,D111-G111))</f>
        <v/>
      </c>
      <c r="I111" s="36" t="str">
        <f aca="false">IF(OR(D111="",S111="Servicio",N(D111)=0),"",MIN(1,G111/D111))</f>
        <v/>
      </c>
      <c r="J111" s="10" t="str">
        <f aca="false">IF(D111="","",PRESUPUESTO!O107)</f>
        <v/>
      </c>
      <c r="K111" s="10" t="str">
        <f aca="false">IF(D111="","",SUMIFS(GASTOS!$J$7:$J$5000,GASTOS!$F$7:$F$5000,$A111,GASTOS!$L$7:$L$5000,"Materiales y equipos"))</f>
        <v/>
      </c>
      <c r="L111" s="105" t="str">
        <f aca="false">IF(D111="","",COUNTIFS(GASTOS!$F$7:$F$5000,$A111,GASTOS!$L$7:$L$5000,"Materiales y equipos"))</f>
        <v/>
      </c>
      <c r="M111" s="10" t="str">
        <f aca="false">IF(OR(D111="",N(F111)=0),"",K111/F111)</f>
        <v/>
      </c>
      <c r="N111" s="10" t="str">
        <f aca="false">IF(OR(D111="",N(L111)=0),"",IFERROR(LOOKUP(2,1/((GASTOS!$F$7:$F$5000=$A111)*(GASTOS!$L$7:$L$5000="Materiales y equipos")*(GASTOS!$I$7:$I$5000&lt;&gt;"")),GASTOS!$I$7:$I$5000),""))</f>
        <v/>
      </c>
      <c r="O111" s="23" t="str">
        <f aca="false">IF(OR(D111="",N(L111)=0),"",IFERROR(LOOKUP(2,1/((GASTOS!$F$7:$F$5000=$A111)*(GASTOS!$L$7:$L$5000="Materiales y equipos")*(GASTOS!$I$7:$I$5000&lt;&gt;"")),GASTOS!$D$7:$D$5000),""))</f>
        <v/>
      </c>
      <c r="P111" s="10" t="str">
        <f aca="false">IF(D111="","",N(PRESUPUESTO!I107))</f>
        <v/>
      </c>
      <c r="Q111" s="36" t="str">
        <f aca="false">IF(OR(D111="",N111="",N(P111)=0),"",N111/P111-1)</f>
        <v/>
      </c>
      <c r="R111" s="10" t="str">
        <f aca="false">IF(OR(D111="",S111="Servicio"),"",H111*IF(N111&lt;&gt;"",N111,P111))</f>
        <v/>
      </c>
      <c r="S111" s="39" t="str">
        <f aca="false">IF(D111="","",IF(N(PRESUPUESTO!H107)=0,"Servicio",IF(G111=0,"Sin comprar",IF(G111&gt;=D111,"Comprado","Parcial"))))</f>
        <v/>
      </c>
      <c r="T111" s="86" t="str">
        <f aca="false">IF(AND(ISNUMBER(Q111),N(Q111)&gt;0.1),"Precio +"&amp;TEXT(Q111,"0%"),"")</f>
        <v/>
      </c>
      <c r="U111" s="0" t="str">
        <f aca="false">IF(OR(D111="",S111="Servicio"),"",MIN(G111,D111)*P111)</f>
        <v/>
      </c>
      <c r="V111" s="0" t="str">
        <f aca="false">IF(OR(D111="",S111="Servicio"),"",D111*P111)</f>
        <v/>
      </c>
    </row>
    <row r="112" customFormat="false" ht="16.5" hidden="false" customHeight="true" outlineLevel="0" collapsed="false">
      <c r="A112" s="23" t="str">
        <f aca="false">IF(PRESUPUESTO!$A108="Ítem",PRESUPUESTO!B108,"")</f>
        <v/>
      </c>
      <c r="B112" s="23" t="str">
        <f aca="false">IF(PRESUPUESTO!C108="","",PRESUPUESTO!C108)</f>
        <v/>
      </c>
      <c r="C112" s="86" t="str">
        <f aca="false">IF(PRESUPUESTO!$A108="Ítem",PRESUPUESTO!D108,"")</f>
        <v/>
      </c>
      <c r="D112" s="87" t="str">
        <f aca="false">IF(PRESUPUESTO!$A108&lt;&gt;"Ítem","",MAX(N(PRESUPUESTO!E108),N('CORTES CLIENTE'!L121)))</f>
        <v/>
      </c>
      <c r="E112" s="80"/>
      <c r="F112" s="87" t="str">
        <f aca="false">IF(D112="","",SUMIFS(GASTOS!$H$7:$H$5000,GASTOS!$F$7:$F$5000,$A112,GASTOS!$L$7:$L$5000,"Materiales y equipos"))</f>
        <v/>
      </c>
      <c r="G112" s="88" t="str">
        <f aca="false">IF(D112="","",N(E112)+F112)</f>
        <v/>
      </c>
      <c r="H112" s="88" t="str">
        <f aca="false">IF(OR(D112="",S112="Servicio"),"",MAX(0,D112-G112))</f>
        <v/>
      </c>
      <c r="I112" s="36" t="str">
        <f aca="false">IF(OR(D112="",S112="Servicio",N(D112)=0),"",MIN(1,G112/D112))</f>
        <v/>
      </c>
      <c r="J112" s="10" t="str">
        <f aca="false">IF(D112="","",PRESUPUESTO!O108)</f>
        <v/>
      </c>
      <c r="K112" s="10" t="str">
        <f aca="false">IF(D112="","",SUMIFS(GASTOS!$J$7:$J$5000,GASTOS!$F$7:$F$5000,$A112,GASTOS!$L$7:$L$5000,"Materiales y equipos"))</f>
        <v/>
      </c>
      <c r="L112" s="105" t="str">
        <f aca="false">IF(D112="","",COUNTIFS(GASTOS!$F$7:$F$5000,$A112,GASTOS!$L$7:$L$5000,"Materiales y equipos"))</f>
        <v/>
      </c>
      <c r="M112" s="10" t="str">
        <f aca="false">IF(OR(D112="",N(F112)=0),"",K112/F112)</f>
        <v/>
      </c>
      <c r="N112" s="10" t="str">
        <f aca="false">IF(OR(D112="",N(L112)=0),"",IFERROR(LOOKUP(2,1/((GASTOS!$F$7:$F$5000=$A112)*(GASTOS!$L$7:$L$5000="Materiales y equipos")*(GASTOS!$I$7:$I$5000&lt;&gt;"")),GASTOS!$I$7:$I$5000),""))</f>
        <v/>
      </c>
      <c r="O112" s="23" t="str">
        <f aca="false">IF(OR(D112="",N(L112)=0),"",IFERROR(LOOKUP(2,1/((GASTOS!$F$7:$F$5000=$A112)*(GASTOS!$L$7:$L$5000="Materiales y equipos")*(GASTOS!$I$7:$I$5000&lt;&gt;"")),GASTOS!$D$7:$D$5000),""))</f>
        <v/>
      </c>
      <c r="P112" s="10" t="str">
        <f aca="false">IF(D112="","",N(PRESUPUESTO!I108))</f>
        <v/>
      </c>
      <c r="Q112" s="36" t="str">
        <f aca="false">IF(OR(D112="",N112="",N(P112)=0),"",N112/P112-1)</f>
        <v/>
      </c>
      <c r="R112" s="10" t="str">
        <f aca="false">IF(OR(D112="",S112="Servicio"),"",H112*IF(N112&lt;&gt;"",N112,P112))</f>
        <v/>
      </c>
      <c r="S112" s="39" t="str">
        <f aca="false">IF(D112="","",IF(N(PRESUPUESTO!H108)=0,"Servicio",IF(G112=0,"Sin comprar",IF(G112&gt;=D112,"Comprado","Parcial"))))</f>
        <v/>
      </c>
      <c r="T112" s="86" t="str">
        <f aca="false">IF(AND(ISNUMBER(Q112),N(Q112)&gt;0.1),"Precio +"&amp;TEXT(Q112,"0%"),"")</f>
        <v/>
      </c>
      <c r="U112" s="0" t="str">
        <f aca="false">IF(OR(D112="",S112="Servicio"),"",MIN(G112,D112)*P112)</f>
        <v/>
      </c>
      <c r="V112" s="0" t="str">
        <f aca="false">IF(OR(D112="",S112="Servicio"),"",D112*P112)</f>
        <v/>
      </c>
    </row>
    <row r="113" customFormat="false" ht="16.5" hidden="false" customHeight="true" outlineLevel="0" collapsed="false">
      <c r="A113" s="23" t="str">
        <f aca="false">IF(PRESUPUESTO!$A109="Ítem",PRESUPUESTO!B109,"")</f>
        <v/>
      </c>
      <c r="B113" s="23" t="str">
        <f aca="false">IF(PRESUPUESTO!C109="","",PRESUPUESTO!C109)</f>
        <v/>
      </c>
      <c r="C113" s="86" t="str">
        <f aca="false">IF(PRESUPUESTO!$A109="Ítem",PRESUPUESTO!D109,"")</f>
        <v/>
      </c>
      <c r="D113" s="87" t="str">
        <f aca="false">IF(PRESUPUESTO!$A109&lt;&gt;"Ítem","",MAX(N(PRESUPUESTO!E109),N('CORTES CLIENTE'!L122)))</f>
        <v/>
      </c>
      <c r="E113" s="80"/>
      <c r="F113" s="87" t="str">
        <f aca="false">IF(D113="","",SUMIFS(GASTOS!$H$7:$H$5000,GASTOS!$F$7:$F$5000,$A113,GASTOS!$L$7:$L$5000,"Materiales y equipos"))</f>
        <v/>
      </c>
      <c r="G113" s="88" t="str">
        <f aca="false">IF(D113="","",N(E113)+F113)</f>
        <v/>
      </c>
      <c r="H113" s="88" t="str">
        <f aca="false">IF(OR(D113="",S113="Servicio"),"",MAX(0,D113-G113))</f>
        <v/>
      </c>
      <c r="I113" s="36" t="str">
        <f aca="false">IF(OR(D113="",S113="Servicio",N(D113)=0),"",MIN(1,G113/D113))</f>
        <v/>
      </c>
      <c r="J113" s="10" t="str">
        <f aca="false">IF(D113="","",PRESUPUESTO!O109)</f>
        <v/>
      </c>
      <c r="K113" s="10" t="str">
        <f aca="false">IF(D113="","",SUMIFS(GASTOS!$J$7:$J$5000,GASTOS!$F$7:$F$5000,$A113,GASTOS!$L$7:$L$5000,"Materiales y equipos"))</f>
        <v/>
      </c>
      <c r="L113" s="105" t="str">
        <f aca="false">IF(D113="","",COUNTIFS(GASTOS!$F$7:$F$5000,$A113,GASTOS!$L$7:$L$5000,"Materiales y equipos"))</f>
        <v/>
      </c>
      <c r="M113" s="10" t="str">
        <f aca="false">IF(OR(D113="",N(F113)=0),"",K113/F113)</f>
        <v/>
      </c>
      <c r="N113" s="10" t="str">
        <f aca="false">IF(OR(D113="",N(L113)=0),"",IFERROR(LOOKUP(2,1/((GASTOS!$F$7:$F$5000=$A113)*(GASTOS!$L$7:$L$5000="Materiales y equipos")*(GASTOS!$I$7:$I$5000&lt;&gt;"")),GASTOS!$I$7:$I$5000),""))</f>
        <v/>
      </c>
      <c r="O113" s="23" t="str">
        <f aca="false">IF(OR(D113="",N(L113)=0),"",IFERROR(LOOKUP(2,1/((GASTOS!$F$7:$F$5000=$A113)*(GASTOS!$L$7:$L$5000="Materiales y equipos")*(GASTOS!$I$7:$I$5000&lt;&gt;"")),GASTOS!$D$7:$D$5000),""))</f>
        <v/>
      </c>
      <c r="P113" s="10" t="str">
        <f aca="false">IF(D113="","",N(PRESUPUESTO!I109))</f>
        <v/>
      </c>
      <c r="Q113" s="36" t="str">
        <f aca="false">IF(OR(D113="",N113="",N(P113)=0),"",N113/P113-1)</f>
        <v/>
      </c>
      <c r="R113" s="10" t="str">
        <f aca="false">IF(OR(D113="",S113="Servicio"),"",H113*IF(N113&lt;&gt;"",N113,P113))</f>
        <v/>
      </c>
      <c r="S113" s="39" t="str">
        <f aca="false">IF(D113="","",IF(N(PRESUPUESTO!H109)=0,"Servicio",IF(G113=0,"Sin comprar",IF(G113&gt;=D113,"Comprado","Parcial"))))</f>
        <v/>
      </c>
      <c r="T113" s="86" t="str">
        <f aca="false">IF(AND(ISNUMBER(Q113),N(Q113)&gt;0.1),"Precio +"&amp;TEXT(Q113,"0%"),"")</f>
        <v/>
      </c>
      <c r="U113" s="0" t="str">
        <f aca="false">IF(OR(D113="",S113="Servicio"),"",MIN(G113,D113)*P113)</f>
        <v/>
      </c>
      <c r="V113" s="0" t="str">
        <f aca="false">IF(OR(D113="",S113="Servicio"),"",D113*P113)</f>
        <v/>
      </c>
    </row>
    <row r="114" customFormat="false" ht="16.5" hidden="false" customHeight="true" outlineLevel="0" collapsed="false">
      <c r="A114" s="23" t="str">
        <f aca="false">IF(PRESUPUESTO!$A110="Ítem",PRESUPUESTO!B110,"")</f>
        <v/>
      </c>
      <c r="B114" s="23" t="str">
        <f aca="false">IF(PRESUPUESTO!C110="","",PRESUPUESTO!C110)</f>
        <v/>
      </c>
      <c r="C114" s="86" t="str">
        <f aca="false">IF(PRESUPUESTO!$A110="Ítem",PRESUPUESTO!D110,"")</f>
        <v/>
      </c>
      <c r="D114" s="87" t="str">
        <f aca="false">IF(PRESUPUESTO!$A110&lt;&gt;"Ítem","",MAX(N(PRESUPUESTO!E110),N('CORTES CLIENTE'!L123)))</f>
        <v/>
      </c>
      <c r="E114" s="80"/>
      <c r="F114" s="87" t="str">
        <f aca="false">IF(D114="","",SUMIFS(GASTOS!$H$7:$H$5000,GASTOS!$F$7:$F$5000,$A114,GASTOS!$L$7:$L$5000,"Materiales y equipos"))</f>
        <v/>
      </c>
      <c r="G114" s="88" t="str">
        <f aca="false">IF(D114="","",N(E114)+F114)</f>
        <v/>
      </c>
      <c r="H114" s="88" t="str">
        <f aca="false">IF(OR(D114="",S114="Servicio"),"",MAX(0,D114-G114))</f>
        <v/>
      </c>
      <c r="I114" s="36" t="str">
        <f aca="false">IF(OR(D114="",S114="Servicio",N(D114)=0),"",MIN(1,G114/D114))</f>
        <v/>
      </c>
      <c r="J114" s="10" t="str">
        <f aca="false">IF(D114="","",PRESUPUESTO!O110)</f>
        <v/>
      </c>
      <c r="K114" s="10" t="str">
        <f aca="false">IF(D114="","",SUMIFS(GASTOS!$J$7:$J$5000,GASTOS!$F$7:$F$5000,$A114,GASTOS!$L$7:$L$5000,"Materiales y equipos"))</f>
        <v/>
      </c>
      <c r="L114" s="105" t="str">
        <f aca="false">IF(D114="","",COUNTIFS(GASTOS!$F$7:$F$5000,$A114,GASTOS!$L$7:$L$5000,"Materiales y equipos"))</f>
        <v/>
      </c>
      <c r="M114" s="10" t="str">
        <f aca="false">IF(OR(D114="",N(F114)=0),"",K114/F114)</f>
        <v/>
      </c>
      <c r="N114" s="10" t="str">
        <f aca="false">IF(OR(D114="",N(L114)=0),"",IFERROR(LOOKUP(2,1/((GASTOS!$F$7:$F$5000=$A114)*(GASTOS!$L$7:$L$5000="Materiales y equipos")*(GASTOS!$I$7:$I$5000&lt;&gt;"")),GASTOS!$I$7:$I$5000),""))</f>
        <v/>
      </c>
      <c r="O114" s="23" t="str">
        <f aca="false">IF(OR(D114="",N(L114)=0),"",IFERROR(LOOKUP(2,1/((GASTOS!$F$7:$F$5000=$A114)*(GASTOS!$L$7:$L$5000="Materiales y equipos")*(GASTOS!$I$7:$I$5000&lt;&gt;"")),GASTOS!$D$7:$D$5000),""))</f>
        <v/>
      </c>
      <c r="P114" s="10" t="str">
        <f aca="false">IF(D114="","",N(PRESUPUESTO!I110))</f>
        <v/>
      </c>
      <c r="Q114" s="36" t="str">
        <f aca="false">IF(OR(D114="",N114="",N(P114)=0),"",N114/P114-1)</f>
        <v/>
      </c>
      <c r="R114" s="10" t="str">
        <f aca="false">IF(OR(D114="",S114="Servicio"),"",H114*IF(N114&lt;&gt;"",N114,P114))</f>
        <v/>
      </c>
      <c r="S114" s="39" t="str">
        <f aca="false">IF(D114="","",IF(N(PRESUPUESTO!H110)=0,"Servicio",IF(G114=0,"Sin comprar",IF(G114&gt;=D114,"Comprado","Parcial"))))</f>
        <v/>
      </c>
      <c r="T114" s="86" t="str">
        <f aca="false">IF(AND(ISNUMBER(Q114),N(Q114)&gt;0.1),"Precio +"&amp;TEXT(Q114,"0%"),"")</f>
        <v/>
      </c>
      <c r="U114" s="0" t="str">
        <f aca="false">IF(OR(D114="",S114="Servicio"),"",MIN(G114,D114)*P114)</f>
        <v/>
      </c>
      <c r="V114" s="0" t="str">
        <f aca="false">IF(OR(D114="",S114="Servicio"),"",D114*P114)</f>
        <v/>
      </c>
    </row>
    <row r="115" customFormat="false" ht="16.5" hidden="false" customHeight="true" outlineLevel="0" collapsed="false">
      <c r="A115" s="23" t="str">
        <f aca="false">IF(PRESUPUESTO!$A111="Ítem",PRESUPUESTO!B111,"")</f>
        <v/>
      </c>
      <c r="B115" s="23" t="str">
        <f aca="false">IF(PRESUPUESTO!C111="","",PRESUPUESTO!C111)</f>
        <v/>
      </c>
      <c r="C115" s="86" t="str">
        <f aca="false">IF(PRESUPUESTO!$A111="Ítem",PRESUPUESTO!D111,"")</f>
        <v/>
      </c>
      <c r="D115" s="87" t="str">
        <f aca="false">IF(PRESUPUESTO!$A111&lt;&gt;"Ítem","",MAX(N(PRESUPUESTO!E111),N('CORTES CLIENTE'!L124)))</f>
        <v/>
      </c>
      <c r="E115" s="80"/>
      <c r="F115" s="87" t="str">
        <f aca="false">IF(D115="","",SUMIFS(GASTOS!$H$7:$H$5000,GASTOS!$F$7:$F$5000,$A115,GASTOS!$L$7:$L$5000,"Materiales y equipos"))</f>
        <v/>
      </c>
      <c r="G115" s="88" t="str">
        <f aca="false">IF(D115="","",N(E115)+F115)</f>
        <v/>
      </c>
      <c r="H115" s="88" t="str">
        <f aca="false">IF(OR(D115="",S115="Servicio"),"",MAX(0,D115-G115))</f>
        <v/>
      </c>
      <c r="I115" s="36" t="str">
        <f aca="false">IF(OR(D115="",S115="Servicio",N(D115)=0),"",MIN(1,G115/D115))</f>
        <v/>
      </c>
      <c r="J115" s="10" t="str">
        <f aca="false">IF(D115="","",PRESUPUESTO!O111)</f>
        <v/>
      </c>
      <c r="K115" s="10" t="str">
        <f aca="false">IF(D115="","",SUMIFS(GASTOS!$J$7:$J$5000,GASTOS!$F$7:$F$5000,$A115,GASTOS!$L$7:$L$5000,"Materiales y equipos"))</f>
        <v/>
      </c>
      <c r="L115" s="105" t="str">
        <f aca="false">IF(D115="","",COUNTIFS(GASTOS!$F$7:$F$5000,$A115,GASTOS!$L$7:$L$5000,"Materiales y equipos"))</f>
        <v/>
      </c>
      <c r="M115" s="10" t="str">
        <f aca="false">IF(OR(D115="",N(F115)=0),"",K115/F115)</f>
        <v/>
      </c>
      <c r="N115" s="10" t="str">
        <f aca="false">IF(OR(D115="",N(L115)=0),"",IFERROR(LOOKUP(2,1/((GASTOS!$F$7:$F$5000=$A115)*(GASTOS!$L$7:$L$5000="Materiales y equipos")*(GASTOS!$I$7:$I$5000&lt;&gt;"")),GASTOS!$I$7:$I$5000),""))</f>
        <v/>
      </c>
      <c r="O115" s="23" t="str">
        <f aca="false">IF(OR(D115="",N(L115)=0),"",IFERROR(LOOKUP(2,1/((GASTOS!$F$7:$F$5000=$A115)*(GASTOS!$L$7:$L$5000="Materiales y equipos")*(GASTOS!$I$7:$I$5000&lt;&gt;"")),GASTOS!$D$7:$D$5000),""))</f>
        <v/>
      </c>
      <c r="P115" s="10" t="str">
        <f aca="false">IF(D115="","",N(PRESUPUESTO!I111))</f>
        <v/>
      </c>
      <c r="Q115" s="36" t="str">
        <f aca="false">IF(OR(D115="",N115="",N(P115)=0),"",N115/P115-1)</f>
        <v/>
      </c>
      <c r="R115" s="10" t="str">
        <f aca="false">IF(OR(D115="",S115="Servicio"),"",H115*IF(N115&lt;&gt;"",N115,P115))</f>
        <v/>
      </c>
      <c r="S115" s="39" t="str">
        <f aca="false">IF(D115="","",IF(N(PRESUPUESTO!H111)=0,"Servicio",IF(G115=0,"Sin comprar",IF(G115&gt;=D115,"Comprado","Parcial"))))</f>
        <v/>
      </c>
      <c r="T115" s="86" t="str">
        <f aca="false">IF(AND(ISNUMBER(Q115),N(Q115)&gt;0.1),"Precio +"&amp;TEXT(Q115,"0%"),"")</f>
        <v/>
      </c>
      <c r="U115" s="0" t="str">
        <f aca="false">IF(OR(D115="",S115="Servicio"),"",MIN(G115,D115)*P115)</f>
        <v/>
      </c>
      <c r="V115" s="0" t="str">
        <f aca="false">IF(OR(D115="",S115="Servicio"),"",D115*P115)</f>
        <v/>
      </c>
    </row>
    <row r="116" customFormat="false" ht="16.5" hidden="false" customHeight="true" outlineLevel="0" collapsed="false">
      <c r="A116" s="23" t="str">
        <f aca="false">IF(PRESUPUESTO!$A112="Ítem",PRESUPUESTO!B112,"")</f>
        <v/>
      </c>
      <c r="B116" s="23" t="str">
        <f aca="false">IF(PRESUPUESTO!C112="","",PRESUPUESTO!C112)</f>
        <v/>
      </c>
      <c r="C116" s="86" t="str">
        <f aca="false">IF(PRESUPUESTO!$A112="Ítem",PRESUPUESTO!D112,"")</f>
        <v/>
      </c>
      <c r="D116" s="87" t="str">
        <f aca="false">IF(PRESUPUESTO!$A112&lt;&gt;"Ítem","",MAX(N(PRESUPUESTO!E112),N('CORTES CLIENTE'!L125)))</f>
        <v/>
      </c>
      <c r="E116" s="80"/>
      <c r="F116" s="87" t="str">
        <f aca="false">IF(D116="","",SUMIFS(GASTOS!$H$7:$H$5000,GASTOS!$F$7:$F$5000,$A116,GASTOS!$L$7:$L$5000,"Materiales y equipos"))</f>
        <v/>
      </c>
      <c r="G116" s="88" t="str">
        <f aca="false">IF(D116="","",N(E116)+F116)</f>
        <v/>
      </c>
      <c r="H116" s="88" t="str">
        <f aca="false">IF(OR(D116="",S116="Servicio"),"",MAX(0,D116-G116))</f>
        <v/>
      </c>
      <c r="I116" s="36" t="str">
        <f aca="false">IF(OR(D116="",S116="Servicio",N(D116)=0),"",MIN(1,G116/D116))</f>
        <v/>
      </c>
      <c r="J116" s="10" t="str">
        <f aca="false">IF(D116="","",PRESUPUESTO!O112)</f>
        <v/>
      </c>
      <c r="K116" s="10" t="str">
        <f aca="false">IF(D116="","",SUMIFS(GASTOS!$J$7:$J$5000,GASTOS!$F$7:$F$5000,$A116,GASTOS!$L$7:$L$5000,"Materiales y equipos"))</f>
        <v/>
      </c>
      <c r="L116" s="105" t="str">
        <f aca="false">IF(D116="","",COUNTIFS(GASTOS!$F$7:$F$5000,$A116,GASTOS!$L$7:$L$5000,"Materiales y equipos"))</f>
        <v/>
      </c>
      <c r="M116" s="10" t="str">
        <f aca="false">IF(OR(D116="",N(F116)=0),"",K116/F116)</f>
        <v/>
      </c>
      <c r="N116" s="10" t="str">
        <f aca="false">IF(OR(D116="",N(L116)=0),"",IFERROR(LOOKUP(2,1/((GASTOS!$F$7:$F$5000=$A116)*(GASTOS!$L$7:$L$5000="Materiales y equipos")*(GASTOS!$I$7:$I$5000&lt;&gt;"")),GASTOS!$I$7:$I$5000),""))</f>
        <v/>
      </c>
      <c r="O116" s="23" t="str">
        <f aca="false">IF(OR(D116="",N(L116)=0),"",IFERROR(LOOKUP(2,1/((GASTOS!$F$7:$F$5000=$A116)*(GASTOS!$L$7:$L$5000="Materiales y equipos")*(GASTOS!$I$7:$I$5000&lt;&gt;"")),GASTOS!$D$7:$D$5000),""))</f>
        <v/>
      </c>
      <c r="P116" s="10" t="str">
        <f aca="false">IF(D116="","",N(PRESUPUESTO!I112))</f>
        <v/>
      </c>
      <c r="Q116" s="36" t="str">
        <f aca="false">IF(OR(D116="",N116="",N(P116)=0),"",N116/P116-1)</f>
        <v/>
      </c>
      <c r="R116" s="10" t="str">
        <f aca="false">IF(OR(D116="",S116="Servicio"),"",H116*IF(N116&lt;&gt;"",N116,P116))</f>
        <v/>
      </c>
      <c r="S116" s="39" t="str">
        <f aca="false">IF(D116="","",IF(N(PRESUPUESTO!H112)=0,"Servicio",IF(G116=0,"Sin comprar",IF(G116&gt;=D116,"Comprado","Parcial"))))</f>
        <v/>
      </c>
      <c r="T116" s="86" t="str">
        <f aca="false">IF(AND(ISNUMBER(Q116),N(Q116)&gt;0.1),"Precio +"&amp;TEXT(Q116,"0%"),"")</f>
        <v/>
      </c>
      <c r="U116" s="0" t="str">
        <f aca="false">IF(OR(D116="",S116="Servicio"),"",MIN(G116,D116)*P116)</f>
        <v/>
      </c>
      <c r="V116" s="0" t="str">
        <f aca="false">IF(OR(D116="",S116="Servicio"),"",D116*P116)</f>
        <v/>
      </c>
    </row>
    <row r="117" customFormat="false" ht="16.5" hidden="false" customHeight="true" outlineLevel="0" collapsed="false">
      <c r="A117" s="23" t="str">
        <f aca="false">IF(PRESUPUESTO!$A113="Ítem",PRESUPUESTO!B113,"")</f>
        <v/>
      </c>
      <c r="B117" s="23" t="str">
        <f aca="false">IF(PRESUPUESTO!C113="","",PRESUPUESTO!C113)</f>
        <v/>
      </c>
      <c r="C117" s="86" t="str">
        <f aca="false">IF(PRESUPUESTO!$A113="Ítem",PRESUPUESTO!D113,"")</f>
        <v/>
      </c>
      <c r="D117" s="87" t="str">
        <f aca="false">IF(PRESUPUESTO!$A113&lt;&gt;"Ítem","",MAX(N(PRESUPUESTO!E113),N('CORTES CLIENTE'!L126)))</f>
        <v/>
      </c>
      <c r="E117" s="80"/>
      <c r="F117" s="87" t="str">
        <f aca="false">IF(D117="","",SUMIFS(GASTOS!$H$7:$H$5000,GASTOS!$F$7:$F$5000,$A117,GASTOS!$L$7:$L$5000,"Materiales y equipos"))</f>
        <v/>
      </c>
      <c r="G117" s="88" t="str">
        <f aca="false">IF(D117="","",N(E117)+F117)</f>
        <v/>
      </c>
      <c r="H117" s="88" t="str">
        <f aca="false">IF(OR(D117="",S117="Servicio"),"",MAX(0,D117-G117))</f>
        <v/>
      </c>
      <c r="I117" s="36" t="str">
        <f aca="false">IF(OR(D117="",S117="Servicio",N(D117)=0),"",MIN(1,G117/D117))</f>
        <v/>
      </c>
      <c r="J117" s="10" t="str">
        <f aca="false">IF(D117="","",PRESUPUESTO!O113)</f>
        <v/>
      </c>
      <c r="K117" s="10" t="str">
        <f aca="false">IF(D117="","",SUMIFS(GASTOS!$J$7:$J$5000,GASTOS!$F$7:$F$5000,$A117,GASTOS!$L$7:$L$5000,"Materiales y equipos"))</f>
        <v/>
      </c>
      <c r="L117" s="105" t="str">
        <f aca="false">IF(D117="","",COUNTIFS(GASTOS!$F$7:$F$5000,$A117,GASTOS!$L$7:$L$5000,"Materiales y equipos"))</f>
        <v/>
      </c>
      <c r="M117" s="10" t="str">
        <f aca="false">IF(OR(D117="",N(F117)=0),"",K117/F117)</f>
        <v/>
      </c>
      <c r="N117" s="10" t="str">
        <f aca="false">IF(OR(D117="",N(L117)=0),"",IFERROR(LOOKUP(2,1/((GASTOS!$F$7:$F$5000=$A117)*(GASTOS!$L$7:$L$5000="Materiales y equipos")*(GASTOS!$I$7:$I$5000&lt;&gt;"")),GASTOS!$I$7:$I$5000),""))</f>
        <v/>
      </c>
      <c r="O117" s="23" t="str">
        <f aca="false">IF(OR(D117="",N(L117)=0),"",IFERROR(LOOKUP(2,1/((GASTOS!$F$7:$F$5000=$A117)*(GASTOS!$L$7:$L$5000="Materiales y equipos")*(GASTOS!$I$7:$I$5000&lt;&gt;"")),GASTOS!$D$7:$D$5000),""))</f>
        <v/>
      </c>
      <c r="P117" s="10" t="str">
        <f aca="false">IF(D117="","",N(PRESUPUESTO!I113))</f>
        <v/>
      </c>
      <c r="Q117" s="36" t="str">
        <f aca="false">IF(OR(D117="",N117="",N(P117)=0),"",N117/P117-1)</f>
        <v/>
      </c>
      <c r="R117" s="10" t="str">
        <f aca="false">IF(OR(D117="",S117="Servicio"),"",H117*IF(N117&lt;&gt;"",N117,P117))</f>
        <v/>
      </c>
      <c r="S117" s="39" t="str">
        <f aca="false">IF(D117="","",IF(N(PRESUPUESTO!H113)=0,"Servicio",IF(G117=0,"Sin comprar",IF(G117&gt;=D117,"Comprado","Parcial"))))</f>
        <v/>
      </c>
      <c r="T117" s="86" t="str">
        <f aca="false">IF(AND(ISNUMBER(Q117),N(Q117)&gt;0.1),"Precio +"&amp;TEXT(Q117,"0%"),"")</f>
        <v/>
      </c>
      <c r="U117" s="0" t="str">
        <f aca="false">IF(OR(D117="",S117="Servicio"),"",MIN(G117,D117)*P117)</f>
        <v/>
      </c>
      <c r="V117" s="0" t="str">
        <f aca="false">IF(OR(D117="",S117="Servicio"),"",D117*P117)</f>
        <v/>
      </c>
    </row>
    <row r="118" customFormat="false" ht="16.5" hidden="false" customHeight="true" outlineLevel="0" collapsed="false">
      <c r="A118" s="23" t="str">
        <f aca="false">IF(PRESUPUESTO!$A114="Ítem",PRESUPUESTO!B114,"")</f>
        <v/>
      </c>
      <c r="B118" s="23" t="str">
        <f aca="false">IF(PRESUPUESTO!C114="","",PRESUPUESTO!C114)</f>
        <v/>
      </c>
      <c r="C118" s="86" t="str">
        <f aca="false">IF(PRESUPUESTO!$A114="Ítem",PRESUPUESTO!D114,"")</f>
        <v/>
      </c>
      <c r="D118" s="87" t="str">
        <f aca="false">IF(PRESUPUESTO!$A114&lt;&gt;"Ítem","",MAX(N(PRESUPUESTO!E114),N('CORTES CLIENTE'!L127)))</f>
        <v/>
      </c>
      <c r="E118" s="80"/>
      <c r="F118" s="87" t="str">
        <f aca="false">IF(D118="","",SUMIFS(GASTOS!$H$7:$H$5000,GASTOS!$F$7:$F$5000,$A118,GASTOS!$L$7:$L$5000,"Materiales y equipos"))</f>
        <v/>
      </c>
      <c r="G118" s="88" t="str">
        <f aca="false">IF(D118="","",N(E118)+F118)</f>
        <v/>
      </c>
      <c r="H118" s="88" t="str">
        <f aca="false">IF(OR(D118="",S118="Servicio"),"",MAX(0,D118-G118))</f>
        <v/>
      </c>
      <c r="I118" s="36" t="str">
        <f aca="false">IF(OR(D118="",S118="Servicio",N(D118)=0),"",MIN(1,G118/D118))</f>
        <v/>
      </c>
      <c r="J118" s="10" t="str">
        <f aca="false">IF(D118="","",PRESUPUESTO!O114)</f>
        <v/>
      </c>
      <c r="K118" s="10" t="str">
        <f aca="false">IF(D118="","",SUMIFS(GASTOS!$J$7:$J$5000,GASTOS!$F$7:$F$5000,$A118,GASTOS!$L$7:$L$5000,"Materiales y equipos"))</f>
        <v/>
      </c>
      <c r="L118" s="105" t="str">
        <f aca="false">IF(D118="","",COUNTIFS(GASTOS!$F$7:$F$5000,$A118,GASTOS!$L$7:$L$5000,"Materiales y equipos"))</f>
        <v/>
      </c>
      <c r="M118" s="10" t="str">
        <f aca="false">IF(OR(D118="",N(F118)=0),"",K118/F118)</f>
        <v/>
      </c>
      <c r="N118" s="10" t="str">
        <f aca="false">IF(OR(D118="",N(L118)=0),"",IFERROR(LOOKUP(2,1/((GASTOS!$F$7:$F$5000=$A118)*(GASTOS!$L$7:$L$5000="Materiales y equipos")*(GASTOS!$I$7:$I$5000&lt;&gt;"")),GASTOS!$I$7:$I$5000),""))</f>
        <v/>
      </c>
      <c r="O118" s="23" t="str">
        <f aca="false">IF(OR(D118="",N(L118)=0),"",IFERROR(LOOKUP(2,1/((GASTOS!$F$7:$F$5000=$A118)*(GASTOS!$L$7:$L$5000="Materiales y equipos")*(GASTOS!$I$7:$I$5000&lt;&gt;"")),GASTOS!$D$7:$D$5000),""))</f>
        <v/>
      </c>
      <c r="P118" s="10" t="str">
        <f aca="false">IF(D118="","",N(PRESUPUESTO!I114))</f>
        <v/>
      </c>
      <c r="Q118" s="36" t="str">
        <f aca="false">IF(OR(D118="",N118="",N(P118)=0),"",N118/P118-1)</f>
        <v/>
      </c>
      <c r="R118" s="10" t="str">
        <f aca="false">IF(OR(D118="",S118="Servicio"),"",H118*IF(N118&lt;&gt;"",N118,P118))</f>
        <v/>
      </c>
      <c r="S118" s="39" t="str">
        <f aca="false">IF(D118="","",IF(N(PRESUPUESTO!H114)=0,"Servicio",IF(G118=0,"Sin comprar",IF(G118&gt;=D118,"Comprado","Parcial"))))</f>
        <v/>
      </c>
      <c r="T118" s="86" t="str">
        <f aca="false">IF(AND(ISNUMBER(Q118),N(Q118)&gt;0.1),"Precio +"&amp;TEXT(Q118,"0%"),"")</f>
        <v/>
      </c>
      <c r="U118" s="0" t="str">
        <f aca="false">IF(OR(D118="",S118="Servicio"),"",MIN(G118,D118)*P118)</f>
        <v/>
      </c>
      <c r="V118" s="0" t="str">
        <f aca="false">IF(OR(D118="",S118="Servicio"),"",D118*P118)</f>
        <v/>
      </c>
    </row>
    <row r="119" customFormat="false" ht="16.5" hidden="false" customHeight="true" outlineLevel="0" collapsed="false">
      <c r="A119" s="23" t="str">
        <f aca="false">IF(PRESUPUESTO!$A115="Ítem",PRESUPUESTO!B115,"")</f>
        <v/>
      </c>
      <c r="B119" s="23" t="str">
        <f aca="false">IF(PRESUPUESTO!C115="","",PRESUPUESTO!C115)</f>
        <v/>
      </c>
      <c r="C119" s="86" t="str">
        <f aca="false">IF(PRESUPUESTO!$A115="Ítem",PRESUPUESTO!D115,"")</f>
        <v/>
      </c>
      <c r="D119" s="87" t="str">
        <f aca="false">IF(PRESUPUESTO!$A115&lt;&gt;"Ítem","",MAX(N(PRESUPUESTO!E115),N('CORTES CLIENTE'!L128)))</f>
        <v/>
      </c>
      <c r="E119" s="80"/>
      <c r="F119" s="87" t="str">
        <f aca="false">IF(D119="","",SUMIFS(GASTOS!$H$7:$H$5000,GASTOS!$F$7:$F$5000,$A119,GASTOS!$L$7:$L$5000,"Materiales y equipos"))</f>
        <v/>
      </c>
      <c r="G119" s="88" t="str">
        <f aca="false">IF(D119="","",N(E119)+F119)</f>
        <v/>
      </c>
      <c r="H119" s="88" t="str">
        <f aca="false">IF(OR(D119="",S119="Servicio"),"",MAX(0,D119-G119))</f>
        <v/>
      </c>
      <c r="I119" s="36" t="str">
        <f aca="false">IF(OR(D119="",S119="Servicio",N(D119)=0),"",MIN(1,G119/D119))</f>
        <v/>
      </c>
      <c r="J119" s="10" t="str">
        <f aca="false">IF(D119="","",PRESUPUESTO!O115)</f>
        <v/>
      </c>
      <c r="K119" s="10" t="str">
        <f aca="false">IF(D119="","",SUMIFS(GASTOS!$J$7:$J$5000,GASTOS!$F$7:$F$5000,$A119,GASTOS!$L$7:$L$5000,"Materiales y equipos"))</f>
        <v/>
      </c>
      <c r="L119" s="105" t="str">
        <f aca="false">IF(D119="","",COUNTIFS(GASTOS!$F$7:$F$5000,$A119,GASTOS!$L$7:$L$5000,"Materiales y equipos"))</f>
        <v/>
      </c>
      <c r="M119" s="10" t="str">
        <f aca="false">IF(OR(D119="",N(F119)=0),"",K119/F119)</f>
        <v/>
      </c>
      <c r="N119" s="10" t="str">
        <f aca="false">IF(OR(D119="",N(L119)=0),"",IFERROR(LOOKUP(2,1/((GASTOS!$F$7:$F$5000=$A119)*(GASTOS!$L$7:$L$5000="Materiales y equipos")*(GASTOS!$I$7:$I$5000&lt;&gt;"")),GASTOS!$I$7:$I$5000),""))</f>
        <v/>
      </c>
      <c r="O119" s="23" t="str">
        <f aca="false">IF(OR(D119="",N(L119)=0),"",IFERROR(LOOKUP(2,1/((GASTOS!$F$7:$F$5000=$A119)*(GASTOS!$L$7:$L$5000="Materiales y equipos")*(GASTOS!$I$7:$I$5000&lt;&gt;"")),GASTOS!$D$7:$D$5000),""))</f>
        <v/>
      </c>
      <c r="P119" s="10" t="str">
        <f aca="false">IF(D119="","",N(PRESUPUESTO!I115))</f>
        <v/>
      </c>
      <c r="Q119" s="36" t="str">
        <f aca="false">IF(OR(D119="",N119="",N(P119)=0),"",N119/P119-1)</f>
        <v/>
      </c>
      <c r="R119" s="10" t="str">
        <f aca="false">IF(OR(D119="",S119="Servicio"),"",H119*IF(N119&lt;&gt;"",N119,P119))</f>
        <v/>
      </c>
      <c r="S119" s="39" t="str">
        <f aca="false">IF(D119="","",IF(N(PRESUPUESTO!H115)=0,"Servicio",IF(G119=0,"Sin comprar",IF(G119&gt;=D119,"Comprado","Parcial"))))</f>
        <v/>
      </c>
      <c r="T119" s="86" t="str">
        <f aca="false">IF(AND(ISNUMBER(Q119),N(Q119)&gt;0.1),"Precio +"&amp;TEXT(Q119,"0%"),"")</f>
        <v/>
      </c>
      <c r="U119" s="0" t="str">
        <f aca="false">IF(OR(D119="",S119="Servicio"),"",MIN(G119,D119)*P119)</f>
        <v/>
      </c>
      <c r="V119" s="0" t="str">
        <f aca="false">IF(OR(D119="",S119="Servicio"),"",D119*P119)</f>
        <v/>
      </c>
    </row>
    <row r="120" customFormat="false" ht="16.5" hidden="false" customHeight="true" outlineLevel="0" collapsed="false">
      <c r="A120" s="23" t="str">
        <f aca="false">IF(PRESUPUESTO!$A116="Ítem",PRESUPUESTO!B116,"")</f>
        <v/>
      </c>
      <c r="B120" s="23" t="str">
        <f aca="false">IF(PRESUPUESTO!C116="","",PRESUPUESTO!C116)</f>
        <v/>
      </c>
      <c r="C120" s="86" t="str">
        <f aca="false">IF(PRESUPUESTO!$A116="Ítem",PRESUPUESTO!D116,"")</f>
        <v/>
      </c>
      <c r="D120" s="87" t="str">
        <f aca="false">IF(PRESUPUESTO!$A116&lt;&gt;"Ítem","",MAX(N(PRESUPUESTO!E116),N('CORTES CLIENTE'!L129)))</f>
        <v/>
      </c>
      <c r="E120" s="80"/>
      <c r="F120" s="87" t="str">
        <f aca="false">IF(D120="","",SUMIFS(GASTOS!$H$7:$H$5000,GASTOS!$F$7:$F$5000,$A120,GASTOS!$L$7:$L$5000,"Materiales y equipos"))</f>
        <v/>
      </c>
      <c r="G120" s="88" t="str">
        <f aca="false">IF(D120="","",N(E120)+F120)</f>
        <v/>
      </c>
      <c r="H120" s="88" t="str">
        <f aca="false">IF(OR(D120="",S120="Servicio"),"",MAX(0,D120-G120))</f>
        <v/>
      </c>
      <c r="I120" s="36" t="str">
        <f aca="false">IF(OR(D120="",S120="Servicio",N(D120)=0),"",MIN(1,G120/D120))</f>
        <v/>
      </c>
      <c r="J120" s="10" t="str">
        <f aca="false">IF(D120="","",PRESUPUESTO!O116)</f>
        <v/>
      </c>
      <c r="K120" s="10" t="str">
        <f aca="false">IF(D120="","",SUMIFS(GASTOS!$J$7:$J$5000,GASTOS!$F$7:$F$5000,$A120,GASTOS!$L$7:$L$5000,"Materiales y equipos"))</f>
        <v/>
      </c>
      <c r="L120" s="105" t="str">
        <f aca="false">IF(D120="","",COUNTIFS(GASTOS!$F$7:$F$5000,$A120,GASTOS!$L$7:$L$5000,"Materiales y equipos"))</f>
        <v/>
      </c>
      <c r="M120" s="10" t="str">
        <f aca="false">IF(OR(D120="",N(F120)=0),"",K120/F120)</f>
        <v/>
      </c>
      <c r="N120" s="10" t="str">
        <f aca="false">IF(OR(D120="",N(L120)=0),"",IFERROR(LOOKUP(2,1/((GASTOS!$F$7:$F$5000=$A120)*(GASTOS!$L$7:$L$5000="Materiales y equipos")*(GASTOS!$I$7:$I$5000&lt;&gt;"")),GASTOS!$I$7:$I$5000),""))</f>
        <v/>
      </c>
      <c r="O120" s="23" t="str">
        <f aca="false">IF(OR(D120="",N(L120)=0),"",IFERROR(LOOKUP(2,1/((GASTOS!$F$7:$F$5000=$A120)*(GASTOS!$L$7:$L$5000="Materiales y equipos")*(GASTOS!$I$7:$I$5000&lt;&gt;"")),GASTOS!$D$7:$D$5000),""))</f>
        <v/>
      </c>
      <c r="P120" s="10" t="str">
        <f aca="false">IF(D120="","",N(PRESUPUESTO!I116))</f>
        <v/>
      </c>
      <c r="Q120" s="36" t="str">
        <f aca="false">IF(OR(D120="",N120="",N(P120)=0),"",N120/P120-1)</f>
        <v/>
      </c>
      <c r="R120" s="10" t="str">
        <f aca="false">IF(OR(D120="",S120="Servicio"),"",H120*IF(N120&lt;&gt;"",N120,P120))</f>
        <v/>
      </c>
      <c r="S120" s="39" t="str">
        <f aca="false">IF(D120="","",IF(N(PRESUPUESTO!H116)=0,"Servicio",IF(G120=0,"Sin comprar",IF(G120&gt;=D120,"Comprado","Parcial"))))</f>
        <v/>
      </c>
      <c r="T120" s="86" t="str">
        <f aca="false">IF(AND(ISNUMBER(Q120),N(Q120)&gt;0.1),"Precio +"&amp;TEXT(Q120,"0%"),"")</f>
        <v/>
      </c>
      <c r="U120" s="0" t="str">
        <f aca="false">IF(OR(D120="",S120="Servicio"),"",MIN(G120,D120)*P120)</f>
        <v/>
      </c>
      <c r="V120" s="0" t="str">
        <f aca="false">IF(OR(D120="",S120="Servicio"),"",D120*P120)</f>
        <v/>
      </c>
    </row>
    <row r="121" customFormat="false" ht="16.5" hidden="false" customHeight="true" outlineLevel="0" collapsed="false">
      <c r="A121" s="23" t="str">
        <f aca="false">IF(PRESUPUESTO!$A117="Ítem",PRESUPUESTO!B117,"")</f>
        <v/>
      </c>
      <c r="B121" s="23" t="str">
        <f aca="false">IF(PRESUPUESTO!C117="","",PRESUPUESTO!C117)</f>
        <v/>
      </c>
      <c r="C121" s="86" t="str">
        <f aca="false">IF(PRESUPUESTO!$A117="Ítem",PRESUPUESTO!D117,"")</f>
        <v/>
      </c>
      <c r="D121" s="87" t="str">
        <f aca="false">IF(PRESUPUESTO!$A117&lt;&gt;"Ítem","",MAX(N(PRESUPUESTO!E117),N('CORTES CLIENTE'!L130)))</f>
        <v/>
      </c>
      <c r="E121" s="80"/>
      <c r="F121" s="87" t="str">
        <f aca="false">IF(D121="","",SUMIFS(GASTOS!$H$7:$H$5000,GASTOS!$F$7:$F$5000,$A121,GASTOS!$L$7:$L$5000,"Materiales y equipos"))</f>
        <v/>
      </c>
      <c r="G121" s="88" t="str">
        <f aca="false">IF(D121="","",N(E121)+F121)</f>
        <v/>
      </c>
      <c r="H121" s="88" t="str">
        <f aca="false">IF(OR(D121="",S121="Servicio"),"",MAX(0,D121-G121))</f>
        <v/>
      </c>
      <c r="I121" s="36" t="str">
        <f aca="false">IF(OR(D121="",S121="Servicio",N(D121)=0),"",MIN(1,G121/D121))</f>
        <v/>
      </c>
      <c r="J121" s="10" t="str">
        <f aca="false">IF(D121="","",PRESUPUESTO!O117)</f>
        <v/>
      </c>
      <c r="K121" s="10" t="str">
        <f aca="false">IF(D121="","",SUMIFS(GASTOS!$J$7:$J$5000,GASTOS!$F$7:$F$5000,$A121,GASTOS!$L$7:$L$5000,"Materiales y equipos"))</f>
        <v/>
      </c>
      <c r="L121" s="105" t="str">
        <f aca="false">IF(D121="","",COUNTIFS(GASTOS!$F$7:$F$5000,$A121,GASTOS!$L$7:$L$5000,"Materiales y equipos"))</f>
        <v/>
      </c>
      <c r="M121" s="10" t="str">
        <f aca="false">IF(OR(D121="",N(F121)=0),"",K121/F121)</f>
        <v/>
      </c>
      <c r="N121" s="10" t="str">
        <f aca="false">IF(OR(D121="",N(L121)=0),"",IFERROR(LOOKUP(2,1/((GASTOS!$F$7:$F$5000=$A121)*(GASTOS!$L$7:$L$5000="Materiales y equipos")*(GASTOS!$I$7:$I$5000&lt;&gt;"")),GASTOS!$I$7:$I$5000),""))</f>
        <v/>
      </c>
      <c r="O121" s="23" t="str">
        <f aca="false">IF(OR(D121="",N(L121)=0),"",IFERROR(LOOKUP(2,1/((GASTOS!$F$7:$F$5000=$A121)*(GASTOS!$L$7:$L$5000="Materiales y equipos")*(GASTOS!$I$7:$I$5000&lt;&gt;"")),GASTOS!$D$7:$D$5000),""))</f>
        <v/>
      </c>
      <c r="P121" s="10" t="str">
        <f aca="false">IF(D121="","",N(PRESUPUESTO!I117))</f>
        <v/>
      </c>
      <c r="Q121" s="36" t="str">
        <f aca="false">IF(OR(D121="",N121="",N(P121)=0),"",N121/P121-1)</f>
        <v/>
      </c>
      <c r="R121" s="10" t="str">
        <f aca="false">IF(OR(D121="",S121="Servicio"),"",H121*IF(N121&lt;&gt;"",N121,P121))</f>
        <v/>
      </c>
      <c r="S121" s="39" t="str">
        <f aca="false">IF(D121="","",IF(N(PRESUPUESTO!H117)=0,"Servicio",IF(G121=0,"Sin comprar",IF(G121&gt;=D121,"Comprado","Parcial"))))</f>
        <v/>
      </c>
      <c r="T121" s="86" t="str">
        <f aca="false">IF(AND(ISNUMBER(Q121),N(Q121)&gt;0.1),"Precio +"&amp;TEXT(Q121,"0%"),"")</f>
        <v/>
      </c>
      <c r="U121" s="0" t="str">
        <f aca="false">IF(OR(D121="",S121="Servicio"),"",MIN(G121,D121)*P121)</f>
        <v/>
      </c>
      <c r="V121" s="0" t="str">
        <f aca="false">IF(OR(D121="",S121="Servicio"),"",D121*P121)</f>
        <v/>
      </c>
    </row>
    <row r="122" customFormat="false" ht="16.5" hidden="false" customHeight="true" outlineLevel="0" collapsed="false">
      <c r="A122" s="23" t="str">
        <f aca="false">IF(PRESUPUESTO!$A118="Ítem",PRESUPUESTO!B118,"")</f>
        <v/>
      </c>
      <c r="B122" s="23" t="str">
        <f aca="false">IF(PRESUPUESTO!C118="","",PRESUPUESTO!C118)</f>
        <v/>
      </c>
      <c r="C122" s="86" t="str">
        <f aca="false">IF(PRESUPUESTO!$A118="Ítem",PRESUPUESTO!D118,"")</f>
        <v/>
      </c>
      <c r="D122" s="87" t="str">
        <f aca="false">IF(PRESUPUESTO!$A118&lt;&gt;"Ítem","",MAX(N(PRESUPUESTO!E118),N('CORTES CLIENTE'!L131)))</f>
        <v/>
      </c>
      <c r="E122" s="80"/>
      <c r="F122" s="87" t="str">
        <f aca="false">IF(D122="","",SUMIFS(GASTOS!$H$7:$H$5000,GASTOS!$F$7:$F$5000,$A122,GASTOS!$L$7:$L$5000,"Materiales y equipos"))</f>
        <v/>
      </c>
      <c r="G122" s="88" t="str">
        <f aca="false">IF(D122="","",N(E122)+F122)</f>
        <v/>
      </c>
      <c r="H122" s="88" t="str">
        <f aca="false">IF(OR(D122="",S122="Servicio"),"",MAX(0,D122-G122))</f>
        <v/>
      </c>
      <c r="I122" s="36" t="str">
        <f aca="false">IF(OR(D122="",S122="Servicio",N(D122)=0),"",MIN(1,G122/D122))</f>
        <v/>
      </c>
      <c r="J122" s="10" t="str">
        <f aca="false">IF(D122="","",PRESUPUESTO!O118)</f>
        <v/>
      </c>
      <c r="K122" s="10" t="str">
        <f aca="false">IF(D122="","",SUMIFS(GASTOS!$J$7:$J$5000,GASTOS!$F$7:$F$5000,$A122,GASTOS!$L$7:$L$5000,"Materiales y equipos"))</f>
        <v/>
      </c>
      <c r="L122" s="105" t="str">
        <f aca="false">IF(D122="","",COUNTIFS(GASTOS!$F$7:$F$5000,$A122,GASTOS!$L$7:$L$5000,"Materiales y equipos"))</f>
        <v/>
      </c>
      <c r="M122" s="10" t="str">
        <f aca="false">IF(OR(D122="",N(F122)=0),"",K122/F122)</f>
        <v/>
      </c>
      <c r="N122" s="10" t="str">
        <f aca="false">IF(OR(D122="",N(L122)=0),"",IFERROR(LOOKUP(2,1/((GASTOS!$F$7:$F$5000=$A122)*(GASTOS!$L$7:$L$5000="Materiales y equipos")*(GASTOS!$I$7:$I$5000&lt;&gt;"")),GASTOS!$I$7:$I$5000),""))</f>
        <v/>
      </c>
      <c r="O122" s="23" t="str">
        <f aca="false">IF(OR(D122="",N(L122)=0),"",IFERROR(LOOKUP(2,1/((GASTOS!$F$7:$F$5000=$A122)*(GASTOS!$L$7:$L$5000="Materiales y equipos")*(GASTOS!$I$7:$I$5000&lt;&gt;"")),GASTOS!$D$7:$D$5000),""))</f>
        <v/>
      </c>
      <c r="P122" s="10" t="str">
        <f aca="false">IF(D122="","",N(PRESUPUESTO!I118))</f>
        <v/>
      </c>
      <c r="Q122" s="36" t="str">
        <f aca="false">IF(OR(D122="",N122="",N(P122)=0),"",N122/P122-1)</f>
        <v/>
      </c>
      <c r="R122" s="10" t="str">
        <f aca="false">IF(OR(D122="",S122="Servicio"),"",H122*IF(N122&lt;&gt;"",N122,P122))</f>
        <v/>
      </c>
      <c r="S122" s="39" t="str">
        <f aca="false">IF(D122="","",IF(N(PRESUPUESTO!H118)=0,"Servicio",IF(G122=0,"Sin comprar",IF(G122&gt;=D122,"Comprado","Parcial"))))</f>
        <v/>
      </c>
      <c r="T122" s="86" t="str">
        <f aca="false">IF(AND(ISNUMBER(Q122),N(Q122)&gt;0.1),"Precio +"&amp;TEXT(Q122,"0%"),"")</f>
        <v/>
      </c>
      <c r="U122" s="0" t="str">
        <f aca="false">IF(OR(D122="",S122="Servicio"),"",MIN(G122,D122)*P122)</f>
        <v/>
      </c>
      <c r="V122" s="0" t="str">
        <f aca="false">IF(OR(D122="",S122="Servicio"),"",D122*P122)</f>
        <v/>
      </c>
    </row>
    <row r="123" customFormat="false" ht="16.5" hidden="false" customHeight="true" outlineLevel="0" collapsed="false">
      <c r="A123" s="23" t="str">
        <f aca="false">IF(PRESUPUESTO!$A119="Ítem",PRESUPUESTO!B119,"")</f>
        <v/>
      </c>
      <c r="B123" s="23" t="str">
        <f aca="false">IF(PRESUPUESTO!C119="","",PRESUPUESTO!C119)</f>
        <v/>
      </c>
      <c r="C123" s="86" t="str">
        <f aca="false">IF(PRESUPUESTO!$A119="Ítem",PRESUPUESTO!D119,"")</f>
        <v/>
      </c>
      <c r="D123" s="87" t="str">
        <f aca="false">IF(PRESUPUESTO!$A119&lt;&gt;"Ítem","",MAX(N(PRESUPUESTO!E119),N('CORTES CLIENTE'!L132)))</f>
        <v/>
      </c>
      <c r="E123" s="80"/>
      <c r="F123" s="87" t="str">
        <f aca="false">IF(D123="","",SUMIFS(GASTOS!$H$7:$H$5000,GASTOS!$F$7:$F$5000,$A123,GASTOS!$L$7:$L$5000,"Materiales y equipos"))</f>
        <v/>
      </c>
      <c r="G123" s="88" t="str">
        <f aca="false">IF(D123="","",N(E123)+F123)</f>
        <v/>
      </c>
      <c r="H123" s="88" t="str">
        <f aca="false">IF(OR(D123="",S123="Servicio"),"",MAX(0,D123-G123))</f>
        <v/>
      </c>
      <c r="I123" s="36" t="str">
        <f aca="false">IF(OR(D123="",S123="Servicio",N(D123)=0),"",MIN(1,G123/D123))</f>
        <v/>
      </c>
      <c r="J123" s="10" t="str">
        <f aca="false">IF(D123="","",PRESUPUESTO!O119)</f>
        <v/>
      </c>
      <c r="K123" s="10" t="str">
        <f aca="false">IF(D123="","",SUMIFS(GASTOS!$J$7:$J$5000,GASTOS!$F$7:$F$5000,$A123,GASTOS!$L$7:$L$5000,"Materiales y equipos"))</f>
        <v/>
      </c>
      <c r="L123" s="105" t="str">
        <f aca="false">IF(D123="","",COUNTIFS(GASTOS!$F$7:$F$5000,$A123,GASTOS!$L$7:$L$5000,"Materiales y equipos"))</f>
        <v/>
      </c>
      <c r="M123" s="10" t="str">
        <f aca="false">IF(OR(D123="",N(F123)=0),"",K123/F123)</f>
        <v/>
      </c>
      <c r="N123" s="10" t="str">
        <f aca="false">IF(OR(D123="",N(L123)=0),"",IFERROR(LOOKUP(2,1/((GASTOS!$F$7:$F$5000=$A123)*(GASTOS!$L$7:$L$5000="Materiales y equipos")*(GASTOS!$I$7:$I$5000&lt;&gt;"")),GASTOS!$I$7:$I$5000),""))</f>
        <v/>
      </c>
      <c r="O123" s="23" t="str">
        <f aca="false">IF(OR(D123="",N(L123)=0),"",IFERROR(LOOKUP(2,1/((GASTOS!$F$7:$F$5000=$A123)*(GASTOS!$L$7:$L$5000="Materiales y equipos")*(GASTOS!$I$7:$I$5000&lt;&gt;"")),GASTOS!$D$7:$D$5000),""))</f>
        <v/>
      </c>
      <c r="P123" s="10" t="str">
        <f aca="false">IF(D123="","",N(PRESUPUESTO!I119))</f>
        <v/>
      </c>
      <c r="Q123" s="36" t="str">
        <f aca="false">IF(OR(D123="",N123="",N(P123)=0),"",N123/P123-1)</f>
        <v/>
      </c>
      <c r="R123" s="10" t="str">
        <f aca="false">IF(OR(D123="",S123="Servicio"),"",H123*IF(N123&lt;&gt;"",N123,P123))</f>
        <v/>
      </c>
      <c r="S123" s="39" t="str">
        <f aca="false">IF(D123="","",IF(N(PRESUPUESTO!H119)=0,"Servicio",IF(G123=0,"Sin comprar",IF(G123&gt;=D123,"Comprado","Parcial"))))</f>
        <v/>
      </c>
      <c r="T123" s="86" t="str">
        <f aca="false">IF(AND(ISNUMBER(Q123),N(Q123)&gt;0.1),"Precio +"&amp;TEXT(Q123,"0%"),"")</f>
        <v/>
      </c>
      <c r="U123" s="0" t="str">
        <f aca="false">IF(OR(D123="",S123="Servicio"),"",MIN(G123,D123)*P123)</f>
        <v/>
      </c>
      <c r="V123" s="0" t="str">
        <f aca="false">IF(OR(D123="",S123="Servicio"),"",D123*P123)</f>
        <v/>
      </c>
    </row>
    <row r="124" customFormat="false" ht="16.5" hidden="false" customHeight="true" outlineLevel="0" collapsed="false">
      <c r="A124" s="23" t="str">
        <f aca="false">IF(PRESUPUESTO!$A120="Ítem",PRESUPUESTO!B120,"")</f>
        <v/>
      </c>
      <c r="B124" s="23" t="str">
        <f aca="false">IF(PRESUPUESTO!C120="","",PRESUPUESTO!C120)</f>
        <v/>
      </c>
      <c r="C124" s="86" t="str">
        <f aca="false">IF(PRESUPUESTO!$A120="Ítem",PRESUPUESTO!D120,"")</f>
        <v/>
      </c>
      <c r="D124" s="87" t="str">
        <f aca="false">IF(PRESUPUESTO!$A120&lt;&gt;"Ítem","",MAX(N(PRESUPUESTO!E120),N('CORTES CLIENTE'!L133)))</f>
        <v/>
      </c>
      <c r="E124" s="80"/>
      <c r="F124" s="87" t="str">
        <f aca="false">IF(D124="","",SUMIFS(GASTOS!$H$7:$H$5000,GASTOS!$F$7:$F$5000,$A124,GASTOS!$L$7:$L$5000,"Materiales y equipos"))</f>
        <v/>
      </c>
      <c r="G124" s="88" t="str">
        <f aca="false">IF(D124="","",N(E124)+F124)</f>
        <v/>
      </c>
      <c r="H124" s="88" t="str">
        <f aca="false">IF(OR(D124="",S124="Servicio"),"",MAX(0,D124-G124))</f>
        <v/>
      </c>
      <c r="I124" s="36" t="str">
        <f aca="false">IF(OR(D124="",S124="Servicio",N(D124)=0),"",MIN(1,G124/D124))</f>
        <v/>
      </c>
      <c r="J124" s="10" t="str">
        <f aca="false">IF(D124="","",PRESUPUESTO!O120)</f>
        <v/>
      </c>
      <c r="K124" s="10" t="str">
        <f aca="false">IF(D124="","",SUMIFS(GASTOS!$J$7:$J$5000,GASTOS!$F$7:$F$5000,$A124,GASTOS!$L$7:$L$5000,"Materiales y equipos"))</f>
        <v/>
      </c>
      <c r="L124" s="105" t="str">
        <f aca="false">IF(D124="","",COUNTIFS(GASTOS!$F$7:$F$5000,$A124,GASTOS!$L$7:$L$5000,"Materiales y equipos"))</f>
        <v/>
      </c>
      <c r="M124" s="10" t="str">
        <f aca="false">IF(OR(D124="",N(F124)=0),"",K124/F124)</f>
        <v/>
      </c>
      <c r="N124" s="10" t="str">
        <f aca="false">IF(OR(D124="",N(L124)=0),"",IFERROR(LOOKUP(2,1/((GASTOS!$F$7:$F$5000=$A124)*(GASTOS!$L$7:$L$5000="Materiales y equipos")*(GASTOS!$I$7:$I$5000&lt;&gt;"")),GASTOS!$I$7:$I$5000),""))</f>
        <v/>
      </c>
      <c r="O124" s="23" t="str">
        <f aca="false">IF(OR(D124="",N(L124)=0),"",IFERROR(LOOKUP(2,1/((GASTOS!$F$7:$F$5000=$A124)*(GASTOS!$L$7:$L$5000="Materiales y equipos")*(GASTOS!$I$7:$I$5000&lt;&gt;"")),GASTOS!$D$7:$D$5000),""))</f>
        <v/>
      </c>
      <c r="P124" s="10" t="str">
        <f aca="false">IF(D124="","",N(PRESUPUESTO!I120))</f>
        <v/>
      </c>
      <c r="Q124" s="36" t="str">
        <f aca="false">IF(OR(D124="",N124="",N(P124)=0),"",N124/P124-1)</f>
        <v/>
      </c>
      <c r="R124" s="10" t="str">
        <f aca="false">IF(OR(D124="",S124="Servicio"),"",H124*IF(N124&lt;&gt;"",N124,P124))</f>
        <v/>
      </c>
      <c r="S124" s="39" t="str">
        <f aca="false">IF(D124="","",IF(N(PRESUPUESTO!H120)=0,"Servicio",IF(G124=0,"Sin comprar",IF(G124&gt;=D124,"Comprado","Parcial"))))</f>
        <v/>
      </c>
      <c r="T124" s="86" t="str">
        <f aca="false">IF(AND(ISNUMBER(Q124),N(Q124)&gt;0.1),"Precio +"&amp;TEXT(Q124,"0%"),"")</f>
        <v/>
      </c>
      <c r="U124" s="0" t="str">
        <f aca="false">IF(OR(D124="",S124="Servicio"),"",MIN(G124,D124)*P124)</f>
        <v/>
      </c>
      <c r="V124" s="0" t="str">
        <f aca="false">IF(OR(D124="",S124="Servicio"),"",D124*P124)</f>
        <v/>
      </c>
    </row>
    <row r="125" customFormat="false" ht="16.5" hidden="false" customHeight="true" outlineLevel="0" collapsed="false">
      <c r="A125" s="23" t="str">
        <f aca="false">IF(PRESUPUESTO!$A121="Ítem",PRESUPUESTO!B121,"")</f>
        <v/>
      </c>
      <c r="B125" s="23" t="str">
        <f aca="false">IF(PRESUPUESTO!C121="","",PRESUPUESTO!C121)</f>
        <v/>
      </c>
      <c r="C125" s="86" t="str">
        <f aca="false">IF(PRESUPUESTO!$A121="Ítem",PRESUPUESTO!D121,"")</f>
        <v/>
      </c>
      <c r="D125" s="87" t="str">
        <f aca="false">IF(PRESUPUESTO!$A121&lt;&gt;"Ítem","",MAX(N(PRESUPUESTO!E121),N('CORTES CLIENTE'!L134)))</f>
        <v/>
      </c>
      <c r="E125" s="80"/>
      <c r="F125" s="87" t="str">
        <f aca="false">IF(D125="","",SUMIFS(GASTOS!$H$7:$H$5000,GASTOS!$F$7:$F$5000,$A125,GASTOS!$L$7:$L$5000,"Materiales y equipos"))</f>
        <v/>
      </c>
      <c r="G125" s="88" t="str">
        <f aca="false">IF(D125="","",N(E125)+F125)</f>
        <v/>
      </c>
      <c r="H125" s="88" t="str">
        <f aca="false">IF(OR(D125="",S125="Servicio"),"",MAX(0,D125-G125))</f>
        <v/>
      </c>
      <c r="I125" s="36" t="str">
        <f aca="false">IF(OR(D125="",S125="Servicio",N(D125)=0),"",MIN(1,G125/D125))</f>
        <v/>
      </c>
      <c r="J125" s="10" t="str">
        <f aca="false">IF(D125="","",PRESUPUESTO!O121)</f>
        <v/>
      </c>
      <c r="K125" s="10" t="str">
        <f aca="false">IF(D125="","",SUMIFS(GASTOS!$J$7:$J$5000,GASTOS!$F$7:$F$5000,$A125,GASTOS!$L$7:$L$5000,"Materiales y equipos"))</f>
        <v/>
      </c>
      <c r="L125" s="105" t="str">
        <f aca="false">IF(D125="","",COUNTIFS(GASTOS!$F$7:$F$5000,$A125,GASTOS!$L$7:$L$5000,"Materiales y equipos"))</f>
        <v/>
      </c>
      <c r="M125" s="10" t="str">
        <f aca="false">IF(OR(D125="",N(F125)=0),"",K125/F125)</f>
        <v/>
      </c>
      <c r="N125" s="10" t="str">
        <f aca="false">IF(OR(D125="",N(L125)=0),"",IFERROR(LOOKUP(2,1/((GASTOS!$F$7:$F$5000=$A125)*(GASTOS!$L$7:$L$5000="Materiales y equipos")*(GASTOS!$I$7:$I$5000&lt;&gt;"")),GASTOS!$I$7:$I$5000),""))</f>
        <v/>
      </c>
      <c r="O125" s="23" t="str">
        <f aca="false">IF(OR(D125="",N(L125)=0),"",IFERROR(LOOKUP(2,1/((GASTOS!$F$7:$F$5000=$A125)*(GASTOS!$L$7:$L$5000="Materiales y equipos")*(GASTOS!$I$7:$I$5000&lt;&gt;"")),GASTOS!$D$7:$D$5000),""))</f>
        <v/>
      </c>
      <c r="P125" s="10" t="str">
        <f aca="false">IF(D125="","",N(PRESUPUESTO!I121))</f>
        <v/>
      </c>
      <c r="Q125" s="36" t="str">
        <f aca="false">IF(OR(D125="",N125="",N(P125)=0),"",N125/P125-1)</f>
        <v/>
      </c>
      <c r="R125" s="10" t="str">
        <f aca="false">IF(OR(D125="",S125="Servicio"),"",H125*IF(N125&lt;&gt;"",N125,P125))</f>
        <v/>
      </c>
      <c r="S125" s="39" t="str">
        <f aca="false">IF(D125="","",IF(N(PRESUPUESTO!H121)=0,"Servicio",IF(G125=0,"Sin comprar",IF(G125&gt;=D125,"Comprado","Parcial"))))</f>
        <v/>
      </c>
      <c r="T125" s="86" t="str">
        <f aca="false">IF(AND(ISNUMBER(Q125),N(Q125)&gt;0.1),"Precio +"&amp;TEXT(Q125,"0%"),"")</f>
        <v/>
      </c>
      <c r="U125" s="0" t="str">
        <f aca="false">IF(OR(D125="",S125="Servicio"),"",MIN(G125,D125)*P125)</f>
        <v/>
      </c>
      <c r="V125" s="0" t="str">
        <f aca="false">IF(OR(D125="",S125="Servicio"),"",D125*P125)</f>
        <v/>
      </c>
    </row>
    <row r="126" customFormat="false" ht="16.5" hidden="false" customHeight="true" outlineLevel="0" collapsed="false">
      <c r="A126" s="23" t="str">
        <f aca="false">IF(PRESUPUESTO!$A122="Ítem",PRESUPUESTO!B122,"")</f>
        <v/>
      </c>
      <c r="B126" s="23" t="str">
        <f aca="false">IF(PRESUPUESTO!C122="","",PRESUPUESTO!C122)</f>
        <v/>
      </c>
      <c r="C126" s="86" t="str">
        <f aca="false">IF(PRESUPUESTO!$A122="Ítem",PRESUPUESTO!D122,"")</f>
        <v/>
      </c>
      <c r="D126" s="87" t="str">
        <f aca="false">IF(PRESUPUESTO!$A122&lt;&gt;"Ítem","",MAX(N(PRESUPUESTO!E122),N('CORTES CLIENTE'!L135)))</f>
        <v/>
      </c>
      <c r="E126" s="80"/>
      <c r="F126" s="87" t="str">
        <f aca="false">IF(D126="","",SUMIFS(GASTOS!$H$7:$H$5000,GASTOS!$F$7:$F$5000,$A126,GASTOS!$L$7:$L$5000,"Materiales y equipos"))</f>
        <v/>
      </c>
      <c r="G126" s="88" t="str">
        <f aca="false">IF(D126="","",N(E126)+F126)</f>
        <v/>
      </c>
      <c r="H126" s="88" t="str">
        <f aca="false">IF(OR(D126="",S126="Servicio"),"",MAX(0,D126-G126))</f>
        <v/>
      </c>
      <c r="I126" s="36" t="str">
        <f aca="false">IF(OR(D126="",S126="Servicio",N(D126)=0),"",MIN(1,G126/D126))</f>
        <v/>
      </c>
      <c r="J126" s="10" t="str">
        <f aca="false">IF(D126="","",PRESUPUESTO!O122)</f>
        <v/>
      </c>
      <c r="K126" s="10" t="str">
        <f aca="false">IF(D126="","",SUMIFS(GASTOS!$J$7:$J$5000,GASTOS!$F$7:$F$5000,$A126,GASTOS!$L$7:$L$5000,"Materiales y equipos"))</f>
        <v/>
      </c>
      <c r="L126" s="105" t="str">
        <f aca="false">IF(D126="","",COUNTIFS(GASTOS!$F$7:$F$5000,$A126,GASTOS!$L$7:$L$5000,"Materiales y equipos"))</f>
        <v/>
      </c>
      <c r="M126" s="10" t="str">
        <f aca="false">IF(OR(D126="",N(F126)=0),"",K126/F126)</f>
        <v/>
      </c>
      <c r="N126" s="10" t="str">
        <f aca="false">IF(OR(D126="",N(L126)=0),"",IFERROR(LOOKUP(2,1/((GASTOS!$F$7:$F$5000=$A126)*(GASTOS!$L$7:$L$5000="Materiales y equipos")*(GASTOS!$I$7:$I$5000&lt;&gt;"")),GASTOS!$I$7:$I$5000),""))</f>
        <v/>
      </c>
      <c r="O126" s="23" t="str">
        <f aca="false">IF(OR(D126="",N(L126)=0),"",IFERROR(LOOKUP(2,1/((GASTOS!$F$7:$F$5000=$A126)*(GASTOS!$L$7:$L$5000="Materiales y equipos")*(GASTOS!$I$7:$I$5000&lt;&gt;"")),GASTOS!$D$7:$D$5000),""))</f>
        <v/>
      </c>
      <c r="P126" s="10" t="str">
        <f aca="false">IF(D126="","",N(PRESUPUESTO!I122))</f>
        <v/>
      </c>
      <c r="Q126" s="36" t="str">
        <f aca="false">IF(OR(D126="",N126="",N(P126)=0),"",N126/P126-1)</f>
        <v/>
      </c>
      <c r="R126" s="10" t="str">
        <f aca="false">IF(OR(D126="",S126="Servicio"),"",H126*IF(N126&lt;&gt;"",N126,P126))</f>
        <v/>
      </c>
      <c r="S126" s="39" t="str">
        <f aca="false">IF(D126="","",IF(N(PRESUPUESTO!H122)=0,"Servicio",IF(G126=0,"Sin comprar",IF(G126&gt;=D126,"Comprado","Parcial"))))</f>
        <v/>
      </c>
      <c r="T126" s="86" t="str">
        <f aca="false">IF(AND(ISNUMBER(Q126),N(Q126)&gt;0.1),"Precio +"&amp;TEXT(Q126,"0%"),"")</f>
        <v/>
      </c>
      <c r="U126" s="0" t="str">
        <f aca="false">IF(OR(D126="",S126="Servicio"),"",MIN(G126,D126)*P126)</f>
        <v/>
      </c>
      <c r="V126" s="0" t="str">
        <f aca="false">IF(OR(D126="",S126="Servicio"),"",D126*P126)</f>
        <v/>
      </c>
    </row>
    <row r="127" customFormat="false" ht="16.5" hidden="false" customHeight="true" outlineLevel="0" collapsed="false">
      <c r="A127" s="23" t="str">
        <f aca="false">IF(PRESUPUESTO!$A123="Ítem",PRESUPUESTO!B123,"")</f>
        <v/>
      </c>
      <c r="B127" s="23" t="str">
        <f aca="false">IF(PRESUPUESTO!C123="","",PRESUPUESTO!C123)</f>
        <v/>
      </c>
      <c r="C127" s="86" t="str">
        <f aca="false">IF(PRESUPUESTO!$A123="Ítem",PRESUPUESTO!D123,"")</f>
        <v/>
      </c>
      <c r="D127" s="87" t="str">
        <f aca="false">IF(PRESUPUESTO!$A123&lt;&gt;"Ítem","",MAX(N(PRESUPUESTO!E123),N('CORTES CLIENTE'!L136)))</f>
        <v/>
      </c>
      <c r="E127" s="80"/>
      <c r="F127" s="87" t="str">
        <f aca="false">IF(D127="","",SUMIFS(GASTOS!$H$7:$H$5000,GASTOS!$F$7:$F$5000,$A127,GASTOS!$L$7:$L$5000,"Materiales y equipos"))</f>
        <v/>
      </c>
      <c r="G127" s="88" t="str">
        <f aca="false">IF(D127="","",N(E127)+F127)</f>
        <v/>
      </c>
      <c r="H127" s="88" t="str">
        <f aca="false">IF(OR(D127="",S127="Servicio"),"",MAX(0,D127-G127))</f>
        <v/>
      </c>
      <c r="I127" s="36" t="str">
        <f aca="false">IF(OR(D127="",S127="Servicio",N(D127)=0),"",MIN(1,G127/D127))</f>
        <v/>
      </c>
      <c r="J127" s="10" t="str">
        <f aca="false">IF(D127="","",PRESUPUESTO!O123)</f>
        <v/>
      </c>
      <c r="K127" s="10" t="str">
        <f aca="false">IF(D127="","",SUMIFS(GASTOS!$J$7:$J$5000,GASTOS!$F$7:$F$5000,$A127,GASTOS!$L$7:$L$5000,"Materiales y equipos"))</f>
        <v/>
      </c>
      <c r="L127" s="105" t="str">
        <f aca="false">IF(D127="","",COUNTIFS(GASTOS!$F$7:$F$5000,$A127,GASTOS!$L$7:$L$5000,"Materiales y equipos"))</f>
        <v/>
      </c>
      <c r="M127" s="10" t="str">
        <f aca="false">IF(OR(D127="",N(F127)=0),"",K127/F127)</f>
        <v/>
      </c>
      <c r="N127" s="10" t="str">
        <f aca="false">IF(OR(D127="",N(L127)=0),"",IFERROR(LOOKUP(2,1/((GASTOS!$F$7:$F$5000=$A127)*(GASTOS!$L$7:$L$5000="Materiales y equipos")*(GASTOS!$I$7:$I$5000&lt;&gt;"")),GASTOS!$I$7:$I$5000),""))</f>
        <v/>
      </c>
      <c r="O127" s="23" t="str">
        <f aca="false">IF(OR(D127="",N(L127)=0),"",IFERROR(LOOKUP(2,1/((GASTOS!$F$7:$F$5000=$A127)*(GASTOS!$L$7:$L$5000="Materiales y equipos")*(GASTOS!$I$7:$I$5000&lt;&gt;"")),GASTOS!$D$7:$D$5000),""))</f>
        <v/>
      </c>
      <c r="P127" s="10" t="str">
        <f aca="false">IF(D127="","",N(PRESUPUESTO!I123))</f>
        <v/>
      </c>
      <c r="Q127" s="36" t="str">
        <f aca="false">IF(OR(D127="",N127="",N(P127)=0),"",N127/P127-1)</f>
        <v/>
      </c>
      <c r="R127" s="10" t="str">
        <f aca="false">IF(OR(D127="",S127="Servicio"),"",H127*IF(N127&lt;&gt;"",N127,P127))</f>
        <v/>
      </c>
      <c r="S127" s="39" t="str">
        <f aca="false">IF(D127="","",IF(N(PRESUPUESTO!H123)=0,"Servicio",IF(G127=0,"Sin comprar",IF(G127&gt;=D127,"Comprado","Parcial"))))</f>
        <v/>
      </c>
      <c r="T127" s="86" t="str">
        <f aca="false">IF(AND(ISNUMBER(Q127),N(Q127)&gt;0.1),"Precio +"&amp;TEXT(Q127,"0%"),"")</f>
        <v/>
      </c>
      <c r="U127" s="0" t="str">
        <f aca="false">IF(OR(D127="",S127="Servicio"),"",MIN(G127,D127)*P127)</f>
        <v/>
      </c>
      <c r="V127" s="0" t="str">
        <f aca="false">IF(OR(D127="",S127="Servicio"),"",D127*P127)</f>
        <v/>
      </c>
    </row>
    <row r="128" customFormat="false" ht="16.5" hidden="false" customHeight="true" outlineLevel="0" collapsed="false">
      <c r="A128" s="23" t="str">
        <f aca="false">IF(PRESUPUESTO!$A124="Ítem",PRESUPUESTO!B124,"")</f>
        <v/>
      </c>
      <c r="B128" s="23" t="str">
        <f aca="false">IF(PRESUPUESTO!C124="","",PRESUPUESTO!C124)</f>
        <v/>
      </c>
      <c r="C128" s="86" t="str">
        <f aca="false">IF(PRESUPUESTO!$A124="Ítem",PRESUPUESTO!D124,"")</f>
        <v/>
      </c>
      <c r="D128" s="87" t="str">
        <f aca="false">IF(PRESUPUESTO!$A124&lt;&gt;"Ítem","",MAX(N(PRESUPUESTO!E124),N('CORTES CLIENTE'!L137)))</f>
        <v/>
      </c>
      <c r="E128" s="80"/>
      <c r="F128" s="87" t="str">
        <f aca="false">IF(D128="","",SUMIFS(GASTOS!$H$7:$H$5000,GASTOS!$F$7:$F$5000,$A128,GASTOS!$L$7:$L$5000,"Materiales y equipos"))</f>
        <v/>
      </c>
      <c r="G128" s="88" t="str">
        <f aca="false">IF(D128="","",N(E128)+F128)</f>
        <v/>
      </c>
      <c r="H128" s="88" t="str">
        <f aca="false">IF(OR(D128="",S128="Servicio"),"",MAX(0,D128-G128))</f>
        <v/>
      </c>
      <c r="I128" s="36" t="str">
        <f aca="false">IF(OR(D128="",S128="Servicio",N(D128)=0),"",MIN(1,G128/D128))</f>
        <v/>
      </c>
      <c r="J128" s="10" t="str">
        <f aca="false">IF(D128="","",PRESUPUESTO!O124)</f>
        <v/>
      </c>
      <c r="K128" s="10" t="str">
        <f aca="false">IF(D128="","",SUMIFS(GASTOS!$J$7:$J$5000,GASTOS!$F$7:$F$5000,$A128,GASTOS!$L$7:$L$5000,"Materiales y equipos"))</f>
        <v/>
      </c>
      <c r="L128" s="105" t="str">
        <f aca="false">IF(D128="","",COUNTIFS(GASTOS!$F$7:$F$5000,$A128,GASTOS!$L$7:$L$5000,"Materiales y equipos"))</f>
        <v/>
      </c>
      <c r="M128" s="10" t="str">
        <f aca="false">IF(OR(D128="",N(F128)=0),"",K128/F128)</f>
        <v/>
      </c>
      <c r="N128" s="10" t="str">
        <f aca="false">IF(OR(D128="",N(L128)=0),"",IFERROR(LOOKUP(2,1/((GASTOS!$F$7:$F$5000=$A128)*(GASTOS!$L$7:$L$5000="Materiales y equipos")*(GASTOS!$I$7:$I$5000&lt;&gt;"")),GASTOS!$I$7:$I$5000),""))</f>
        <v/>
      </c>
      <c r="O128" s="23" t="str">
        <f aca="false">IF(OR(D128="",N(L128)=0),"",IFERROR(LOOKUP(2,1/((GASTOS!$F$7:$F$5000=$A128)*(GASTOS!$L$7:$L$5000="Materiales y equipos")*(GASTOS!$I$7:$I$5000&lt;&gt;"")),GASTOS!$D$7:$D$5000),""))</f>
        <v/>
      </c>
      <c r="P128" s="10" t="str">
        <f aca="false">IF(D128="","",N(PRESUPUESTO!I124))</f>
        <v/>
      </c>
      <c r="Q128" s="36" t="str">
        <f aca="false">IF(OR(D128="",N128="",N(P128)=0),"",N128/P128-1)</f>
        <v/>
      </c>
      <c r="R128" s="10" t="str">
        <f aca="false">IF(OR(D128="",S128="Servicio"),"",H128*IF(N128&lt;&gt;"",N128,P128))</f>
        <v/>
      </c>
      <c r="S128" s="39" t="str">
        <f aca="false">IF(D128="","",IF(N(PRESUPUESTO!H124)=0,"Servicio",IF(G128=0,"Sin comprar",IF(G128&gt;=D128,"Comprado","Parcial"))))</f>
        <v/>
      </c>
      <c r="T128" s="86" t="str">
        <f aca="false">IF(AND(ISNUMBER(Q128),N(Q128)&gt;0.1),"Precio +"&amp;TEXT(Q128,"0%"),"")</f>
        <v/>
      </c>
      <c r="U128" s="0" t="str">
        <f aca="false">IF(OR(D128="",S128="Servicio"),"",MIN(G128,D128)*P128)</f>
        <v/>
      </c>
      <c r="V128" s="0" t="str">
        <f aca="false">IF(OR(D128="",S128="Servicio"),"",D128*P128)</f>
        <v/>
      </c>
    </row>
    <row r="129" customFormat="false" ht="16.5" hidden="false" customHeight="true" outlineLevel="0" collapsed="false">
      <c r="A129" s="23" t="str">
        <f aca="false">IF(PRESUPUESTO!$A125="Ítem",PRESUPUESTO!B125,"")</f>
        <v/>
      </c>
      <c r="B129" s="23" t="str">
        <f aca="false">IF(PRESUPUESTO!C125="","",PRESUPUESTO!C125)</f>
        <v/>
      </c>
      <c r="C129" s="86" t="str">
        <f aca="false">IF(PRESUPUESTO!$A125="Ítem",PRESUPUESTO!D125,"")</f>
        <v/>
      </c>
      <c r="D129" s="87" t="str">
        <f aca="false">IF(PRESUPUESTO!$A125&lt;&gt;"Ítem","",MAX(N(PRESUPUESTO!E125),N('CORTES CLIENTE'!L138)))</f>
        <v/>
      </c>
      <c r="E129" s="80"/>
      <c r="F129" s="87" t="str">
        <f aca="false">IF(D129="","",SUMIFS(GASTOS!$H$7:$H$5000,GASTOS!$F$7:$F$5000,$A129,GASTOS!$L$7:$L$5000,"Materiales y equipos"))</f>
        <v/>
      </c>
      <c r="G129" s="88" t="str">
        <f aca="false">IF(D129="","",N(E129)+F129)</f>
        <v/>
      </c>
      <c r="H129" s="88" t="str">
        <f aca="false">IF(OR(D129="",S129="Servicio"),"",MAX(0,D129-G129))</f>
        <v/>
      </c>
      <c r="I129" s="36" t="str">
        <f aca="false">IF(OR(D129="",S129="Servicio",N(D129)=0),"",MIN(1,G129/D129))</f>
        <v/>
      </c>
      <c r="J129" s="10" t="str">
        <f aca="false">IF(D129="","",PRESUPUESTO!O125)</f>
        <v/>
      </c>
      <c r="K129" s="10" t="str">
        <f aca="false">IF(D129="","",SUMIFS(GASTOS!$J$7:$J$5000,GASTOS!$F$7:$F$5000,$A129,GASTOS!$L$7:$L$5000,"Materiales y equipos"))</f>
        <v/>
      </c>
      <c r="L129" s="105" t="str">
        <f aca="false">IF(D129="","",COUNTIFS(GASTOS!$F$7:$F$5000,$A129,GASTOS!$L$7:$L$5000,"Materiales y equipos"))</f>
        <v/>
      </c>
      <c r="M129" s="10" t="str">
        <f aca="false">IF(OR(D129="",N(F129)=0),"",K129/F129)</f>
        <v/>
      </c>
      <c r="N129" s="10" t="str">
        <f aca="false">IF(OR(D129="",N(L129)=0),"",IFERROR(LOOKUP(2,1/((GASTOS!$F$7:$F$5000=$A129)*(GASTOS!$L$7:$L$5000="Materiales y equipos")*(GASTOS!$I$7:$I$5000&lt;&gt;"")),GASTOS!$I$7:$I$5000),""))</f>
        <v/>
      </c>
      <c r="O129" s="23" t="str">
        <f aca="false">IF(OR(D129="",N(L129)=0),"",IFERROR(LOOKUP(2,1/((GASTOS!$F$7:$F$5000=$A129)*(GASTOS!$L$7:$L$5000="Materiales y equipos")*(GASTOS!$I$7:$I$5000&lt;&gt;"")),GASTOS!$D$7:$D$5000),""))</f>
        <v/>
      </c>
      <c r="P129" s="10" t="str">
        <f aca="false">IF(D129="","",N(PRESUPUESTO!I125))</f>
        <v/>
      </c>
      <c r="Q129" s="36" t="str">
        <f aca="false">IF(OR(D129="",N129="",N(P129)=0),"",N129/P129-1)</f>
        <v/>
      </c>
      <c r="R129" s="10" t="str">
        <f aca="false">IF(OR(D129="",S129="Servicio"),"",H129*IF(N129&lt;&gt;"",N129,P129))</f>
        <v/>
      </c>
      <c r="S129" s="39" t="str">
        <f aca="false">IF(D129="","",IF(N(PRESUPUESTO!H125)=0,"Servicio",IF(G129=0,"Sin comprar",IF(G129&gt;=D129,"Comprado","Parcial"))))</f>
        <v/>
      </c>
      <c r="T129" s="86" t="str">
        <f aca="false">IF(AND(ISNUMBER(Q129),N(Q129)&gt;0.1),"Precio +"&amp;TEXT(Q129,"0%"),"")</f>
        <v/>
      </c>
      <c r="U129" s="0" t="str">
        <f aca="false">IF(OR(D129="",S129="Servicio"),"",MIN(G129,D129)*P129)</f>
        <v/>
      </c>
      <c r="V129" s="0" t="str">
        <f aca="false">IF(OR(D129="",S129="Servicio"),"",D129*P129)</f>
        <v/>
      </c>
    </row>
    <row r="130" customFormat="false" ht="16.5" hidden="false" customHeight="true" outlineLevel="0" collapsed="false">
      <c r="A130" s="23" t="str">
        <f aca="false">IF(PRESUPUESTO!$A126="Ítem",PRESUPUESTO!B126,"")</f>
        <v/>
      </c>
      <c r="B130" s="23" t="str">
        <f aca="false">IF(PRESUPUESTO!C126="","",PRESUPUESTO!C126)</f>
        <v/>
      </c>
      <c r="C130" s="86" t="str">
        <f aca="false">IF(PRESUPUESTO!$A126="Ítem",PRESUPUESTO!D126,"")</f>
        <v/>
      </c>
      <c r="D130" s="87" t="str">
        <f aca="false">IF(PRESUPUESTO!$A126&lt;&gt;"Ítem","",MAX(N(PRESUPUESTO!E126),N('CORTES CLIENTE'!L139)))</f>
        <v/>
      </c>
      <c r="E130" s="80"/>
      <c r="F130" s="87" t="str">
        <f aca="false">IF(D130="","",SUMIFS(GASTOS!$H$7:$H$5000,GASTOS!$F$7:$F$5000,$A130,GASTOS!$L$7:$L$5000,"Materiales y equipos"))</f>
        <v/>
      </c>
      <c r="G130" s="88" t="str">
        <f aca="false">IF(D130="","",N(E130)+F130)</f>
        <v/>
      </c>
      <c r="H130" s="88" t="str">
        <f aca="false">IF(OR(D130="",S130="Servicio"),"",MAX(0,D130-G130))</f>
        <v/>
      </c>
      <c r="I130" s="36" t="str">
        <f aca="false">IF(OR(D130="",S130="Servicio",N(D130)=0),"",MIN(1,G130/D130))</f>
        <v/>
      </c>
      <c r="J130" s="10" t="str">
        <f aca="false">IF(D130="","",PRESUPUESTO!O126)</f>
        <v/>
      </c>
      <c r="K130" s="10" t="str">
        <f aca="false">IF(D130="","",SUMIFS(GASTOS!$J$7:$J$5000,GASTOS!$F$7:$F$5000,$A130,GASTOS!$L$7:$L$5000,"Materiales y equipos"))</f>
        <v/>
      </c>
      <c r="L130" s="105" t="str">
        <f aca="false">IF(D130="","",COUNTIFS(GASTOS!$F$7:$F$5000,$A130,GASTOS!$L$7:$L$5000,"Materiales y equipos"))</f>
        <v/>
      </c>
      <c r="M130" s="10" t="str">
        <f aca="false">IF(OR(D130="",N(F130)=0),"",K130/F130)</f>
        <v/>
      </c>
      <c r="N130" s="10" t="str">
        <f aca="false">IF(OR(D130="",N(L130)=0),"",IFERROR(LOOKUP(2,1/((GASTOS!$F$7:$F$5000=$A130)*(GASTOS!$L$7:$L$5000="Materiales y equipos")*(GASTOS!$I$7:$I$5000&lt;&gt;"")),GASTOS!$I$7:$I$5000),""))</f>
        <v/>
      </c>
      <c r="O130" s="23" t="str">
        <f aca="false">IF(OR(D130="",N(L130)=0),"",IFERROR(LOOKUP(2,1/((GASTOS!$F$7:$F$5000=$A130)*(GASTOS!$L$7:$L$5000="Materiales y equipos")*(GASTOS!$I$7:$I$5000&lt;&gt;"")),GASTOS!$D$7:$D$5000),""))</f>
        <v/>
      </c>
      <c r="P130" s="10" t="str">
        <f aca="false">IF(D130="","",N(PRESUPUESTO!I126))</f>
        <v/>
      </c>
      <c r="Q130" s="36" t="str">
        <f aca="false">IF(OR(D130="",N130="",N(P130)=0),"",N130/P130-1)</f>
        <v/>
      </c>
      <c r="R130" s="10" t="str">
        <f aca="false">IF(OR(D130="",S130="Servicio"),"",H130*IF(N130&lt;&gt;"",N130,P130))</f>
        <v/>
      </c>
      <c r="S130" s="39" t="str">
        <f aca="false">IF(D130="","",IF(N(PRESUPUESTO!H126)=0,"Servicio",IF(G130=0,"Sin comprar",IF(G130&gt;=D130,"Comprado","Parcial"))))</f>
        <v/>
      </c>
      <c r="T130" s="86" t="str">
        <f aca="false">IF(AND(ISNUMBER(Q130),N(Q130)&gt;0.1),"Precio +"&amp;TEXT(Q130,"0%"),"")</f>
        <v/>
      </c>
      <c r="U130" s="0" t="str">
        <f aca="false">IF(OR(D130="",S130="Servicio"),"",MIN(G130,D130)*P130)</f>
        <v/>
      </c>
      <c r="V130" s="0" t="str">
        <f aca="false">IF(OR(D130="",S130="Servicio"),"",D130*P130)</f>
        <v/>
      </c>
    </row>
    <row r="131" customFormat="false" ht="16.5" hidden="false" customHeight="true" outlineLevel="0" collapsed="false">
      <c r="A131" s="23" t="str">
        <f aca="false">IF(PRESUPUESTO!$A127="Ítem",PRESUPUESTO!B127,"")</f>
        <v/>
      </c>
      <c r="B131" s="23" t="str">
        <f aca="false">IF(PRESUPUESTO!C127="","",PRESUPUESTO!C127)</f>
        <v/>
      </c>
      <c r="C131" s="86" t="str">
        <f aca="false">IF(PRESUPUESTO!$A127="Ítem",PRESUPUESTO!D127,"")</f>
        <v/>
      </c>
      <c r="D131" s="87" t="str">
        <f aca="false">IF(PRESUPUESTO!$A127&lt;&gt;"Ítem","",MAX(N(PRESUPUESTO!E127),N('CORTES CLIENTE'!L140)))</f>
        <v/>
      </c>
      <c r="E131" s="80"/>
      <c r="F131" s="87" t="str">
        <f aca="false">IF(D131="","",SUMIFS(GASTOS!$H$7:$H$5000,GASTOS!$F$7:$F$5000,$A131,GASTOS!$L$7:$L$5000,"Materiales y equipos"))</f>
        <v/>
      </c>
      <c r="G131" s="88" t="str">
        <f aca="false">IF(D131="","",N(E131)+F131)</f>
        <v/>
      </c>
      <c r="H131" s="88" t="str">
        <f aca="false">IF(OR(D131="",S131="Servicio"),"",MAX(0,D131-G131))</f>
        <v/>
      </c>
      <c r="I131" s="36" t="str">
        <f aca="false">IF(OR(D131="",S131="Servicio",N(D131)=0),"",MIN(1,G131/D131))</f>
        <v/>
      </c>
      <c r="J131" s="10" t="str">
        <f aca="false">IF(D131="","",PRESUPUESTO!O127)</f>
        <v/>
      </c>
      <c r="K131" s="10" t="str">
        <f aca="false">IF(D131="","",SUMIFS(GASTOS!$J$7:$J$5000,GASTOS!$F$7:$F$5000,$A131,GASTOS!$L$7:$L$5000,"Materiales y equipos"))</f>
        <v/>
      </c>
      <c r="L131" s="105" t="str">
        <f aca="false">IF(D131="","",COUNTIFS(GASTOS!$F$7:$F$5000,$A131,GASTOS!$L$7:$L$5000,"Materiales y equipos"))</f>
        <v/>
      </c>
      <c r="M131" s="10" t="str">
        <f aca="false">IF(OR(D131="",N(F131)=0),"",K131/F131)</f>
        <v/>
      </c>
      <c r="N131" s="10" t="str">
        <f aca="false">IF(OR(D131="",N(L131)=0),"",IFERROR(LOOKUP(2,1/((GASTOS!$F$7:$F$5000=$A131)*(GASTOS!$L$7:$L$5000="Materiales y equipos")*(GASTOS!$I$7:$I$5000&lt;&gt;"")),GASTOS!$I$7:$I$5000),""))</f>
        <v/>
      </c>
      <c r="O131" s="23" t="str">
        <f aca="false">IF(OR(D131="",N(L131)=0),"",IFERROR(LOOKUP(2,1/((GASTOS!$F$7:$F$5000=$A131)*(GASTOS!$L$7:$L$5000="Materiales y equipos")*(GASTOS!$I$7:$I$5000&lt;&gt;"")),GASTOS!$D$7:$D$5000),""))</f>
        <v/>
      </c>
      <c r="P131" s="10" t="str">
        <f aca="false">IF(D131="","",N(PRESUPUESTO!I127))</f>
        <v/>
      </c>
      <c r="Q131" s="36" t="str">
        <f aca="false">IF(OR(D131="",N131="",N(P131)=0),"",N131/P131-1)</f>
        <v/>
      </c>
      <c r="R131" s="10" t="str">
        <f aca="false">IF(OR(D131="",S131="Servicio"),"",H131*IF(N131&lt;&gt;"",N131,P131))</f>
        <v/>
      </c>
      <c r="S131" s="39" t="str">
        <f aca="false">IF(D131="","",IF(N(PRESUPUESTO!H127)=0,"Servicio",IF(G131=0,"Sin comprar",IF(G131&gt;=D131,"Comprado","Parcial"))))</f>
        <v/>
      </c>
      <c r="T131" s="86" t="str">
        <f aca="false">IF(AND(ISNUMBER(Q131),N(Q131)&gt;0.1),"Precio +"&amp;TEXT(Q131,"0%"),"")</f>
        <v/>
      </c>
      <c r="U131" s="0" t="str">
        <f aca="false">IF(OR(D131="",S131="Servicio"),"",MIN(G131,D131)*P131)</f>
        <v/>
      </c>
      <c r="V131" s="0" t="str">
        <f aca="false">IF(OR(D131="",S131="Servicio"),"",D131*P131)</f>
        <v/>
      </c>
    </row>
    <row r="132" customFormat="false" ht="16.5" hidden="false" customHeight="true" outlineLevel="0" collapsed="false">
      <c r="A132" s="23" t="str">
        <f aca="false">IF(PRESUPUESTO!$A128="Ítem",PRESUPUESTO!B128,"")</f>
        <v/>
      </c>
      <c r="B132" s="23" t="str">
        <f aca="false">IF(PRESUPUESTO!C128="","",PRESUPUESTO!C128)</f>
        <v/>
      </c>
      <c r="C132" s="86" t="str">
        <f aca="false">IF(PRESUPUESTO!$A128="Ítem",PRESUPUESTO!D128,"")</f>
        <v/>
      </c>
      <c r="D132" s="87" t="str">
        <f aca="false">IF(PRESUPUESTO!$A128&lt;&gt;"Ítem","",MAX(N(PRESUPUESTO!E128),N('CORTES CLIENTE'!L141)))</f>
        <v/>
      </c>
      <c r="E132" s="80"/>
      <c r="F132" s="87" t="str">
        <f aca="false">IF(D132="","",SUMIFS(GASTOS!$H$7:$H$5000,GASTOS!$F$7:$F$5000,$A132,GASTOS!$L$7:$L$5000,"Materiales y equipos"))</f>
        <v/>
      </c>
      <c r="G132" s="88" t="str">
        <f aca="false">IF(D132="","",N(E132)+F132)</f>
        <v/>
      </c>
      <c r="H132" s="88" t="str">
        <f aca="false">IF(OR(D132="",S132="Servicio"),"",MAX(0,D132-G132))</f>
        <v/>
      </c>
      <c r="I132" s="36" t="str">
        <f aca="false">IF(OR(D132="",S132="Servicio",N(D132)=0),"",MIN(1,G132/D132))</f>
        <v/>
      </c>
      <c r="J132" s="10" t="str">
        <f aca="false">IF(D132="","",PRESUPUESTO!O128)</f>
        <v/>
      </c>
      <c r="K132" s="10" t="str">
        <f aca="false">IF(D132="","",SUMIFS(GASTOS!$J$7:$J$5000,GASTOS!$F$7:$F$5000,$A132,GASTOS!$L$7:$L$5000,"Materiales y equipos"))</f>
        <v/>
      </c>
      <c r="L132" s="105" t="str">
        <f aca="false">IF(D132="","",COUNTIFS(GASTOS!$F$7:$F$5000,$A132,GASTOS!$L$7:$L$5000,"Materiales y equipos"))</f>
        <v/>
      </c>
      <c r="M132" s="10" t="str">
        <f aca="false">IF(OR(D132="",N(F132)=0),"",K132/F132)</f>
        <v/>
      </c>
      <c r="N132" s="10" t="str">
        <f aca="false">IF(OR(D132="",N(L132)=0),"",IFERROR(LOOKUP(2,1/((GASTOS!$F$7:$F$5000=$A132)*(GASTOS!$L$7:$L$5000="Materiales y equipos")*(GASTOS!$I$7:$I$5000&lt;&gt;"")),GASTOS!$I$7:$I$5000),""))</f>
        <v/>
      </c>
      <c r="O132" s="23" t="str">
        <f aca="false">IF(OR(D132="",N(L132)=0),"",IFERROR(LOOKUP(2,1/((GASTOS!$F$7:$F$5000=$A132)*(GASTOS!$L$7:$L$5000="Materiales y equipos")*(GASTOS!$I$7:$I$5000&lt;&gt;"")),GASTOS!$D$7:$D$5000),""))</f>
        <v/>
      </c>
      <c r="P132" s="10" t="str">
        <f aca="false">IF(D132="","",N(PRESUPUESTO!I128))</f>
        <v/>
      </c>
      <c r="Q132" s="36" t="str">
        <f aca="false">IF(OR(D132="",N132="",N(P132)=0),"",N132/P132-1)</f>
        <v/>
      </c>
      <c r="R132" s="10" t="str">
        <f aca="false">IF(OR(D132="",S132="Servicio"),"",H132*IF(N132&lt;&gt;"",N132,P132))</f>
        <v/>
      </c>
      <c r="S132" s="39" t="str">
        <f aca="false">IF(D132="","",IF(N(PRESUPUESTO!H128)=0,"Servicio",IF(G132=0,"Sin comprar",IF(G132&gt;=D132,"Comprado","Parcial"))))</f>
        <v/>
      </c>
      <c r="T132" s="86" t="str">
        <f aca="false">IF(AND(ISNUMBER(Q132),N(Q132)&gt;0.1),"Precio +"&amp;TEXT(Q132,"0%"),"")</f>
        <v/>
      </c>
      <c r="U132" s="0" t="str">
        <f aca="false">IF(OR(D132="",S132="Servicio"),"",MIN(G132,D132)*P132)</f>
        <v/>
      </c>
      <c r="V132" s="0" t="str">
        <f aca="false">IF(OR(D132="",S132="Servicio"),"",D132*P132)</f>
        <v/>
      </c>
    </row>
    <row r="133" customFormat="false" ht="16.5" hidden="false" customHeight="true" outlineLevel="0" collapsed="false">
      <c r="A133" s="23" t="str">
        <f aca="false">IF(PRESUPUESTO!$A129="Ítem",PRESUPUESTO!B129,"")</f>
        <v/>
      </c>
      <c r="B133" s="23" t="str">
        <f aca="false">IF(PRESUPUESTO!C129="","",PRESUPUESTO!C129)</f>
        <v/>
      </c>
      <c r="C133" s="86" t="str">
        <f aca="false">IF(PRESUPUESTO!$A129="Ítem",PRESUPUESTO!D129,"")</f>
        <v/>
      </c>
      <c r="D133" s="87" t="str">
        <f aca="false">IF(PRESUPUESTO!$A129&lt;&gt;"Ítem","",MAX(N(PRESUPUESTO!E129),N('CORTES CLIENTE'!L142)))</f>
        <v/>
      </c>
      <c r="E133" s="80"/>
      <c r="F133" s="87" t="str">
        <f aca="false">IF(D133="","",SUMIFS(GASTOS!$H$7:$H$5000,GASTOS!$F$7:$F$5000,$A133,GASTOS!$L$7:$L$5000,"Materiales y equipos"))</f>
        <v/>
      </c>
      <c r="G133" s="88" t="str">
        <f aca="false">IF(D133="","",N(E133)+F133)</f>
        <v/>
      </c>
      <c r="H133" s="88" t="str">
        <f aca="false">IF(OR(D133="",S133="Servicio"),"",MAX(0,D133-G133))</f>
        <v/>
      </c>
      <c r="I133" s="36" t="str">
        <f aca="false">IF(OR(D133="",S133="Servicio",N(D133)=0),"",MIN(1,G133/D133))</f>
        <v/>
      </c>
      <c r="J133" s="10" t="str">
        <f aca="false">IF(D133="","",PRESUPUESTO!O129)</f>
        <v/>
      </c>
      <c r="K133" s="10" t="str">
        <f aca="false">IF(D133="","",SUMIFS(GASTOS!$J$7:$J$5000,GASTOS!$F$7:$F$5000,$A133,GASTOS!$L$7:$L$5000,"Materiales y equipos"))</f>
        <v/>
      </c>
      <c r="L133" s="105" t="str">
        <f aca="false">IF(D133="","",COUNTIFS(GASTOS!$F$7:$F$5000,$A133,GASTOS!$L$7:$L$5000,"Materiales y equipos"))</f>
        <v/>
      </c>
      <c r="M133" s="10" t="str">
        <f aca="false">IF(OR(D133="",N(F133)=0),"",K133/F133)</f>
        <v/>
      </c>
      <c r="N133" s="10" t="str">
        <f aca="false">IF(OR(D133="",N(L133)=0),"",IFERROR(LOOKUP(2,1/((GASTOS!$F$7:$F$5000=$A133)*(GASTOS!$L$7:$L$5000="Materiales y equipos")*(GASTOS!$I$7:$I$5000&lt;&gt;"")),GASTOS!$I$7:$I$5000),""))</f>
        <v/>
      </c>
      <c r="O133" s="23" t="str">
        <f aca="false">IF(OR(D133="",N(L133)=0),"",IFERROR(LOOKUP(2,1/((GASTOS!$F$7:$F$5000=$A133)*(GASTOS!$L$7:$L$5000="Materiales y equipos")*(GASTOS!$I$7:$I$5000&lt;&gt;"")),GASTOS!$D$7:$D$5000),""))</f>
        <v/>
      </c>
      <c r="P133" s="10" t="str">
        <f aca="false">IF(D133="","",N(PRESUPUESTO!I129))</f>
        <v/>
      </c>
      <c r="Q133" s="36" t="str">
        <f aca="false">IF(OR(D133="",N133="",N(P133)=0),"",N133/P133-1)</f>
        <v/>
      </c>
      <c r="R133" s="10" t="str">
        <f aca="false">IF(OR(D133="",S133="Servicio"),"",H133*IF(N133&lt;&gt;"",N133,P133))</f>
        <v/>
      </c>
      <c r="S133" s="39" t="str">
        <f aca="false">IF(D133="","",IF(N(PRESUPUESTO!H129)=0,"Servicio",IF(G133=0,"Sin comprar",IF(G133&gt;=D133,"Comprado","Parcial"))))</f>
        <v/>
      </c>
      <c r="T133" s="86" t="str">
        <f aca="false">IF(AND(ISNUMBER(Q133),N(Q133)&gt;0.1),"Precio +"&amp;TEXT(Q133,"0%"),"")</f>
        <v/>
      </c>
      <c r="U133" s="0" t="str">
        <f aca="false">IF(OR(D133="",S133="Servicio"),"",MIN(G133,D133)*P133)</f>
        <v/>
      </c>
      <c r="V133" s="0" t="str">
        <f aca="false">IF(OR(D133="",S133="Servicio"),"",D133*P133)</f>
        <v/>
      </c>
    </row>
    <row r="134" customFormat="false" ht="16.5" hidden="false" customHeight="true" outlineLevel="0" collapsed="false">
      <c r="A134" s="23" t="str">
        <f aca="false">IF(PRESUPUESTO!$A130="Ítem",PRESUPUESTO!B130,"")</f>
        <v/>
      </c>
      <c r="B134" s="23" t="str">
        <f aca="false">IF(PRESUPUESTO!C130="","",PRESUPUESTO!C130)</f>
        <v/>
      </c>
      <c r="C134" s="86" t="str">
        <f aca="false">IF(PRESUPUESTO!$A130="Ítem",PRESUPUESTO!D130,"")</f>
        <v/>
      </c>
      <c r="D134" s="87" t="str">
        <f aca="false">IF(PRESUPUESTO!$A130&lt;&gt;"Ítem","",MAX(N(PRESUPUESTO!E130),N('CORTES CLIENTE'!L143)))</f>
        <v/>
      </c>
      <c r="E134" s="80"/>
      <c r="F134" s="87" t="str">
        <f aca="false">IF(D134="","",SUMIFS(GASTOS!$H$7:$H$5000,GASTOS!$F$7:$F$5000,$A134,GASTOS!$L$7:$L$5000,"Materiales y equipos"))</f>
        <v/>
      </c>
      <c r="G134" s="88" t="str">
        <f aca="false">IF(D134="","",N(E134)+F134)</f>
        <v/>
      </c>
      <c r="H134" s="88" t="str">
        <f aca="false">IF(OR(D134="",S134="Servicio"),"",MAX(0,D134-G134))</f>
        <v/>
      </c>
      <c r="I134" s="36" t="str">
        <f aca="false">IF(OR(D134="",S134="Servicio",N(D134)=0),"",MIN(1,G134/D134))</f>
        <v/>
      </c>
      <c r="J134" s="10" t="str">
        <f aca="false">IF(D134="","",PRESUPUESTO!O130)</f>
        <v/>
      </c>
      <c r="K134" s="10" t="str">
        <f aca="false">IF(D134="","",SUMIFS(GASTOS!$J$7:$J$5000,GASTOS!$F$7:$F$5000,$A134,GASTOS!$L$7:$L$5000,"Materiales y equipos"))</f>
        <v/>
      </c>
      <c r="L134" s="105" t="str">
        <f aca="false">IF(D134="","",COUNTIFS(GASTOS!$F$7:$F$5000,$A134,GASTOS!$L$7:$L$5000,"Materiales y equipos"))</f>
        <v/>
      </c>
      <c r="M134" s="10" t="str">
        <f aca="false">IF(OR(D134="",N(F134)=0),"",K134/F134)</f>
        <v/>
      </c>
      <c r="N134" s="10" t="str">
        <f aca="false">IF(OR(D134="",N(L134)=0),"",IFERROR(LOOKUP(2,1/((GASTOS!$F$7:$F$5000=$A134)*(GASTOS!$L$7:$L$5000="Materiales y equipos")*(GASTOS!$I$7:$I$5000&lt;&gt;"")),GASTOS!$I$7:$I$5000),""))</f>
        <v/>
      </c>
      <c r="O134" s="23" t="str">
        <f aca="false">IF(OR(D134="",N(L134)=0),"",IFERROR(LOOKUP(2,1/((GASTOS!$F$7:$F$5000=$A134)*(GASTOS!$L$7:$L$5000="Materiales y equipos")*(GASTOS!$I$7:$I$5000&lt;&gt;"")),GASTOS!$D$7:$D$5000),""))</f>
        <v/>
      </c>
      <c r="P134" s="10" t="str">
        <f aca="false">IF(D134="","",N(PRESUPUESTO!I130))</f>
        <v/>
      </c>
      <c r="Q134" s="36" t="str">
        <f aca="false">IF(OR(D134="",N134="",N(P134)=0),"",N134/P134-1)</f>
        <v/>
      </c>
      <c r="R134" s="10" t="str">
        <f aca="false">IF(OR(D134="",S134="Servicio"),"",H134*IF(N134&lt;&gt;"",N134,P134))</f>
        <v/>
      </c>
      <c r="S134" s="39" t="str">
        <f aca="false">IF(D134="","",IF(N(PRESUPUESTO!H130)=0,"Servicio",IF(G134=0,"Sin comprar",IF(G134&gt;=D134,"Comprado","Parcial"))))</f>
        <v/>
      </c>
      <c r="T134" s="86" t="str">
        <f aca="false">IF(AND(ISNUMBER(Q134),N(Q134)&gt;0.1),"Precio +"&amp;TEXT(Q134,"0%"),"")</f>
        <v/>
      </c>
      <c r="U134" s="0" t="str">
        <f aca="false">IF(OR(D134="",S134="Servicio"),"",MIN(G134,D134)*P134)</f>
        <v/>
      </c>
      <c r="V134" s="0" t="str">
        <f aca="false">IF(OR(D134="",S134="Servicio"),"",D134*P134)</f>
        <v/>
      </c>
    </row>
    <row r="135" customFormat="false" ht="16.5" hidden="false" customHeight="true" outlineLevel="0" collapsed="false">
      <c r="A135" s="23" t="str">
        <f aca="false">IF(PRESUPUESTO!$A131="Ítem",PRESUPUESTO!B131,"")</f>
        <v/>
      </c>
      <c r="B135" s="23" t="str">
        <f aca="false">IF(PRESUPUESTO!C131="","",PRESUPUESTO!C131)</f>
        <v/>
      </c>
      <c r="C135" s="86" t="str">
        <f aca="false">IF(PRESUPUESTO!$A131="Ítem",PRESUPUESTO!D131,"")</f>
        <v/>
      </c>
      <c r="D135" s="87" t="str">
        <f aca="false">IF(PRESUPUESTO!$A131&lt;&gt;"Ítem","",MAX(N(PRESUPUESTO!E131),N('CORTES CLIENTE'!L144)))</f>
        <v/>
      </c>
      <c r="E135" s="80"/>
      <c r="F135" s="87" t="str">
        <f aca="false">IF(D135="","",SUMIFS(GASTOS!$H$7:$H$5000,GASTOS!$F$7:$F$5000,$A135,GASTOS!$L$7:$L$5000,"Materiales y equipos"))</f>
        <v/>
      </c>
      <c r="G135" s="88" t="str">
        <f aca="false">IF(D135="","",N(E135)+F135)</f>
        <v/>
      </c>
      <c r="H135" s="88" t="str">
        <f aca="false">IF(OR(D135="",S135="Servicio"),"",MAX(0,D135-G135))</f>
        <v/>
      </c>
      <c r="I135" s="36" t="str">
        <f aca="false">IF(OR(D135="",S135="Servicio",N(D135)=0),"",MIN(1,G135/D135))</f>
        <v/>
      </c>
      <c r="J135" s="10" t="str">
        <f aca="false">IF(D135="","",PRESUPUESTO!O131)</f>
        <v/>
      </c>
      <c r="K135" s="10" t="str">
        <f aca="false">IF(D135="","",SUMIFS(GASTOS!$J$7:$J$5000,GASTOS!$F$7:$F$5000,$A135,GASTOS!$L$7:$L$5000,"Materiales y equipos"))</f>
        <v/>
      </c>
      <c r="L135" s="105" t="str">
        <f aca="false">IF(D135="","",COUNTIFS(GASTOS!$F$7:$F$5000,$A135,GASTOS!$L$7:$L$5000,"Materiales y equipos"))</f>
        <v/>
      </c>
      <c r="M135" s="10" t="str">
        <f aca="false">IF(OR(D135="",N(F135)=0),"",K135/F135)</f>
        <v/>
      </c>
      <c r="N135" s="10" t="str">
        <f aca="false">IF(OR(D135="",N(L135)=0),"",IFERROR(LOOKUP(2,1/((GASTOS!$F$7:$F$5000=$A135)*(GASTOS!$L$7:$L$5000="Materiales y equipos")*(GASTOS!$I$7:$I$5000&lt;&gt;"")),GASTOS!$I$7:$I$5000),""))</f>
        <v/>
      </c>
      <c r="O135" s="23" t="str">
        <f aca="false">IF(OR(D135="",N(L135)=0),"",IFERROR(LOOKUP(2,1/((GASTOS!$F$7:$F$5000=$A135)*(GASTOS!$L$7:$L$5000="Materiales y equipos")*(GASTOS!$I$7:$I$5000&lt;&gt;"")),GASTOS!$D$7:$D$5000),""))</f>
        <v/>
      </c>
      <c r="P135" s="10" t="str">
        <f aca="false">IF(D135="","",N(PRESUPUESTO!I131))</f>
        <v/>
      </c>
      <c r="Q135" s="36" t="str">
        <f aca="false">IF(OR(D135="",N135="",N(P135)=0),"",N135/P135-1)</f>
        <v/>
      </c>
      <c r="R135" s="10" t="str">
        <f aca="false">IF(OR(D135="",S135="Servicio"),"",H135*IF(N135&lt;&gt;"",N135,P135))</f>
        <v/>
      </c>
      <c r="S135" s="39" t="str">
        <f aca="false">IF(D135="","",IF(N(PRESUPUESTO!H131)=0,"Servicio",IF(G135=0,"Sin comprar",IF(G135&gt;=D135,"Comprado","Parcial"))))</f>
        <v/>
      </c>
      <c r="T135" s="86" t="str">
        <f aca="false">IF(AND(ISNUMBER(Q135),N(Q135)&gt;0.1),"Precio +"&amp;TEXT(Q135,"0%"),"")</f>
        <v/>
      </c>
      <c r="U135" s="0" t="str">
        <f aca="false">IF(OR(D135="",S135="Servicio"),"",MIN(G135,D135)*P135)</f>
        <v/>
      </c>
      <c r="V135" s="0" t="str">
        <f aca="false">IF(OR(D135="",S135="Servicio"),"",D135*P135)</f>
        <v/>
      </c>
    </row>
    <row r="136" customFormat="false" ht="16.5" hidden="false" customHeight="true" outlineLevel="0" collapsed="false">
      <c r="A136" s="23" t="str">
        <f aca="false">IF(PRESUPUESTO!$A132="Ítem",PRESUPUESTO!B132,"")</f>
        <v/>
      </c>
      <c r="B136" s="23" t="str">
        <f aca="false">IF(PRESUPUESTO!C132="","",PRESUPUESTO!C132)</f>
        <v/>
      </c>
      <c r="C136" s="86" t="str">
        <f aca="false">IF(PRESUPUESTO!$A132="Ítem",PRESUPUESTO!D132,"")</f>
        <v/>
      </c>
      <c r="D136" s="87" t="str">
        <f aca="false">IF(PRESUPUESTO!$A132&lt;&gt;"Ítem","",MAX(N(PRESUPUESTO!E132),N('CORTES CLIENTE'!L145)))</f>
        <v/>
      </c>
      <c r="E136" s="80"/>
      <c r="F136" s="87" t="str">
        <f aca="false">IF(D136="","",SUMIFS(GASTOS!$H$7:$H$5000,GASTOS!$F$7:$F$5000,$A136,GASTOS!$L$7:$L$5000,"Materiales y equipos"))</f>
        <v/>
      </c>
      <c r="G136" s="88" t="str">
        <f aca="false">IF(D136="","",N(E136)+F136)</f>
        <v/>
      </c>
      <c r="H136" s="88" t="str">
        <f aca="false">IF(OR(D136="",S136="Servicio"),"",MAX(0,D136-G136))</f>
        <v/>
      </c>
      <c r="I136" s="36" t="str">
        <f aca="false">IF(OR(D136="",S136="Servicio",N(D136)=0),"",MIN(1,G136/D136))</f>
        <v/>
      </c>
      <c r="J136" s="10" t="str">
        <f aca="false">IF(D136="","",PRESUPUESTO!O132)</f>
        <v/>
      </c>
      <c r="K136" s="10" t="str">
        <f aca="false">IF(D136="","",SUMIFS(GASTOS!$J$7:$J$5000,GASTOS!$F$7:$F$5000,$A136,GASTOS!$L$7:$L$5000,"Materiales y equipos"))</f>
        <v/>
      </c>
      <c r="L136" s="105" t="str">
        <f aca="false">IF(D136="","",COUNTIFS(GASTOS!$F$7:$F$5000,$A136,GASTOS!$L$7:$L$5000,"Materiales y equipos"))</f>
        <v/>
      </c>
      <c r="M136" s="10" t="str">
        <f aca="false">IF(OR(D136="",N(F136)=0),"",K136/F136)</f>
        <v/>
      </c>
      <c r="N136" s="10" t="str">
        <f aca="false">IF(OR(D136="",N(L136)=0),"",IFERROR(LOOKUP(2,1/((GASTOS!$F$7:$F$5000=$A136)*(GASTOS!$L$7:$L$5000="Materiales y equipos")*(GASTOS!$I$7:$I$5000&lt;&gt;"")),GASTOS!$I$7:$I$5000),""))</f>
        <v/>
      </c>
      <c r="O136" s="23" t="str">
        <f aca="false">IF(OR(D136="",N(L136)=0),"",IFERROR(LOOKUP(2,1/((GASTOS!$F$7:$F$5000=$A136)*(GASTOS!$L$7:$L$5000="Materiales y equipos")*(GASTOS!$I$7:$I$5000&lt;&gt;"")),GASTOS!$D$7:$D$5000),""))</f>
        <v/>
      </c>
      <c r="P136" s="10" t="str">
        <f aca="false">IF(D136="","",N(PRESUPUESTO!I132))</f>
        <v/>
      </c>
      <c r="Q136" s="36" t="str">
        <f aca="false">IF(OR(D136="",N136="",N(P136)=0),"",N136/P136-1)</f>
        <v/>
      </c>
      <c r="R136" s="10" t="str">
        <f aca="false">IF(OR(D136="",S136="Servicio"),"",H136*IF(N136&lt;&gt;"",N136,P136))</f>
        <v/>
      </c>
      <c r="S136" s="39" t="str">
        <f aca="false">IF(D136="","",IF(N(PRESUPUESTO!H132)=0,"Servicio",IF(G136=0,"Sin comprar",IF(G136&gt;=D136,"Comprado","Parcial"))))</f>
        <v/>
      </c>
      <c r="T136" s="86" t="str">
        <f aca="false">IF(AND(ISNUMBER(Q136),N(Q136)&gt;0.1),"Precio +"&amp;TEXT(Q136,"0%"),"")</f>
        <v/>
      </c>
      <c r="U136" s="0" t="str">
        <f aca="false">IF(OR(D136="",S136="Servicio"),"",MIN(G136,D136)*P136)</f>
        <v/>
      </c>
      <c r="V136" s="0" t="str">
        <f aca="false">IF(OR(D136="",S136="Servicio"),"",D136*P136)</f>
        <v/>
      </c>
    </row>
    <row r="137" customFormat="false" ht="16.5" hidden="false" customHeight="true" outlineLevel="0" collapsed="false">
      <c r="A137" s="23" t="str">
        <f aca="false">IF(PRESUPUESTO!$A133="Ítem",PRESUPUESTO!B133,"")</f>
        <v/>
      </c>
      <c r="B137" s="23" t="str">
        <f aca="false">IF(PRESUPUESTO!C133="","",PRESUPUESTO!C133)</f>
        <v/>
      </c>
      <c r="C137" s="86" t="str">
        <f aca="false">IF(PRESUPUESTO!$A133="Ítem",PRESUPUESTO!D133,"")</f>
        <v/>
      </c>
      <c r="D137" s="87" t="str">
        <f aca="false">IF(PRESUPUESTO!$A133&lt;&gt;"Ítem","",MAX(N(PRESUPUESTO!E133),N('CORTES CLIENTE'!L146)))</f>
        <v/>
      </c>
      <c r="E137" s="80"/>
      <c r="F137" s="87" t="str">
        <f aca="false">IF(D137="","",SUMIFS(GASTOS!$H$7:$H$5000,GASTOS!$F$7:$F$5000,$A137,GASTOS!$L$7:$L$5000,"Materiales y equipos"))</f>
        <v/>
      </c>
      <c r="G137" s="88" t="str">
        <f aca="false">IF(D137="","",N(E137)+F137)</f>
        <v/>
      </c>
      <c r="H137" s="88" t="str">
        <f aca="false">IF(OR(D137="",S137="Servicio"),"",MAX(0,D137-G137))</f>
        <v/>
      </c>
      <c r="I137" s="36" t="str">
        <f aca="false">IF(OR(D137="",S137="Servicio",N(D137)=0),"",MIN(1,G137/D137))</f>
        <v/>
      </c>
      <c r="J137" s="10" t="str">
        <f aca="false">IF(D137="","",PRESUPUESTO!O133)</f>
        <v/>
      </c>
      <c r="K137" s="10" t="str">
        <f aca="false">IF(D137="","",SUMIFS(GASTOS!$J$7:$J$5000,GASTOS!$F$7:$F$5000,$A137,GASTOS!$L$7:$L$5000,"Materiales y equipos"))</f>
        <v/>
      </c>
      <c r="L137" s="105" t="str">
        <f aca="false">IF(D137="","",COUNTIFS(GASTOS!$F$7:$F$5000,$A137,GASTOS!$L$7:$L$5000,"Materiales y equipos"))</f>
        <v/>
      </c>
      <c r="M137" s="10" t="str">
        <f aca="false">IF(OR(D137="",N(F137)=0),"",K137/F137)</f>
        <v/>
      </c>
      <c r="N137" s="10" t="str">
        <f aca="false">IF(OR(D137="",N(L137)=0),"",IFERROR(LOOKUP(2,1/((GASTOS!$F$7:$F$5000=$A137)*(GASTOS!$L$7:$L$5000="Materiales y equipos")*(GASTOS!$I$7:$I$5000&lt;&gt;"")),GASTOS!$I$7:$I$5000),""))</f>
        <v/>
      </c>
      <c r="O137" s="23" t="str">
        <f aca="false">IF(OR(D137="",N(L137)=0),"",IFERROR(LOOKUP(2,1/((GASTOS!$F$7:$F$5000=$A137)*(GASTOS!$L$7:$L$5000="Materiales y equipos")*(GASTOS!$I$7:$I$5000&lt;&gt;"")),GASTOS!$D$7:$D$5000),""))</f>
        <v/>
      </c>
      <c r="P137" s="10" t="str">
        <f aca="false">IF(D137="","",N(PRESUPUESTO!I133))</f>
        <v/>
      </c>
      <c r="Q137" s="36" t="str">
        <f aca="false">IF(OR(D137="",N137="",N(P137)=0),"",N137/P137-1)</f>
        <v/>
      </c>
      <c r="R137" s="10" t="str">
        <f aca="false">IF(OR(D137="",S137="Servicio"),"",H137*IF(N137&lt;&gt;"",N137,P137))</f>
        <v/>
      </c>
      <c r="S137" s="39" t="str">
        <f aca="false">IF(D137="","",IF(N(PRESUPUESTO!H133)=0,"Servicio",IF(G137=0,"Sin comprar",IF(G137&gt;=D137,"Comprado","Parcial"))))</f>
        <v/>
      </c>
      <c r="T137" s="86" t="str">
        <f aca="false">IF(AND(ISNUMBER(Q137),N(Q137)&gt;0.1),"Precio +"&amp;TEXT(Q137,"0%"),"")</f>
        <v/>
      </c>
      <c r="U137" s="0" t="str">
        <f aca="false">IF(OR(D137="",S137="Servicio"),"",MIN(G137,D137)*P137)</f>
        <v/>
      </c>
      <c r="V137" s="0" t="str">
        <f aca="false">IF(OR(D137="",S137="Servicio"),"",D137*P137)</f>
        <v/>
      </c>
    </row>
    <row r="138" customFormat="false" ht="16.5" hidden="false" customHeight="true" outlineLevel="0" collapsed="false">
      <c r="A138" s="23" t="str">
        <f aca="false">IF(PRESUPUESTO!$A134="Ítem",PRESUPUESTO!B134,"")</f>
        <v/>
      </c>
      <c r="B138" s="23" t="str">
        <f aca="false">IF(PRESUPUESTO!C134="","",PRESUPUESTO!C134)</f>
        <v/>
      </c>
      <c r="C138" s="86" t="str">
        <f aca="false">IF(PRESUPUESTO!$A134="Ítem",PRESUPUESTO!D134,"")</f>
        <v/>
      </c>
      <c r="D138" s="87" t="str">
        <f aca="false">IF(PRESUPUESTO!$A134&lt;&gt;"Ítem","",MAX(N(PRESUPUESTO!E134),N('CORTES CLIENTE'!L147)))</f>
        <v/>
      </c>
      <c r="E138" s="80"/>
      <c r="F138" s="87" t="str">
        <f aca="false">IF(D138="","",SUMIFS(GASTOS!$H$7:$H$5000,GASTOS!$F$7:$F$5000,$A138,GASTOS!$L$7:$L$5000,"Materiales y equipos"))</f>
        <v/>
      </c>
      <c r="G138" s="88" t="str">
        <f aca="false">IF(D138="","",N(E138)+F138)</f>
        <v/>
      </c>
      <c r="H138" s="88" t="str">
        <f aca="false">IF(OR(D138="",S138="Servicio"),"",MAX(0,D138-G138))</f>
        <v/>
      </c>
      <c r="I138" s="36" t="str">
        <f aca="false">IF(OR(D138="",S138="Servicio",N(D138)=0),"",MIN(1,G138/D138))</f>
        <v/>
      </c>
      <c r="J138" s="10" t="str">
        <f aca="false">IF(D138="","",PRESUPUESTO!O134)</f>
        <v/>
      </c>
      <c r="K138" s="10" t="str">
        <f aca="false">IF(D138="","",SUMIFS(GASTOS!$J$7:$J$5000,GASTOS!$F$7:$F$5000,$A138,GASTOS!$L$7:$L$5000,"Materiales y equipos"))</f>
        <v/>
      </c>
      <c r="L138" s="105" t="str">
        <f aca="false">IF(D138="","",COUNTIFS(GASTOS!$F$7:$F$5000,$A138,GASTOS!$L$7:$L$5000,"Materiales y equipos"))</f>
        <v/>
      </c>
      <c r="M138" s="10" t="str">
        <f aca="false">IF(OR(D138="",N(F138)=0),"",K138/F138)</f>
        <v/>
      </c>
      <c r="N138" s="10" t="str">
        <f aca="false">IF(OR(D138="",N(L138)=0),"",IFERROR(LOOKUP(2,1/((GASTOS!$F$7:$F$5000=$A138)*(GASTOS!$L$7:$L$5000="Materiales y equipos")*(GASTOS!$I$7:$I$5000&lt;&gt;"")),GASTOS!$I$7:$I$5000),""))</f>
        <v/>
      </c>
      <c r="O138" s="23" t="str">
        <f aca="false">IF(OR(D138="",N(L138)=0),"",IFERROR(LOOKUP(2,1/((GASTOS!$F$7:$F$5000=$A138)*(GASTOS!$L$7:$L$5000="Materiales y equipos")*(GASTOS!$I$7:$I$5000&lt;&gt;"")),GASTOS!$D$7:$D$5000),""))</f>
        <v/>
      </c>
      <c r="P138" s="10" t="str">
        <f aca="false">IF(D138="","",N(PRESUPUESTO!I134))</f>
        <v/>
      </c>
      <c r="Q138" s="36" t="str">
        <f aca="false">IF(OR(D138="",N138="",N(P138)=0),"",N138/P138-1)</f>
        <v/>
      </c>
      <c r="R138" s="10" t="str">
        <f aca="false">IF(OR(D138="",S138="Servicio"),"",H138*IF(N138&lt;&gt;"",N138,P138))</f>
        <v/>
      </c>
      <c r="S138" s="39" t="str">
        <f aca="false">IF(D138="","",IF(N(PRESUPUESTO!H134)=0,"Servicio",IF(G138=0,"Sin comprar",IF(G138&gt;=D138,"Comprado","Parcial"))))</f>
        <v/>
      </c>
      <c r="T138" s="86" t="str">
        <f aca="false">IF(AND(ISNUMBER(Q138),N(Q138)&gt;0.1),"Precio +"&amp;TEXT(Q138,"0%"),"")</f>
        <v/>
      </c>
      <c r="U138" s="0" t="str">
        <f aca="false">IF(OR(D138="",S138="Servicio"),"",MIN(G138,D138)*P138)</f>
        <v/>
      </c>
      <c r="V138" s="0" t="str">
        <f aca="false">IF(OR(D138="",S138="Servicio"),"",D138*P138)</f>
        <v/>
      </c>
    </row>
    <row r="139" customFormat="false" ht="16.5" hidden="false" customHeight="true" outlineLevel="0" collapsed="false">
      <c r="A139" s="23" t="str">
        <f aca="false">IF(PRESUPUESTO!$A135="Ítem",PRESUPUESTO!B135,"")</f>
        <v/>
      </c>
      <c r="B139" s="23" t="str">
        <f aca="false">IF(PRESUPUESTO!C135="","",PRESUPUESTO!C135)</f>
        <v/>
      </c>
      <c r="C139" s="86" t="str">
        <f aca="false">IF(PRESUPUESTO!$A135="Ítem",PRESUPUESTO!D135,"")</f>
        <v/>
      </c>
      <c r="D139" s="87" t="str">
        <f aca="false">IF(PRESUPUESTO!$A135&lt;&gt;"Ítem","",MAX(N(PRESUPUESTO!E135),N('CORTES CLIENTE'!L148)))</f>
        <v/>
      </c>
      <c r="E139" s="80"/>
      <c r="F139" s="87" t="str">
        <f aca="false">IF(D139="","",SUMIFS(GASTOS!$H$7:$H$5000,GASTOS!$F$7:$F$5000,$A139,GASTOS!$L$7:$L$5000,"Materiales y equipos"))</f>
        <v/>
      </c>
      <c r="G139" s="88" t="str">
        <f aca="false">IF(D139="","",N(E139)+F139)</f>
        <v/>
      </c>
      <c r="H139" s="88" t="str">
        <f aca="false">IF(OR(D139="",S139="Servicio"),"",MAX(0,D139-G139))</f>
        <v/>
      </c>
      <c r="I139" s="36" t="str">
        <f aca="false">IF(OR(D139="",S139="Servicio",N(D139)=0),"",MIN(1,G139/D139))</f>
        <v/>
      </c>
      <c r="J139" s="10" t="str">
        <f aca="false">IF(D139="","",PRESUPUESTO!O135)</f>
        <v/>
      </c>
      <c r="K139" s="10" t="str">
        <f aca="false">IF(D139="","",SUMIFS(GASTOS!$J$7:$J$5000,GASTOS!$F$7:$F$5000,$A139,GASTOS!$L$7:$L$5000,"Materiales y equipos"))</f>
        <v/>
      </c>
      <c r="L139" s="105" t="str">
        <f aca="false">IF(D139="","",COUNTIFS(GASTOS!$F$7:$F$5000,$A139,GASTOS!$L$7:$L$5000,"Materiales y equipos"))</f>
        <v/>
      </c>
      <c r="M139" s="10" t="str">
        <f aca="false">IF(OR(D139="",N(F139)=0),"",K139/F139)</f>
        <v/>
      </c>
      <c r="N139" s="10" t="str">
        <f aca="false">IF(OR(D139="",N(L139)=0),"",IFERROR(LOOKUP(2,1/((GASTOS!$F$7:$F$5000=$A139)*(GASTOS!$L$7:$L$5000="Materiales y equipos")*(GASTOS!$I$7:$I$5000&lt;&gt;"")),GASTOS!$I$7:$I$5000),""))</f>
        <v/>
      </c>
      <c r="O139" s="23" t="str">
        <f aca="false">IF(OR(D139="",N(L139)=0),"",IFERROR(LOOKUP(2,1/((GASTOS!$F$7:$F$5000=$A139)*(GASTOS!$L$7:$L$5000="Materiales y equipos")*(GASTOS!$I$7:$I$5000&lt;&gt;"")),GASTOS!$D$7:$D$5000),""))</f>
        <v/>
      </c>
      <c r="P139" s="10" t="str">
        <f aca="false">IF(D139="","",N(PRESUPUESTO!I135))</f>
        <v/>
      </c>
      <c r="Q139" s="36" t="str">
        <f aca="false">IF(OR(D139="",N139="",N(P139)=0),"",N139/P139-1)</f>
        <v/>
      </c>
      <c r="R139" s="10" t="str">
        <f aca="false">IF(OR(D139="",S139="Servicio"),"",H139*IF(N139&lt;&gt;"",N139,P139))</f>
        <v/>
      </c>
      <c r="S139" s="39" t="str">
        <f aca="false">IF(D139="","",IF(N(PRESUPUESTO!H135)=0,"Servicio",IF(G139=0,"Sin comprar",IF(G139&gt;=D139,"Comprado","Parcial"))))</f>
        <v/>
      </c>
      <c r="T139" s="86" t="str">
        <f aca="false">IF(AND(ISNUMBER(Q139),N(Q139)&gt;0.1),"Precio +"&amp;TEXT(Q139,"0%"),"")</f>
        <v/>
      </c>
      <c r="U139" s="0" t="str">
        <f aca="false">IF(OR(D139="",S139="Servicio"),"",MIN(G139,D139)*P139)</f>
        <v/>
      </c>
      <c r="V139" s="0" t="str">
        <f aca="false">IF(OR(D139="",S139="Servicio"),"",D139*P139)</f>
        <v/>
      </c>
    </row>
    <row r="140" customFormat="false" ht="16.5" hidden="false" customHeight="true" outlineLevel="0" collapsed="false">
      <c r="A140" s="23" t="str">
        <f aca="false">IF(PRESUPUESTO!$A136="Ítem",PRESUPUESTO!B136,"")</f>
        <v/>
      </c>
      <c r="B140" s="23" t="str">
        <f aca="false">IF(PRESUPUESTO!C136="","",PRESUPUESTO!C136)</f>
        <v/>
      </c>
      <c r="C140" s="86" t="str">
        <f aca="false">IF(PRESUPUESTO!$A136="Ítem",PRESUPUESTO!D136,"")</f>
        <v/>
      </c>
      <c r="D140" s="87" t="str">
        <f aca="false">IF(PRESUPUESTO!$A136&lt;&gt;"Ítem","",MAX(N(PRESUPUESTO!E136),N('CORTES CLIENTE'!L149)))</f>
        <v/>
      </c>
      <c r="E140" s="80"/>
      <c r="F140" s="87" t="str">
        <f aca="false">IF(D140="","",SUMIFS(GASTOS!$H$7:$H$5000,GASTOS!$F$7:$F$5000,$A140,GASTOS!$L$7:$L$5000,"Materiales y equipos"))</f>
        <v/>
      </c>
      <c r="G140" s="88" t="str">
        <f aca="false">IF(D140="","",N(E140)+F140)</f>
        <v/>
      </c>
      <c r="H140" s="88" t="str">
        <f aca="false">IF(OR(D140="",S140="Servicio"),"",MAX(0,D140-G140))</f>
        <v/>
      </c>
      <c r="I140" s="36" t="str">
        <f aca="false">IF(OR(D140="",S140="Servicio",N(D140)=0),"",MIN(1,G140/D140))</f>
        <v/>
      </c>
      <c r="J140" s="10" t="str">
        <f aca="false">IF(D140="","",PRESUPUESTO!O136)</f>
        <v/>
      </c>
      <c r="K140" s="10" t="str">
        <f aca="false">IF(D140="","",SUMIFS(GASTOS!$J$7:$J$5000,GASTOS!$F$7:$F$5000,$A140,GASTOS!$L$7:$L$5000,"Materiales y equipos"))</f>
        <v/>
      </c>
      <c r="L140" s="105" t="str">
        <f aca="false">IF(D140="","",COUNTIFS(GASTOS!$F$7:$F$5000,$A140,GASTOS!$L$7:$L$5000,"Materiales y equipos"))</f>
        <v/>
      </c>
      <c r="M140" s="10" t="str">
        <f aca="false">IF(OR(D140="",N(F140)=0),"",K140/F140)</f>
        <v/>
      </c>
      <c r="N140" s="10" t="str">
        <f aca="false">IF(OR(D140="",N(L140)=0),"",IFERROR(LOOKUP(2,1/((GASTOS!$F$7:$F$5000=$A140)*(GASTOS!$L$7:$L$5000="Materiales y equipos")*(GASTOS!$I$7:$I$5000&lt;&gt;"")),GASTOS!$I$7:$I$5000),""))</f>
        <v/>
      </c>
      <c r="O140" s="23" t="str">
        <f aca="false">IF(OR(D140="",N(L140)=0),"",IFERROR(LOOKUP(2,1/((GASTOS!$F$7:$F$5000=$A140)*(GASTOS!$L$7:$L$5000="Materiales y equipos")*(GASTOS!$I$7:$I$5000&lt;&gt;"")),GASTOS!$D$7:$D$5000),""))</f>
        <v/>
      </c>
      <c r="P140" s="10" t="str">
        <f aca="false">IF(D140="","",N(PRESUPUESTO!I136))</f>
        <v/>
      </c>
      <c r="Q140" s="36" t="str">
        <f aca="false">IF(OR(D140="",N140="",N(P140)=0),"",N140/P140-1)</f>
        <v/>
      </c>
      <c r="R140" s="10" t="str">
        <f aca="false">IF(OR(D140="",S140="Servicio"),"",H140*IF(N140&lt;&gt;"",N140,P140))</f>
        <v/>
      </c>
      <c r="S140" s="39" t="str">
        <f aca="false">IF(D140="","",IF(N(PRESUPUESTO!H136)=0,"Servicio",IF(G140=0,"Sin comprar",IF(G140&gt;=D140,"Comprado","Parcial"))))</f>
        <v/>
      </c>
      <c r="T140" s="86" t="str">
        <f aca="false">IF(AND(ISNUMBER(Q140),N(Q140)&gt;0.1),"Precio +"&amp;TEXT(Q140,"0%"),"")</f>
        <v/>
      </c>
      <c r="U140" s="0" t="str">
        <f aca="false">IF(OR(D140="",S140="Servicio"),"",MIN(G140,D140)*P140)</f>
        <v/>
      </c>
      <c r="V140" s="0" t="str">
        <f aca="false">IF(OR(D140="",S140="Servicio"),"",D140*P140)</f>
        <v/>
      </c>
    </row>
    <row r="141" customFormat="false" ht="16.5" hidden="false" customHeight="true" outlineLevel="0" collapsed="false">
      <c r="A141" s="23" t="str">
        <f aca="false">IF(PRESUPUESTO!$A137="Ítem",PRESUPUESTO!B137,"")</f>
        <v/>
      </c>
      <c r="B141" s="23" t="str">
        <f aca="false">IF(PRESUPUESTO!C137="","",PRESUPUESTO!C137)</f>
        <v/>
      </c>
      <c r="C141" s="86" t="str">
        <f aca="false">IF(PRESUPUESTO!$A137="Ítem",PRESUPUESTO!D137,"")</f>
        <v/>
      </c>
      <c r="D141" s="87" t="str">
        <f aca="false">IF(PRESUPUESTO!$A137&lt;&gt;"Ítem","",MAX(N(PRESUPUESTO!E137),N('CORTES CLIENTE'!L150)))</f>
        <v/>
      </c>
      <c r="E141" s="80"/>
      <c r="F141" s="87" t="str">
        <f aca="false">IF(D141="","",SUMIFS(GASTOS!$H$7:$H$5000,GASTOS!$F$7:$F$5000,$A141,GASTOS!$L$7:$L$5000,"Materiales y equipos"))</f>
        <v/>
      </c>
      <c r="G141" s="88" t="str">
        <f aca="false">IF(D141="","",N(E141)+F141)</f>
        <v/>
      </c>
      <c r="H141" s="88" t="str">
        <f aca="false">IF(OR(D141="",S141="Servicio"),"",MAX(0,D141-G141))</f>
        <v/>
      </c>
      <c r="I141" s="36" t="str">
        <f aca="false">IF(OR(D141="",S141="Servicio",N(D141)=0),"",MIN(1,G141/D141))</f>
        <v/>
      </c>
      <c r="J141" s="10" t="str">
        <f aca="false">IF(D141="","",PRESUPUESTO!O137)</f>
        <v/>
      </c>
      <c r="K141" s="10" t="str">
        <f aca="false">IF(D141="","",SUMIFS(GASTOS!$J$7:$J$5000,GASTOS!$F$7:$F$5000,$A141,GASTOS!$L$7:$L$5000,"Materiales y equipos"))</f>
        <v/>
      </c>
      <c r="L141" s="105" t="str">
        <f aca="false">IF(D141="","",COUNTIFS(GASTOS!$F$7:$F$5000,$A141,GASTOS!$L$7:$L$5000,"Materiales y equipos"))</f>
        <v/>
      </c>
      <c r="M141" s="10" t="str">
        <f aca="false">IF(OR(D141="",N(F141)=0),"",K141/F141)</f>
        <v/>
      </c>
      <c r="N141" s="10" t="str">
        <f aca="false">IF(OR(D141="",N(L141)=0),"",IFERROR(LOOKUP(2,1/((GASTOS!$F$7:$F$5000=$A141)*(GASTOS!$L$7:$L$5000="Materiales y equipos")*(GASTOS!$I$7:$I$5000&lt;&gt;"")),GASTOS!$I$7:$I$5000),""))</f>
        <v/>
      </c>
      <c r="O141" s="23" t="str">
        <f aca="false">IF(OR(D141="",N(L141)=0),"",IFERROR(LOOKUP(2,1/((GASTOS!$F$7:$F$5000=$A141)*(GASTOS!$L$7:$L$5000="Materiales y equipos")*(GASTOS!$I$7:$I$5000&lt;&gt;"")),GASTOS!$D$7:$D$5000),""))</f>
        <v/>
      </c>
      <c r="P141" s="10" t="str">
        <f aca="false">IF(D141="","",N(PRESUPUESTO!I137))</f>
        <v/>
      </c>
      <c r="Q141" s="36" t="str">
        <f aca="false">IF(OR(D141="",N141="",N(P141)=0),"",N141/P141-1)</f>
        <v/>
      </c>
      <c r="R141" s="10" t="str">
        <f aca="false">IF(OR(D141="",S141="Servicio"),"",H141*IF(N141&lt;&gt;"",N141,P141))</f>
        <v/>
      </c>
      <c r="S141" s="39" t="str">
        <f aca="false">IF(D141="","",IF(N(PRESUPUESTO!H137)=0,"Servicio",IF(G141=0,"Sin comprar",IF(G141&gt;=D141,"Comprado","Parcial"))))</f>
        <v/>
      </c>
      <c r="T141" s="86" t="str">
        <f aca="false">IF(AND(ISNUMBER(Q141),N(Q141)&gt;0.1),"Precio +"&amp;TEXT(Q141,"0%"),"")</f>
        <v/>
      </c>
      <c r="U141" s="0" t="str">
        <f aca="false">IF(OR(D141="",S141="Servicio"),"",MIN(G141,D141)*P141)</f>
        <v/>
      </c>
      <c r="V141" s="0" t="str">
        <f aca="false">IF(OR(D141="",S141="Servicio"),"",D141*P141)</f>
        <v/>
      </c>
    </row>
    <row r="142" customFormat="false" ht="16.5" hidden="false" customHeight="true" outlineLevel="0" collapsed="false">
      <c r="A142" s="23" t="str">
        <f aca="false">IF(PRESUPUESTO!$A138="Ítem",PRESUPUESTO!B138,"")</f>
        <v/>
      </c>
      <c r="B142" s="23" t="str">
        <f aca="false">IF(PRESUPUESTO!C138="","",PRESUPUESTO!C138)</f>
        <v/>
      </c>
      <c r="C142" s="86" t="str">
        <f aca="false">IF(PRESUPUESTO!$A138="Ítem",PRESUPUESTO!D138,"")</f>
        <v/>
      </c>
      <c r="D142" s="87" t="str">
        <f aca="false">IF(PRESUPUESTO!$A138&lt;&gt;"Ítem","",MAX(N(PRESUPUESTO!E138),N('CORTES CLIENTE'!L151)))</f>
        <v/>
      </c>
      <c r="E142" s="80"/>
      <c r="F142" s="87" t="str">
        <f aca="false">IF(D142="","",SUMIFS(GASTOS!$H$7:$H$5000,GASTOS!$F$7:$F$5000,$A142,GASTOS!$L$7:$L$5000,"Materiales y equipos"))</f>
        <v/>
      </c>
      <c r="G142" s="88" t="str">
        <f aca="false">IF(D142="","",N(E142)+F142)</f>
        <v/>
      </c>
      <c r="H142" s="88" t="str">
        <f aca="false">IF(OR(D142="",S142="Servicio"),"",MAX(0,D142-G142))</f>
        <v/>
      </c>
      <c r="I142" s="36" t="str">
        <f aca="false">IF(OR(D142="",S142="Servicio",N(D142)=0),"",MIN(1,G142/D142))</f>
        <v/>
      </c>
      <c r="J142" s="10" t="str">
        <f aca="false">IF(D142="","",PRESUPUESTO!O138)</f>
        <v/>
      </c>
      <c r="K142" s="10" t="str">
        <f aca="false">IF(D142="","",SUMIFS(GASTOS!$J$7:$J$5000,GASTOS!$F$7:$F$5000,$A142,GASTOS!$L$7:$L$5000,"Materiales y equipos"))</f>
        <v/>
      </c>
      <c r="L142" s="105" t="str">
        <f aca="false">IF(D142="","",COUNTIFS(GASTOS!$F$7:$F$5000,$A142,GASTOS!$L$7:$L$5000,"Materiales y equipos"))</f>
        <v/>
      </c>
      <c r="M142" s="10" t="str">
        <f aca="false">IF(OR(D142="",N(F142)=0),"",K142/F142)</f>
        <v/>
      </c>
      <c r="N142" s="10" t="str">
        <f aca="false">IF(OR(D142="",N(L142)=0),"",IFERROR(LOOKUP(2,1/((GASTOS!$F$7:$F$5000=$A142)*(GASTOS!$L$7:$L$5000="Materiales y equipos")*(GASTOS!$I$7:$I$5000&lt;&gt;"")),GASTOS!$I$7:$I$5000),""))</f>
        <v/>
      </c>
      <c r="O142" s="23" t="str">
        <f aca="false">IF(OR(D142="",N(L142)=0),"",IFERROR(LOOKUP(2,1/((GASTOS!$F$7:$F$5000=$A142)*(GASTOS!$L$7:$L$5000="Materiales y equipos")*(GASTOS!$I$7:$I$5000&lt;&gt;"")),GASTOS!$D$7:$D$5000),""))</f>
        <v/>
      </c>
      <c r="P142" s="10" t="str">
        <f aca="false">IF(D142="","",N(PRESUPUESTO!I138))</f>
        <v/>
      </c>
      <c r="Q142" s="36" t="str">
        <f aca="false">IF(OR(D142="",N142="",N(P142)=0),"",N142/P142-1)</f>
        <v/>
      </c>
      <c r="R142" s="10" t="str">
        <f aca="false">IF(OR(D142="",S142="Servicio"),"",H142*IF(N142&lt;&gt;"",N142,P142))</f>
        <v/>
      </c>
      <c r="S142" s="39" t="str">
        <f aca="false">IF(D142="","",IF(N(PRESUPUESTO!H138)=0,"Servicio",IF(G142=0,"Sin comprar",IF(G142&gt;=D142,"Comprado","Parcial"))))</f>
        <v/>
      </c>
      <c r="T142" s="86" t="str">
        <f aca="false">IF(AND(ISNUMBER(Q142),N(Q142)&gt;0.1),"Precio +"&amp;TEXT(Q142,"0%"),"")</f>
        <v/>
      </c>
      <c r="U142" s="0" t="str">
        <f aca="false">IF(OR(D142="",S142="Servicio"),"",MIN(G142,D142)*P142)</f>
        <v/>
      </c>
      <c r="V142" s="0" t="str">
        <f aca="false">IF(OR(D142="",S142="Servicio"),"",D142*P142)</f>
        <v/>
      </c>
    </row>
    <row r="143" customFormat="false" ht="16.5" hidden="false" customHeight="true" outlineLevel="0" collapsed="false">
      <c r="A143" s="23" t="str">
        <f aca="false">IF(PRESUPUESTO!$A139="Ítem",PRESUPUESTO!B139,"")</f>
        <v/>
      </c>
      <c r="B143" s="23" t="str">
        <f aca="false">IF(PRESUPUESTO!C139="","",PRESUPUESTO!C139)</f>
        <v/>
      </c>
      <c r="C143" s="86" t="str">
        <f aca="false">IF(PRESUPUESTO!$A139="Ítem",PRESUPUESTO!D139,"")</f>
        <v/>
      </c>
      <c r="D143" s="87" t="str">
        <f aca="false">IF(PRESUPUESTO!$A139&lt;&gt;"Ítem","",MAX(N(PRESUPUESTO!E139),N('CORTES CLIENTE'!L152)))</f>
        <v/>
      </c>
      <c r="E143" s="80"/>
      <c r="F143" s="87" t="str">
        <f aca="false">IF(D143="","",SUMIFS(GASTOS!$H$7:$H$5000,GASTOS!$F$7:$F$5000,$A143,GASTOS!$L$7:$L$5000,"Materiales y equipos"))</f>
        <v/>
      </c>
      <c r="G143" s="88" t="str">
        <f aca="false">IF(D143="","",N(E143)+F143)</f>
        <v/>
      </c>
      <c r="H143" s="88" t="str">
        <f aca="false">IF(OR(D143="",S143="Servicio"),"",MAX(0,D143-G143))</f>
        <v/>
      </c>
      <c r="I143" s="36" t="str">
        <f aca="false">IF(OR(D143="",S143="Servicio",N(D143)=0),"",MIN(1,G143/D143))</f>
        <v/>
      </c>
      <c r="J143" s="10" t="str">
        <f aca="false">IF(D143="","",PRESUPUESTO!O139)</f>
        <v/>
      </c>
      <c r="K143" s="10" t="str">
        <f aca="false">IF(D143="","",SUMIFS(GASTOS!$J$7:$J$5000,GASTOS!$F$7:$F$5000,$A143,GASTOS!$L$7:$L$5000,"Materiales y equipos"))</f>
        <v/>
      </c>
      <c r="L143" s="105" t="str">
        <f aca="false">IF(D143="","",COUNTIFS(GASTOS!$F$7:$F$5000,$A143,GASTOS!$L$7:$L$5000,"Materiales y equipos"))</f>
        <v/>
      </c>
      <c r="M143" s="10" t="str">
        <f aca="false">IF(OR(D143="",N(F143)=0),"",K143/F143)</f>
        <v/>
      </c>
      <c r="N143" s="10" t="str">
        <f aca="false">IF(OR(D143="",N(L143)=0),"",IFERROR(LOOKUP(2,1/((GASTOS!$F$7:$F$5000=$A143)*(GASTOS!$L$7:$L$5000="Materiales y equipos")*(GASTOS!$I$7:$I$5000&lt;&gt;"")),GASTOS!$I$7:$I$5000),""))</f>
        <v/>
      </c>
      <c r="O143" s="23" t="str">
        <f aca="false">IF(OR(D143="",N(L143)=0),"",IFERROR(LOOKUP(2,1/((GASTOS!$F$7:$F$5000=$A143)*(GASTOS!$L$7:$L$5000="Materiales y equipos")*(GASTOS!$I$7:$I$5000&lt;&gt;"")),GASTOS!$D$7:$D$5000),""))</f>
        <v/>
      </c>
      <c r="P143" s="10" t="str">
        <f aca="false">IF(D143="","",N(PRESUPUESTO!I139))</f>
        <v/>
      </c>
      <c r="Q143" s="36" t="str">
        <f aca="false">IF(OR(D143="",N143="",N(P143)=0),"",N143/P143-1)</f>
        <v/>
      </c>
      <c r="R143" s="10" t="str">
        <f aca="false">IF(OR(D143="",S143="Servicio"),"",H143*IF(N143&lt;&gt;"",N143,P143))</f>
        <v/>
      </c>
      <c r="S143" s="39" t="str">
        <f aca="false">IF(D143="","",IF(N(PRESUPUESTO!H139)=0,"Servicio",IF(G143=0,"Sin comprar",IF(G143&gt;=D143,"Comprado","Parcial"))))</f>
        <v/>
      </c>
      <c r="T143" s="86" t="str">
        <f aca="false">IF(AND(ISNUMBER(Q143),N(Q143)&gt;0.1),"Precio +"&amp;TEXT(Q143,"0%"),"")</f>
        <v/>
      </c>
      <c r="U143" s="0" t="str">
        <f aca="false">IF(OR(D143="",S143="Servicio"),"",MIN(G143,D143)*P143)</f>
        <v/>
      </c>
      <c r="V143" s="0" t="str">
        <f aca="false">IF(OR(D143="",S143="Servicio"),"",D143*P143)</f>
        <v/>
      </c>
    </row>
    <row r="144" customFormat="false" ht="16.5" hidden="false" customHeight="true" outlineLevel="0" collapsed="false">
      <c r="A144" s="23" t="str">
        <f aca="false">IF(PRESUPUESTO!$A140="Ítem",PRESUPUESTO!B140,"")</f>
        <v/>
      </c>
      <c r="B144" s="23" t="str">
        <f aca="false">IF(PRESUPUESTO!C140="","",PRESUPUESTO!C140)</f>
        <v/>
      </c>
      <c r="C144" s="86" t="str">
        <f aca="false">IF(PRESUPUESTO!$A140="Ítem",PRESUPUESTO!D140,"")</f>
        <v/>
      </c>
      <c r="D144" s="87" t="str">
        <f aca="false">IF(PRESUPUESTO!$A140&lt;&gt;"Ítem","",MAX(N(PRESUPUESTO!E140),N('CORTES CLIENTE'!L153)))</f>
        <v/>
      </c>
      <c r="E144" s="80"/>
      <c r="F144" s="87" t="str">
        <f aca="false">IF(D144="","",SUMIFS(GASTOS!$H$7:$H$5000,GASTOS!$F$7:$F$5000,$A144,GASTOS!$L$7:$L$5000,"Materiales y equipos"))</f>
        <v/>
      </c>
      <c r="G144" s="88" t="str">
        <f aca="false">IF(D144="","",N(E144)+F144)</f>
        <v/>
      </c>
      <c r="H144" s="88" t="str">
        <f aca="false">IF(OR(D144="",S144="Servicio"),"",MAX(0,D144-G144))</f>
        <v/>
      </c>
      <c r="I144" s="36" t="str">
        <f aca="false">IF(OR(D144="",S144="Servicio",N(D144)=0),"",MIN(1,G144/D144))</f>
        <v/>
      </c>
      <c r="J144" s="10" t="str">
        <f aca="false">IF(D144="","",PRESUPUESTO!O140)</f>
        <v/>
      </c>
      <c r="K144" s="10" t="str">
        <f aca="false">IF(D144="","",SUMIFS(GASTOS!$J$7:$J$5000,GASTOS!$F$7:$F$5000,$A144,GASTOS!$L$7:$L$5000,"Materiales y equipos"))</f>
        <v/>
      </c>
      <c r="L144" s="105" t="str">
        <f aca="false">IF(D144="","",COUNTIFS(GASTOS!$F$7:$F$5000,$A144,GASTOS!$L$7:$L$5000,"Materiales y equipos"))</f>
        <v/>
      </c>
      <c r="M144" s="10" t="str">
        <f aca="false">IF(OR(D144="",N(F144)=0),"",K144/F144)</f>
        <v/>
      </c>
      <c r="N144" s="10" t="str">
        <f aca="false">IF(OR(D144="",N(L144)=0),"",IFERROR(LOOKUP(2,1/((GASTOS!$F$7:$F$5000=$A144)*(GASTOS!$L$7:$L$5000="Materiales y equipos")*(GASTOS!$I$7:$I$5000&lt;&gt;"")),GASTOS!$I$7:$I$5000),""))</f>
        <v/>
      </c>
      <c r="O144" s="23" t="str">
        <f aca="false">IF(OR(D144="",N(L144)=0),"",IFERROR(LOOKUP(2,1/((GASTOS!$F$7:$F$5000=$A144)*(GASTOS!$L$7:$L$5000="Materiales y equipos")*(GASTOS!$I$7:$I$5000&lt;&gt;"")),GASTOS!$D$7:$D$5000),""))</f>
        <v/>
      </c>
      <c r="P144" s="10" t="str">
        <f aca="false">IF(D144="","",N(PRESUPUESTO!I140))</f>
        <v/>
      </c>
      <c r="Q144" s="36" t="str">
        <f aca="false">IF(OR(D144="",N144="",N(P144)=0),"",N144/P144-1)</f>
        <v/>
      </c>
      <c r="R144" s="10" t="str">
        <f aca="false">IF(OR(D144="",S144="Servicio"),"",H144*IF(N144&lt;&gt;"",N144,P144))</f>
        <v/>
      </c>
      <c r="S144" s="39" t="str">
        <f aca="false">IF(D144="","",IF(N(PRESUPUESTO!H140)=0,"Servicio",IF(G144=0,"Sin comprar",IF(G144&gt;=D144,"Comprado","Parcial"))))</f>
        <v/>
      </c>
      <c r="T144" s="86" t="str">
        <f aca="false">IF(AND(ISNUMBER(Q144),N(Q144)&gt;0.1),"Precio +"&amp;TEXT(Q144,"0%"),"")</f>
        <v/>
      </c>
      <c r="U144" s="0" t="str">
        <f aca="false">IF(OR(D144="",S144="Servicio"),"",MIN(G144,D144)*P144)</f>
        <v/>
      </c>
      <c r="V144" s="0" t="str">
        <f aca="false">IF(OR(D144="",S144="Servicio"),"",D144*P144)</f>
        <v/>
      </c>
    </row>
    <row r="145" customFormat="false" ht="16.5" hidden="false" customHeight="true" outlineLevel="0" collapsed="false">
      <c r="A145" s="23" t="str">
        <f aca="false">IF(PRESUPUESTO!$A141="Ítem",PRESUPUESTO!B141,"")</f>
        <v/>
      </c>
      <c r="B145" s="23" t="str">
        <f aca="false">IF(PRESUPUESTO!C141="","",PRESUPUESTO!C141)</f>
        <v/>
      </c>
      <c r="C145" s="86" t="str">
        <f aca="false">IF(PRESUPUESTO!$A141="Ítem",PRESUPUESTO!D141,"")</f>
        <v/>
      </c>
      <c r="D145" s="87" t="str">
        <f aca="false">IF(PRESUPUESTO!$A141&lt;&gt;"Ítem","",MAX(N(PRESUPUESTO!E141),N('CORTES CLIENTE'!L154)))</f>
        <v/>
      </c>
      <c r="E145" s="80"/>
      <c r="F145" s="87" t="str">
        <f aca="false">IF(D145="","",SUMIFS(GASTOS!$H$7:$H$5000,GASTOS!$F$7:$F$5000,$A145,GASTOS!$L$7:$L$5000,"Materiales y equipos"))</f>
        <v/>
      </c>
      <c r="G145" s="88" t="str">
        <f aca="false">IF(D145="","",N(E145)+F145)</f>
        <v/>
      </c>
      <c r="H145" s="88" t="str">
        <f aca="false">IF(OR(D145="",S145="Servicio"),"",MAX(0,D145-G145))</f>
        <v/>
      </c>
      <c r="I145" s="36" t="str">
        <f aca="false">IF(OR(D145="",S145="Servicio",N(D145)=0),"",MIN(1,G145/D145))</f>
        <v/>
      </c>
      <c r="J145" s="10" t="str">
        <f aca="false">IF(D145="","",PRESUPUESTO!O141)</f>
        <v/>
      </c>
      <c r="K145" s="10" t="str">
        <f aca="false">IF(D145="","",SUMIFS(GASTOS!$J$7:$J$5000,GASTOS!$F$7:$F$5000,$A145,GASTOS!$L$7:$L$5000,"Materiales y equipos"))</f>
        <v/>
      </c>
      <c r="L145" s="105" t="str">
        <f aca="false">IF(D145="","",COUNTIFS(GASTOS!$F$7:$F$5000,$A145,GASTOS!$L$7:$L$5000,"Materiales y equipos"))</f>
        <v/>
      </c>
      <c r="M145" s="10" t="str">
        <f aca="false">IF(OR(D145="",N(F145)=0),"",K145/F145)</f>
        <v/>
      </c>
      <c r="N145" s="10" t="str">
        <f aca="false">IF(OR(D145="",N(L145)=0),"",IFERROR(LOOKUP(2,1/((GASTOS!$F$7:$F$5000=$A145)*(GASTOS!$L$7:$L$5000="Materiales y equipos")*(GASTOS!$I$7:$I$5000&lt;&gt;"")),GASTOS!$I$7:$I$5000),""))</f>
        <v/>
      </c>
      <c r="O145" s="23" t="str">
        <f aca="false">IF(OR(D145="",N(L145)=0),"",IFERROR(LOOKUP(2,1/((GASTOS!$F$7:$F$5000=$A145)*(GASTOS!$L$7:$L$5000="Materiales y equipos")*(GASTOS!$I$7:$I$5000&lt;&gt;"")),GASTOS!$D$7:$D$5000),""))</f>
        <v/>
      </c>
      <c r="P145" s="10" t="str">
        <f aca="false">IF(D145="","",N(PRESUPUESTO!I141))</f>
        <v/>
      </c>
      <c r="Q145" s="36" t="str">
        <f aca="false">IF(OR(D145="",N145="",N(P145)=0),"",N145/P145-1)</f>
        <v/>
      </c>
      <c r="R145" s="10" t="str">
        <f aca="false">IF(OR(D145="",S145="Servicio"),"",H145*IF(N145&lt;&gt;"",N145,P145))</f>
        <v/>
      </c>
      <c r="S145" s="39" t="str">
        <f aca="false">IF(D145="","",IF(N(PRESUPUESTO!H141)=0,"Servicio",IF(G145=0,"Sin comprar",IF(G145&gt;=D145,"Comprado","Parcial"))))</f>
        <v/>
      </c>
      <c r="T145" s="86" t="str">
        <f aca="false">IF(AND(ISNUMBER(Q145),N(Q145)&gt;0.1),"Precio +"&amp;TEXT(Q145,"0%"),"")</f>
        <v/>
      </c>
      <c r="U145" s="0" t="str">
        <f aca="false">IF(OR(D145="",S145="Servicio"),"",MIN(G145,D145)*P145)</f>
        <v/>
      </c>
      <c r="V145" s="0" t="str">
        <f aca="false">IF(OR(D145="",S145="Servicio"),"",D145*P145)</f>
        <v/>
      </c>
    </row>
    <row r="146" customFormat="false" ht="16.5" hidden="false" customHeight="true" outlineLevel="0" collapsed="false">
      <c r="A146" s="23" t="str">
        <f aca="false">IF(PRESUPUESTO!$A142="Ítem",PRESUPUESTO!B142,"")</f>
        <v/>
      </c>
      <c r="B146" s="23" t="str">
        <f aca="false">IF(PRESUPUESTO!C142="","",PRESUPUESTO!C142)</f>
        <v/>
      </c>
      <c r="C146" s="86" t="str">
        <f aca="false">IF(PRESUPUESTO!$A142="Ítem",PRESUPUESTO!D142,"")</f>
        <v/>
      </c>
      <c r="D146" s="87" t="str">
        <f aca="false">IF(PRESUPUESTO!$A142&lt;&gt;"Ítem","",MAX(N(PRESUPUESTO!E142),N('CORTES CLIENTE'!L155)))</f>
        <v/>
      </c>
      <c r="E146" s="80"/>
      <c r="F146" s="87" t="str">
        <f aca="false">IF(D146="","",SUMIFS(GASTOS!$H$7:$H$5000,GASTOS!$F$7:$F$5000,$A146,GASTOS!$L$7:$L$5000,"Materiales y equipos"))</f>
        <v/>
      </c>
      <c r="G146" s="88" t="str">
        <f aca="false">IF(D146="","",N(E146)+F146)</f>
        <v/>
      </c>
      <c r="H146" s="88" t="str">
        <f aca="false">IF(OR(D146="",S146="Servicio"),"",MAX(0,D146-G146))</f>
        <v/>
      </c>
      <c r="I146" s="36" t="str">
        <f aca="false">IF(OR(D146="",S146="Servicio",N(D146)=0),"",MIN(1,G146/D146))</f>
        <v/>
      </c>
      <c r="J146" s="10" t="str">
        <f aca="false">IF(D146="","",PRESUPUESTO!O142)</f>
        <v/>
      </c>
      <c r="K146" s="10" t="str">
        <f aca="false">IF(D146="","",SUMIFS(GASTOS!$J$7:$J$5000,GASTOS!$F$7:$F$5000,$A146,GASTOS!$L$7:$L$5000,"Materiales y equipos"))</f>
        <v/>
      </c>
      <c r="L146" s="105" t="str">
        <f aca="false">IF(D146="","",COUNTIFS(GASTOS!$F$7:$F$5000,$A146,GASTOS!$L$7:$L$5000,"Materiales y equipos"))</f>
        <v/>
      </c>
      <c r="M146" s="10" t="str">
        <f aca="false">IF(OR(D146="",N(F146)=0),"",K146/F146)</f>
        <v/>
      </c>
      <c r="N146" s="10" t="str">
        <f aca="false">IF(OR(D146="",N(L146)=0),"",IFERROR(LOOKUP(2,1/((GASTOS!$F$7:$F$5000=$A146)*(GASTOS!$L$7:$L$5000="Materiales y equipos")*(GASTOS!$I$7:$I$5000&lt;&gt;"")),GASTOS!$I$7:$I$5000),""))</f>
        <v/>
      </c>
      <c r="O146" s="23" t="str">
        <f aca="false">IF(OR(D146="",N(L146)=0),"",IFERROR(LOOKUP(2,1/((GASTOS!$F$7:$F$5000=$A146)*(GASTOS!$L$7:$L$5000="Materiales y equipos")*(GASTOS!$I$7:$I$5000&lt;&gt;"")),GASTOS!$D$7:$D$5000),""))</f>
        <v/>
      </c>
      <c r="P146" s="10" t="str">
        <f aca="false">IF(D146="","",N(PRESUPUESTO!I142))</f>
        <v/>
      </c>
      <c r="Q146" s="36" t="str">
        <f aca="false">IF(OR(D146="",N146="",N(P146)=0),"",N146/P146-1)</f>
        <v/>
      </c>
      <c r="R146" s="10" t="str">
        <f aca="false">IF(OR(D146="",S146="Servicio"),"",H146*IF(N146&lt;&gt;"",N146,P146))</f>
        <v/>
      </c>
      <c r="S146" s="39" t="str">
        <f aca="false">IF(D146="","",IF(N(PRESUPUESTO!H142)=0,"Servicio",IF(G146=0,"Sin comprar",IF(G146&gt;=D146,"Comprado","Parcial"))))</f>
        <v/>
      </c>
      <c r="T146" s="86" t="str">
        <f aca="false">IF(AND(ISNUMBER(Q146),N(Q146)&gt;0.1),"Precio +"&amp;TEXT(Q146,"0%"),"")</f>
        <v/>
      </c>
      <c r="U146" s="0" t="str">
        <f aca="false">IF(OR(D146="",S146="Servicio"),"",MIN(G146,D146)*P146)</f>
        <v/>
      </c>
      <c r="V146" s="0" t="str">
        <f aca="false">IF(OR(D146="",S146="Servicio"),"",D146*P146)</f>
        <v/>
      </c>
    </row>
    <row r="147" customFormat="false" ht="16.5" hidden="false" customHeight="true" outlineLevel="0" collapsed="false">
      <c r="A147" s="23" t="str">
        <f aca="false">IF(PRESUPUESTO!$A143="Ítem",PRESUPUESTO!B143,"")</f>
        <v/>
      </c>
      <c r="B147" s="23" t="str">
        <f aca="false">IF(PRESUPUESTO!C143="","",PRESUPUESTO!C143)</f>
        <v/>
      </c>
      <c r="C147" s="86" t="str">
        <f aca="false">IF(PRESUPUESTO!$A143="Ítem",PRESUPUESTO!D143,"")</f>
        <v/>
      </c>
      <c r="D147" s="87" t="str">
        <f aca="false">IF(PRESUPUESTO!$A143&lt;&gt;"Ítem","",MAX(N(PRESUPUESTO!E143),N('CORTES CLIENTE'!L156)))</f>
        <v/>
      </c>
      <c r="E147" s="80"/>
      <c r="F147" s="87" t="str">
        <f aca="false">IF(D147="","",SUMIFS(GASTOS!$H$7:$H$5000,GASTOS!$F$7:$F$5000,$A147,GASTOS!$L$7:$L$5000,"Materiales y equipos"))</f>
        <v/>
      </c>
      <c r="G147" s="88" t="str">
        <f aca="false">IF(D147="","",N(E147)+F147)</f>
        <v/>
      </c>
      <c r="H147" s="88" t="str">
        <f aca="false">IF(OR(D147="",S147="Servicio"),"",MAX(0,D147-G147))</f>
        <v/>
      </c>
      <c r="I147" s="36" t="str">
        <f aca="false">IF(OR(D147="",S147="Servicio",N(D147)=0),"",MIN(1,G147/D147))</f>
        <v/>
      </c>
      <c r="J147" s="10" t="str">
        <f aca="false">IF(D147="","",PRESUPUESTO!O143)</f>
        <v/>
      </c>
      <c r="K147" s="10" t="str">
        <f aca="false">IF(D147="","",SUMIFS(GASTOS!$J$7:$J$5000,GASTOS!$F$7:$F$5000,$A147,GASTOS!$L$7:$L$5000,"Materiales y equipos"))</f>
        <v/>
      </c>
      <c r="L147" s="105" t="str">
        <f aca="false">IF(D147="","",COUNTIFS(GASTOS!$F$7:$F$5000,$A147,GASTOS!$L$7:$L$5000,"Materiales y equipos"))</f>
        <v/>
      </c>
      <c r="M147" s="10" t="str">
        <f aca="false">IF(OR(D147="",N(F147)=0),"",K147/F147)</f>
        <v/>
      </c>
      <c r="N147" s="10" t="str">
        <f aca="false">IF(OR(D147="",N(L147)=0),"",IFERROR(LOOKUP(2,1/((GASTOS!$F$7:$F$5000=$A147)*(GASTOS!$L$7:$L$5000="Materiales y equipos")*(GASTOS!$I$7:$I$5000&lt;&gt;"")),GASTOS!$I$7:$I$5000),""))</f>
        <v/>
      </c>
      <c r="O147" s="23" t="str">
        <f aca="false">IF(OR(D147="",N(L147)=0),"",IFERROR(LOOKUP(2,1/((GASTOS!$F$7:$F$5000=$A147)*(GASTOS!$L$7:$L$5000="Materiales y equipos")*(GASTOS!$I$7:$I$5000&lt;&gt;"")),GASTOS!$D$7:$D$5000),""))</f>
        <v/>
      </c>
      <c r="P147" s="10" t="str">
        <f aca="false">IF(D147="","",N(PRESUPUESTO!I143))</f>
        <v/>
      </c>
      <c r="Q147" s="36" t="str">
        <f aca="false">IF(OR(D147="",N147="",N(P147)=0),"",N147/P147-1)</f>
        <v/>
      </c>
      <c r="R147" s="10" t="str">
        <f aca="false">IF(OR(D147="",S147="Servicio"),"",H147*IF(N147&lt;&gt;"",N147,P147))</f>
        <v/>
      </c>
      <c r="S147" s="39" t="str">
        <f aca="false">IF(D147="","",IF(N(PRESUPUESTO!H143)=0,"Servicio",IF(G147=0,"Sin comprar",IF(G147&gt;=D147,"Comprado","Parcial"))))</f>
        <v/>
      </c>
      <c r="T147" s="86" t="str">
        <f aca="false">IF(AND(ISNUMBER(Q147),N(Q147)&gt;0.1),"Precio +"&amp;TEXT(Q147,"0%"),"")</f>
        <v/>
      </c>
      <c r="U147" s="0" t="str">
        <f aca="false">IF(OR(D147="",S147="Servicio"),"",MIN(G147,D147)*P147)</f>
        <v/>
      </c>
      <c r="V147" s="0" t="str">
        <f aca="false">IF(OR(D147="",S147="Servicio"),"",D147*P147)</f>
        <v/>
      </c>
    </row>
    <row r="148" customFormat="false" ht="16.5" hidden="false" customHeight="true" outlineLevel="0" collapsed="false">
      <c r="A148" s="23" t="str">
        <f aca="false">IF(PRESUPUESTO!$A144="Ítem",PRESUPUESTO!B144,"")</f>
        <v/>
      </c>
      <c r="B148" s="23" t="str">
        <f aca="false">IF(PRESUPUESTO!C144="","",PRESUPUESTO!C144)</f>
        <v/>
      </c>
      <c r="C148" s="86" t="str">
        <f aca="false">IF(PRESUPUESTO!$A144="Ítem",PRESUPUESTO!D144,"")</f>
        <v/>
      </c>
      <c r="D148" s="87" t="str">
        <f aca="false">IF(PRESUPUESTO!$A144&lt;&gt;"Ítem","",MAX(N(PRESUPUESTO!E144),N('CORTES CLIENTE'!L157)))</f>
        <v/>
      </c>
      <c r="E148" s="80"/>
      <c r="F148" s="87" t="str">
        <f aca="false">IF(D148="","",SUMIFS(GASTOS!$H$7:$H$5000,GASTOS!$F$7:$F$5000,$A148,GASTOS!$L$7:$L$5000,"Materiales y equipos"))</f>
        <v/>
      </c>
      <c r="G148" s="88" t="str">
        <f aca="false">IF(D148="","",N(E148)+F148)</f>
        <v/>
      </c>
      <c r="H148" s="88" t="str">
        <f aca="false">IF(OR(D148="",S148="Servicio"),"",MAX(0,D148-G148))</f>
        <v/>
      </c>
      <c r="I148" s="36" t="str">
        <f aca="false">IF(OR(D148="",S148="Servicio",N(D148)=0),"",MIN(1,G148/D148))</f>
        <v/>
      </c>
      <c r="J148" s="10" t="str">
        <f aca="false">IF(D148="","",PRESUPUESTO!O144)</f>
        <v/>
      </c>
      <c r="K148" s="10" t="str">
        <f aca="false">IF(D148="","",SUMIFS(GASTOS!$J$7:$J$5000,GASTOS!$F$7:$F$5000,$A148,GASTOS!$L$7:$L$5000,"Materiales y equipos"))</f>
        <v/>
      </c>
      <c r="L148" s="105" t="str">
        <f aca="false">IF(D148="","",COUNTIFS(GASTOS!$F$7:$F$5000,$A148,GASTOS!$L$7:$L$5000,"Materiales y equipos"))</f>
        <v/>
      </c>
      <c r="M148" s="10" t="str">
        <f aca="false">IF(OR(D148="",N(F148)=0),"",K148/F148)</f>
        <v/>
      </c>
      <c r="N148" s="10" t="str">
        <f aca="false">IF(OR(D148="",N(L148)=0),"",IFERROR(LOOKUP(2,1/((GASTOS!$F$7:$F$5000=$A148)*(GASTOS!$L$7:$L$5000="Materiales y equipos")*(GASTOS!$I$7:$I$5000&lt;&gt;"")),GASTOS!$I$7:$I$5000),""))</f>
        <v/>
      </c>
      <c r="O148" s="23" t="str">
        <f aca="false">IF(OR(D148="",N(L148)=0),"",IFERROR(LOOKUP(2,1/((GASTOS!$F$7:$F$5000=$A148)*(GASTOS!$L$7:$L$5000="Materiales y equipos")*(GASTOS!$I$7:$I$5000&lt;&gt;"")),GASTOS!$D$7:$D$5000),""))</f>
        <v/>
      </c>
      <c r="P148" s="10" t="str">
        <f aca="false">IF(D148="","",N(PRESUPUESTO!I144))</f>
        <v/>
      </c>
      <c r="Q148" s="36" t="str">
        <f aca="false">IF(OR(D148="",N148="",N(P148)=0),"",N148/P148-1)</f>
        <v/>
      </c>
      <c r="R148" s="10" t="str">
        <f aca="false">IF(OR(D148="",S148="Servicio"),"",H148*IF(N148&lt;&gt;"",N148,P148))</f>
        <v/>
      </c>
      <c r="S148" s="39" t="str">
        <f aca="false">IF(D148="","",IF(N(PRESUPUESTO!H144)=0,"Servicio",IF(G148=0,"Sin comprar",IF(G148&gt;=D148,"Comprado","Parcial"))))</f>
        <v/>
      </c>
      <c r="T148" s="86" t="str">
        <f aca="false">IF(AND(ISNUMBER(Q148),N(Q148)&gt;0.1),"Precio +"&amp;TEXT(Q148,"0%"),"")</f>
        <v/>
      </c>
      <c r="U148" s="0" t="str">
        <f aca="false">IF(OR(D148="",S148="Servicio"),"",MIN(G148,D148)*P148)</f>
        <v/>
      </c>
      <c r="V148" s="0" t="str">
        <f aca="false">IF(OR(D148="",S148="Servicio"),"",D148*P148)</f>
        <v/>
      </c>
    </row>
    <row r="149" customFormat="false" ht="16.5" hidden="false" customHeight="true" outlineLevel="0" collapsed="false">
      <c r="A149" s="23" t="str">
        <f aca="false">IF(PRESUPUESTO!$A145="Ítem",PRESUPUESTO!B145,"")</f>
        <v/>
      </c>
      <c r="B149" s="23" t="str">
        <f aca="false">IF(PRESUPUESTO!C145="","",PRESUPUESTO!C145)</f>
        <v/>
      </c>
      <c r="C149" s="86" t="str">
        <f aca="false">IF(PRESUPUESTO!$A145="Ítem",PRESUPUESTO!D145,"")</f>
        <v/>
      </c>
      <c r="D149" s="87" t="str">
        <f aca="false">IF(PRESUPUESTO!$A145&lt;&gt;"Ítem","",MAX(N(PRESUPUESTO!E145),N('CORTES CLIENTE'!L158)))</f>
        <v/>
      </c>
      <c r="E149" s="80"/>
      <c r="F149" s="87" t="str">
        <f aca="false">IF(D149="","",SUMIFS(GASTOS!$H$7:$H$5000,GASTOS!$F$7:$F$5000,$A149,GASTOS!$L$7:$L$5000,"Materiales y equipos"))</f>
        <v/>
      </c>
      <c r="G149" s="88" t="str">
        <f aca="false">IF(D149="","",N(E149)+F149)</f>
        <v/>
      </c>
      <c r="H149" s="88" t="str">
        <f aca="false">IF(OR(D149="",S149="Servicio"),"",MAX(0,D149-G149))</f>
        <v/>
      </c>
      <c r="I149" s="36" t="str">
        <f aca="false">IF(OR(D149="",S149="Servicio",N(D149)=0),"",MIN(1,G149/D149))</f>
        <v/>
      </c>
      <c r="J149" s="10" t="str">
        <f aca="false">IF(D149="","",PRESUPUESTO!O145)</f>
        <v/>
      </c>
      <c r="K149" s="10" t="str">
        <f aca="false">IF(D149="","",SUMIFS(GASTOS!$J$7:$J$5000,GASTOS!$F$7:$F$5000,$A149,GASTOS!$L$7:$L$5000,"Materiales y equipos"))</f>
        <v/>
      </c>
      <c r="L149" s="105" t="str">
        <f aca="false">IF(D149="","",COUNTIFS(GASTOS!$F$7:$F$5000,$A149,GASTOS!$L$7:$L$5000,"Materiales y equipos"))</f>
        <v/>
      </c>
      <c r="M149" s="10" t="str">
        <f aca="false">IF(OR(D149="",N(F149)=0),"",K149/F149)</f>
        <v/>
      </c>
      <c r="N149" s="10" t="str">
        <f aca="false">IF(OR(D149="",N(L149)=0),"",IFERROR(LOOKUP(2,1/((GASTOS!$F$7:$F$5000=$A149)*(GASTOS!$L$7:$L$5000="Materiales y equipos")*(GASTOS!$I$7:$I$5000&lt;&gt;"")),GASTOS!$I$7:$I$5000),""))</f>
        <v/>
      </c>
      <c r="O149" s="23" t="str">
        <f aca="false">IF(OR(D149="",N(L149)=0),"",IFERROR(LOOKUP(2,1/((GASTOS!$F$7:$F$5000=$A149)*(GASTOS!$L$7:$L$5000="Materiales y equipos")*(GASTOS!$I$7:$I$5000&lt;&gt;"")),GASTOS!$D$7:$D$5000),""))</f>
        <v/>
      </c>
      <c r="P149" s="10" t="str">
        <f aca="false">IF(D149="","",N(PRESUPUESTO!I145))</f>
        <v/>
      </c>
      <c r="Q149" s="36" t="str">
        <f aca="false">IF(OR(D149="",N149="",N(P149)=0),"",N149/P149-1)</f>
        <v/>
      </c>
      <c r="R149" s="10" t="str">
        <f aca="false">IF(OR(D149="",S149="Servicio"),"",H149*IF(N149&lt;&gt;"",N149,P149))</f>
        <v/>
      </c>
      <c r="S149" s="39" t="str">
        <f aca="false">IF(D149="","",IF(N(PRESUPUESTO!H145)=0,"Servicio",IF(G149=0,"Sin comprar",IF(G149&gt;=D149,"Comprado","Parcial"))))</f>
        <v/>
      </c>
      <c r="T149" s="86" t="str">
        <f aca="false">IF(AND(ISNUMBER(Q149),N(Q149)&gt;0.1),"Precio +"&amp;TEXT(Q149,"0%"),"")</f>
        <v/>
      </c>
      <c r="U149" s="0" t="str">
        <f aca="false">IF(OR(D149="",S149="Servicio"),"",MIN(G149,D149)*P149)</f>
        <v/>
      </c>
      <c r="V149" s="0" t="str">
        <f aca="false">IF(OR(D149="",S149="Servicio"),"",D149*P149)</f>
        <v/>
      </c>
    </row>
    <row r="150" customFormat="false" ht="16.5" hidden="false" customHeight="true" outlineLevel="0" collapsed="false">
      <c r="A150" s="23" t="str">
        <f aca="false">IF(PRESUPUESTO!$A146="Ítem",PRESUPUESTO!B146,"")</f>
        <v/>
      </c>
      <c r="B150" s="23" t="str">
        <f aca="false">IF(PRESUPUESTO!C146="","",PRESUPUESTO!C146)</f>
        <v/>
      </c>
      <c r="C150" s="86" t="str">
        <f aca="false">IF(PRESUPUESTO!$A146="Ítem",PRESUPUESTO!D146,"")</f>
        <v/>
      </c>
      <c r="D150" s="87" t="str">
        <f aca="false">IF(PRESUPUESTO!$A146&lt;&gt;"Ítem","",MAX(N(PRESUPUESTO!E146),N('CORTES CLIENTE'!L159)))</f>
        <v/>
      </c>
      <c r="E150" s="80"/>
      <c r="F150" s="87" t="str">
        <f aca="false">IF(D150="","",SUMIFS(GASTOS!$H$7:$H$5000,GASTOS!$F$7:$F$5000,$A150,GASTOS!$L$7:$L$5000,"Materiales y equipos"))</f>
        <v/>
      </c>
      <c r="G150" s="88" t="str">
        <f aca="false">IF(D150="","",N(E150)+F150)</f>
        <v/>
      </c>
      <c r="H150" s="88" t="str">
        <f aca="false">IF(OR(D150="",S150="Servicio"),"",MAX(0,D150-G150))</f>
        <v/>
      </c>
      <c r="I150" s="36" t="str">
        <f aca="false">IF(OR(D150="",S150="Servicio",N(D150)=0),"",MIN(1,G150/D150))</f>
        <v/>
      </c>
      <c r="J150" s="10" t="str">
        <f aca="false">IF(D150="","",PRESUPUESTO!O146)</f>
        <v/>
      </c>
      <c r="K150" s="10" t="str">
        <f aca="false">IF(D150="","",SUMIFS(GASTOS!$J$7:$J$5000,GASTOS!$F$7:$F$5000,$A150,GASTOS!$L$7:$L$5000,"Materiales y equipos"))</f>
        <v/>
      </c>
      <c r="L150" s="105" t="str">
        <f aca="false">IF(D150="","",COUNTIFS(GASTOS!$F$7:$F$5000,$A150,GASTOS!$L$7:$L$5000,"Materiales y equipos"))</f>
        <v/>
      </c>
      <c r="M150" s="10" t="str">
        <f aca="false">IF(OR(D150="",N(F150)=0),"",K150/F150)</f>
        <v/>
      </c>
      <c r="N150" s="10" t="str">
        <f aca="false">IF(OR(D150="",N(L150)=0),"",IFERROR(LOOKUP(2,1/((GASTOS!$F$7:$F$5000=$A150)*(GASTOS!$L$7:$L$5000="Materiales y equipos")*(GASTOS!$I$7:$I$5000&lt;&gt;"")),GASTOS!$I$7:$I$5000),""))</f>
        <v/>
      </c>
      <c r="O150" s="23" t="str">
        <f aca="false">IF(OR(D150="",N(L150)=0),"",IFERROR(LOOKUP(2,1/((GASTOS!$F$7:$F$5000=$A150)*(GASTOS!$L$7:$L$5000="Materiales y equipos")*(GASTOS!$I$7:$I$5000&lt;&gt;"")),GASTOS!$D$7:$D$5000),""))</f>
        <v/>
      </c>
      <c r="P150" s="10" t="str">
        <f aca="false">IF(D150="","",N(PRESUPUESTO!I146))</f>
        <v/>
      </c>
      <c r="Q150" s="36" t="str">
        <f aca="false">IF(OR(D150="",N150="",N(P150)=0),"",N150/P150-1)</f>
        <v/>
      </c>
      <c r="R150" s="10" t="str">
        <f aca="false">IF(OR(D150="",S150="Servicio"),"",H150*IF(N150&lt;&gt;"",N150,P150))</f>
        <v/>
      </c>
      <c r="S150" s="39" t="str">
        <f aca="false">IF(D150="","",IF(N(PRESUPUESTO!H146)=0,"Servicio",IF(G150=0,"Sin comprar",IF(G150&gt;=D150,"Comprado","Parcial"))))</f>
        <v/>
      </c>
      <c r="T150" s="86" t="str">
        <f aca="false">IF(AND(ISNUMBER(Q150),N(Q150)&gt;0.1),"Precio +"&amp;TEXT(Q150,"0%"),"")</f>
        <v/>
      </c>
      <c r="U150" s="0" t="str">
        <f aca="false">IF(OR(D150="",S150="Servicio"),"",MIN(G150,D150)*P150)</f>
        <v/>
      </c>
      <c r="V150" s="0" t="str">
        <f aca="false">IF(OR(D150="",S150="Servicio"),"",D150*P150)</f>
        <v/>
      </c>
    </row>
    <row r="151" customFormat="false" ht="16.5" hidden="false" customHeight="true" outlineLevel="0" collapsed="false">
      <c r="A151" s="23" t="str">
        <f aca="false">IF(PRESUPUESTO!$A147="Ítem",PRESUPUESTO!B147,"")</f>
        <v/>
      </c>
      <c r="B151" s="23" t="str">
        <f aca="false">IF(PRESUPUESTO!C147="","",PRESUPUESTO!C147)</f>
        <v/>
      </c>
      <c r="C151" s="86" t="str">
        <f aca="false">IF(PRESUPUESTO!$A147="Ítem",PRESUPUESTO!D147,"")</f>
        <v/>
      </c>
      <c r="D151" s="87" t="str">
        <f aca="false">IF(PRESUPUESTO!$A147&lt;&gt;"Ítem","",MAX(N(PRESUPUESTO!E147),N('CORTES CLIENTE'!L160)))</f>
        <v/>
      </c>
      <c r="E151" s="80"/>
      <c r="F151" s="87" t="str">
        <f aca="false">IF(D151="","",SUMIFS(GASTOS!$H$7:$H$5000,GASTOS!$F$7:$F$5000,$A151,GASTOS!$L$7:$L$5000,"Materiales y equipos"))</f>
        <v/>
      </c>
      <c r="G151" s="88" t="str">
        <f aca="false">IF(D151="","",N(E151)+F151)</f>
        <v/>
      </c>
      <c r="H151" s="88" t="str">
        <f aca="false">IF(OR(D151="",S151="Servicio"),"",MAX(0,D151-G151))</f>
        <v/>
      </c>
      <c r="I151" s="36" t="str">
        <f aca="false">IF(OR(D151="",S151="Servicio",N(D151)=0),"",MIN(1,G151/D151))</f>
        <v/>
      </c>
      <c r="J151" s="10" t="str">
        <f aca="false">IF(D151="","",PRESUPUESTO!O147)</f>
        <v/>
      </c>
      <c r="K151" s="10" t="str">
        <f aca="false">IF(D151="","",SUMIFS(GASTOS!$J$7:$J$5000,GASTOS!$F$7:$F$5000,$A151,GASTOS!$L$7:$L$5000,"Materiales y equipos"))</f>
        <v/>
      </c>
      <c r="L151" s="105" t="str">
        <f aca="false">IF(D151="","",COUNTIFS(GASTOS!$F$7:$F$5000,$A151,GASTOS!$L$7:$L$5000,"Materiales y equipos"))</f>
        <v/>
      </c>
      <c r="M151" s="10" t="str">
        <f aca="false">IF(OR(D151="",N(F151)=0),"",K151/F151)</f>
        <v/>
      </c>
      <c r="N151" s="10" t="str">
        <f aca="false">IF(OR(D151="",N(L151)=0),"",IFERROR(LOOKUP(2,1/((GASTOS!$F$7:$F$5000=$A151)*(GASTOS!$L$7:$L$5000="Materiales y equipos")*(GASTOS!$I$7:$I$5000&lt;&gt;"")),GASTOS!$I$7:$I$5000),""))</f>
        <v/>
      </c>
      <c r="O151" s="23" t="str">
        <f aca="false">IF(OR(D151="",N(L151)=0),"",IFERROR(LOOKUP(2,1/((GASTOS!$F$7:$F$5000=$A151)*(GASTOS!$L$7:$L$5000="Materiales y equipos")*(GASTOS!$I$7:$I$5000&lt;&gt;"")),GASTOS!$D$7:$D$5000),""))</f>
        <v/>
      </c>
      <c r="P151" s="10" t="str">
        <f aca="false">IF(D151="","",N(PRESUPUESTO!I147))</f>
        <v/>
      </c>
      <c r="Q151" s="36" t="str">
        <f aca="false">IF(OR(D151="",N151="",N(P151)=0),"",N151/P151-1)</f>
        <v/>
      </c>
      <c r="R151" s="10" t="str">
        <f aca="false">IF(OR(D151="",S151="Servicio"),"",H151*IF(N151&lt;&gt;"",N151,P151))</f>
        <v/>
      </c>
      <c r="S151" s="39" t="str">
        <f aca="false">IF(D151="","",IF(N(PRESUPUESTO!H147)=0,"Servicio",IF(G151=0,"Sin comprar",IF(G151&gt;=D151,"Comprado","Parcial"))))</f>
        <v/>
      </c>
      <c r="T151" s="86" t="str">
        <f aca="false">IF(AND(ISNUMBER(Q151),N(Q151)&gt;0.1),"Precio +"&amp;TEXT(Q151,"0%"),"")</f>
        <v/>
      </c>
      <c r="U151" s="0" t="str">
        <f aca="false">IF(OR(D151="",S151="Servicio"),"",MIN(G151,D151)*P151)</f>
        <v/>
      </c>
      <c r="V151" s="0" t="str">
        <f aca="false">IF(OR(D151="",S151="Servicio"),"",D151*P151)</f>
        <v/>
      </c>
    </row>
    <row r="152" customFormat="false" ht="16.5" hidden="false" customHeight="true" outlineLevel="0" collapsed="false">
      <c r="A152" s="23" t="str">
        <f aca="false">IF(PRESUPUESTO!$A148="Ítem",PRESUPUESTO!B148,"")</f>
        <v/>
      </c>
      <c r="B152" s="23" t="str">
        <f aca="false">IF(PRESUPUESTO!C148="","",PRESUPUESTO!C148)</f>
        <v/>
      </c>
      <c r="C152" s="86" t="str">
        <f aca="false">IF(PRESUPUESTO!$A148="Ítem",PRESUPUESTO!D148,"")</f>
        <v/>
      </c>
      <c r="D152" s="87" t="str">
        <f aca="false">IF(PRESUPUESTO!$A148&lt;&gt;"Ítem","",MAX(N(PRESUPUESTO!E148),N('CORTES CLIENTE'!L161)))</f>
        <v/>
      </c>
      <c r="E152" s="80"/>
      <c r="F152" s="87" t="str">
        <f aca="false">IF(D152="","",SUMIFS(GASTOS!$H$7:$H$5000,GASTOS!$F$7:$F$5000,$A152,GASTOS!$L$7:$L$5000,"Materiales y equipos"))</f>
        <v/>
      </c>
      <c r="G152" s="88" t="str">
        <f aca="false">IF(D152="","",N(E152)+F152)</f>
        <v/>
      </c>
      <c r="H152" s="88" t="str">
        <f aca="false">IF(OR(D152="",S152="Servicio"),"",MAX(0,D152-G152))</f>
        <v/>
      </c>
      <c r="I152" s="36" t="str">
        <f aca="false">IF(OR(D152="",S152="Servicio",N(D152)=0),"",MIN(1,G152/D152))</f>
        <v/>
      </c>
      <c r="J152" s="10" t="str">
        <f aca="false">IF(D152="","",PRESUPUESTO!O148)</f>
        <v/>
      </c>
      <c r="K152" s="10" t="str">
        <f aca="false">IF(D152="","",SUMIFS(GASTOS!$J$7:$J$5000,GASTOS!$F$7:$F$5000,$A152,GASTOS!$L$7:$L$5000,"Materiales y equipos"))</f>
        <v/>
      </c>
      <c r="L152" s="105" t="str">
        <f aca="false">IF(D152="","",COUNTIFS(GASTOS!$F$7:$F$5000,$A152,GASTOS!$L$7:$L$5000,"Materiales y equipos"))</f>
        <v/>
      </c>
      <c r="M152" s="10" t="str">
        <f aca="false">IF(OR(D152="",N(F152)=0),"",K152/F152)</f>
        <v/>
      </c>
      <c r="N152" s="10" t="str">
        <f aca="false">IF(OR(D152="",N(L152)=0),"",IFERROR(LOOKUP(2,1/((GASTOS!$F$7:$F$5000=$A152)*(GASTOS!$L$7:$L$5000="Materiales y equipos")*(GASTOS!$I$7:$I$5000&lt;&gt;"")),GASTOS!$I$7:$I$5000),""))</f>
        <v/>
      </c>
      <c r="O152" s="23" t="str">
        <f aca="false">IF(OR(D152="",N(L152)=0),"",IFERROR(LOOKUP(2,1/((GASTOS!$F$7:$F$5000=$A152)*(GASTOS!$L$7:$L$5000="Materiales y equipos")*(GASTOS!$I$7:$I$5000&lt;&gt;"")),GASTOS!$D$7:$D$5000),""))</f>
        <v/>
      </c>
      <c r="P152" s="10" t="str">
        <f aca="false">IF(D152="","",N(PRESUPUESTO!I148))</f>
        <v/>
      </c>
      <c r="Q152" s="36" t="str">
        <f aca="false">IF(OR(D152="",N152="",N(P152)=0),"",N152/P152-1)</f>
        <v/>
      </c>
      <c r="R152" s="10" t="str">
        <f aca="false">IF(OR(D152="",S152="Servicio"),"",H152*IF(N152&lt;&gt;"",N152,P152))</f>
        <v/>
      </c>
      <c r="S152" s="39" t="str">
        <f aca="false">IF(D152="","",IF(N(PRESUPUESTO!H148)=0,"Servicio",IF(G152=0,"Sin comprar",IF(G152&gt;=D152,"Comprado","Parcial"))))</f>
        <v/>
      </c>
      <c r="T152" s="86" t="str">
        <f aca="false">IF(AND(ISNUMBER(Q152),N(Q152)&gt;0.1),"Precio +"&amp;TEXT(Q152,"0%"),"")</f>
        <v/>
      </c>
      <c r="U152" s="0" t="str">
        <f aca="false">IF(OR(D152="",S152="Servicio"),"",MIN(G152,D152)*P152)</f>
        <v/>
      </c>
      <c r="V152" s="0" t="str">
        <f aca="false">IF(OR(D152="",S152="Servicio"),"",D152*P152)</f>
        <v/>
      </c>
    </row>
    <row r="153" customFormat="false" ht="16.5" hidden="false" customHeight="true" outlineLevel="0" collapsed="false">
      <c r="A153" s="23" t="str">
        <f aca="false">IF(PRESUPUESTO!$A149="Ítem",PRESUPUESTO!B149,"")</f>
        <v/>
      </c>
      <c r="B153" s="23" t="str">
        <f aca="false">IF(PRESUPUESTO!C149="","",PRESUPUESTO!C149)</f>
        <v/>
      </c>
      <c r="C153" s="86" t="str">
        <f aca="false">IF(PRESUPUESTO!$A149="Ítem",PRESUPUESTO!D149,"")</f>
        <v/>
      </c>
      <c r="D153" s="87" t="str">
        <f aca="false">IF(PRESUPUESTO!$A149&lt;&gt;"Ítem","",MAX(N(PRESUPUESTO!E149),N('CORTES CLIENTE'!L162)))</f>
        <v/>
      </c>
      <c r="E153" s="80"/>
      <c r="F153" s="87" t="str">
        <f aca="false">IF(D153="","",SUMIFS(GASTOS!$H$7:$H$5000,GASTOS!$F$7:$F$5000,$A153,GASTOS!$L$7:$L$5000,"Materiales y equipos"))</f>
        <v/>
      </c>
      <c r="G153" s="88" t="str">
        <f aca="false">IF(D153="","",N(E153)+F153)</f>
        <v/>
      </c>
      <c r="H153" s="88" t="str">
        <f aca="false">IF(OR(D153="",S153="Servicio"),"",MAX(0,D153-G153))</f>
        <v/>
      </c>
      <c r="I153" s="36" t="str">
        <f aca="false">IF(OR(D153="",S153="Servicio",N(D153)=0),"",MIN(1,G153/D153))</f>
        <v/>
      </c>
      <c r="J153" s="10" t="str">
        <f aca="false">IF(D153="","",PRESUPUESTO!O149)</f>
        <v/>
      </c>
      <c r="K153" s="10" t="str">
        <f aca="false">IF(D153="","",SUMIFS(GASTOS!$J$7:$J$5000,GASTOS!$F$7:$F$5000,$A153,GASTOS!$L$7:$L$5000,"Materiales y equipos"))</f>
        <v/>
      </c>
      <c r="L153" s="105" t="str">
        <f aca="false">IF(D153="","",COUNTIFS(GASTOS!$F$7:$F$5000,$A153,GASTOS!$L$7:$L$5000,"Materiales y equipos"))</f>
        <v/>
      </c>
      <c r="M153" s="10" t="str">
        <f aca="false">IF(OR(D153="",N(F153)=0),"",K153/F153)</f>
        <v/>
      </c>
      <c r="N153" s="10" t="str">
        <f aca="false">IF(OR(D153="",N(L153)=0),"",IFERROR(LOOKUP(2,1/((GASTOS!$F$7:$F$5000=$A153)*(GASTOS!$L$7:$L$5000="Materiales y equipos")*(GASTOS!$I$7:$I$5000&lt;&gt;"")),GASTOS!$I$7:$I$5000),""))</f>
        <v/>
      </c>
      <c r="O153" s="23" t="str">
        <f aca="false">IF(OR(D153="",N(L153)=0),"",IFERROR(LOOKUP(2,1/((GASTOS!$F$7:$F$5000=$A153)*(GASTOS!$L$7:$L$5000="Materiales y equipos")*(GASTOS!$I$7:$I$5000&lt;&gt;"")),GASTOS!$D$7:$D$5000),""))</f>
        <v/>
      </c>
      <c r="P153" s="10" t="str">
        <f aca="false">IF(D153="","",N(PRESUPUESTO!I149))</f>
        <v/>
      </c>
      <c r="Q153" s="36" t="str">
        <f aca="false">IF(OR(D153="",N153="",N(P153)=0),"",N153/P153-1)</f>
        <v/>
      </c>
      <c r="R153" s="10" t="str">
        <f aca="false">IF(OR(D153="",S153="Servicio"),"",H153*IF(N153&lt;&gt;"",N153,P153))</f>
        <v/>
      </c>
      <c r="S153" s="39" t="str">
        <f aca="false">IF(D153="","",IF(N(PRESUPUESTO!H149)=0,"Servicio",IF(G153=0,"Sin comprar",IF(G153&gt;=D153,"Comprado","Parcial"))))</f>
        <v/>
      </c>
      <c r="T153" s="86" t="str">
        <f aca="false">IF(AND(ISNUMBER(Q153),N(Q153)&gt;0.1),"Precio +"&amp;TEXT(Q153,"0%"),"")</f>
        <v/>
      </c>
      <c r="U153" s="0" t="str">
        <f aca="false">IF(OR(D153="",S153="Servicio"),"",MIN(G153,D153)*P153)</f>
        <v/>
      </c>
      <c r="V153" s="0" t="str">
        <f aca="false">IF(OR(D153="",S153="Servicio"),"",D153*P153)</f>
        <v/>
      </c>
    </row>
    <row r="154" customFormat="false" ht="16.5" hidden="false" customHeight="true" outlineLevel="0" collapsed="false">
      <c r="A154" s="23" t="str">
        <f aca="false">IF(PRESUPUESTO!$A150="Ítem",PRESUPUESTO!B150,"")</f>
        <v/>
      </c>
      <c r="B154" s="23" t="str">
        <f aca="false">IF(PRESUPUESTO!C150="","",PRESUPUESTO!C150)</f>
        <v/>
      </c>
      <c r="C154" s="86" t="str">
        <f aca="false">IF(PRESUPUESTO!$A150="Ítem",PRESUPUESTO!D150,"")</f>
        <v/>
      </c>
      <c r="D154" s="87" t="str">
        <f aca="false">IF(PRESUPUESTO!$A150&lt;&gt;"Ítem","",MAX(N(PRESUPUESTO!E150),N('CORTES CLIENTE'!L163)))</f>
        <v/>
      </c>
      <c r="E154" s="80"/>
      <c r="F154" s="87" t="str">
        <f aca="false">IF(D154="","",SUMIFS(GASTOS!$H$7:$H$5000,GASTOS!$F$7:$F$5000,$A154,GASTOS!$L$7:$L$5000,"Materiales y equipos"))</f>
        <v/>
      </c>
      <c r="G154" s="88" t="str">
        <f aca="false">IF(D154="","",N(E154)+F154)</f>
        <v/>
      </c>
      <c r="H154" s="88" t="str">
        <f aca="false">IF(OR(D154="",S154="Servicio"),"",MAX(0,D154-G154))</f>
        <v/>
      </c>
      <c r="I154" s="36" t="str">
        <f aca="false">IF(OR(D154="",S154="Servicio",N(D154)=0),"",MIN(1,G154/D154))</f>
        <v/>
      </c>
      <c r="J154" s="10" t="str">
        <f aca="false">IF(D154="","",PRESUPUESTO!O150)</f>
        <v/>
      </c>
      <c r="K154" s="10" t="str">
        <f aca="false">IF(D154="","",SUMIFS(GASTOS!$J$7:$J$5000,GASTOS!$F$7:$F$5000,$A154,GASTOS!$L$7:$L$5000,"Materiales y equipos"))</f>
        <v/>
      </c>
      <c r="L154" s="105" t="str">
        <f aca="false">IF(D154="","",COUNTIFS(GASTOS!$F$7:$F$5000,$A154,GASTOS!$L$7:$L$5000,"Materiales y equipos"))</f>
        <v/>
      </c>
      <c r="M154" s="10" t="str">
        <f aca="false">IF(OR(D154="",N(F154)=0),"",K154/F154)</f>
        <v/>
      </c>
      <c r="N154" s="10" t="str">
        <f aca="false">IF(OR(D154="",N(L154)=0),"",IFERROR(LOOKUP(2,1/((GASTOS!$F$7:$F$5000=$A154)*(GASTOS!$L$7:$L$5000="Materiales y equipos")*(GASTOS!$I$7:$I$5000&lt;&gt;"")),GASTOS!$I$7:$I$5000),""))</f>
        <v/>
      </c>
      <c r="O154" s="23" t="str">
        <f aca="false">IF(OR(D154="",N(L154)=0),"",IFERROR(LOOKUP(2,1/((GASTOS!$F$7:$F$5000=$A154)*(GASTOS!$L$7:$L$5000="Materiales y equipos")*(GASTOS!$I$7:$I$5000&lt;&gt;"")),GASTOS!$D$7:$D$5000),""))</f>
        <v/>
      </c>
      <c r="P154" s="10" t="str">
        <f aca="false">IF(D154="","",N(PRESUPUESTO!I150))</f>
        <v/>
      </c>
      <c r="Q154" s="36" t="str">
        <f aca="false">IF(OR(D154="",N154="",N(P154)=0),"",N154/P154-1)</f>
        <v/>
      </c>
      <c r="R154" s="10" t="str">
        <f aca="false">IF(OR(D154="",S154="Servicio"),"",H154*IF(N154&lt;&gt;"",N154,P154))</f>
        <v/>
      </c>
      <c r="S154" s="39" t="str">
        <f aca="false">IF(D154="","",IF(N(PRESUPUESTO!H150)=0,"Servicio",IF(G154=0,"Sin comprar",IF(G154&gt;=D154,"Comprado","Parcial"))))</f>
        <v/>
      </c>
      <c r="T154" s="86" t="str">
        <f aca="false">IF(AND(ISNUMBER(Q154),N(Q154)&gt;0.1),"Precio +"&amp;TEXT(Q154,"0%"),"")</f>
        <v/>
      </c>
      <c r="U154" s="0" t="str">
        <f aca="false">IF(OR(D154="",S154="Servicio"),"",MIN(G154,D154)*P154)</f>
        <v/>
      </c>
      <c r="V154" s="0" t="str">
        <f aca="false">IF(OR(D154="",S154="Servicio"),"",D154*P154)</f>
        <v/>
      </c>
    </row>
    <row r="155" customFormat="false" ht="16.5" hidden="false" customHeight="true" outlineLevel="0" collapsed="false">
      <c r="A155" s="23" t="str">
        <f aca="false">IF(PRESUPUESTO!$A151="Ítem",PRESUPUESTO!B151,"")</f>
        <v/>
      </c>
      <c r="B155" s="23" t="str">
        <f aca="false">IF(PRESUPUESTO!C151="","",PRESUPUESTO!C151)</f>
        <v/>
      </c>
      <c r="C155" s="86" t="str">
        <f aca="false">IF(PRESUPUESTO!$A151="Ítem",PRESUPUESTO!D151,"")</f>
        <v/>
      </c>
      <c r="D155" s="87" t="str">
        <f aca="false">IF(PRESUPUESTO!$A151&lt;&gt;"Ítem","",MAX(N(PRESUPUESTO!E151),N('CORTES CLIENTE'!L164)))</f>
        <v/>
      </c>
      <c r="E155" s="80"/>
      <c r="F155" s="87" t="str">
        <f aca="false">IF(D155="","",SUMIFS(GASTOS!$H$7:$H$5000,GASTOS!$F$7:$F$5000,$A155,GASTOS!$L$7:$L$5000,"Materiales y equipos"))</f>
        <v/>
      </c>
      <c r="G155" s="88" t="str">
        <f aca="false">IF(D155="","",N(E155)+F155)</f>
        <v/>
      </c>
      <c r="H155" s="88" t="str">
        <f aca="false">IF(OR(D155="",S155="Servicio"),"",MAX(0,D155-G155))</f>
        <v/>
      </c>
      <c r="I155" s="36" t="str">
        <f aca="false">IF(OR(D155="",S155="Servicio",N(D155)=0),"",MIN(1,G155/D155))</f>
        <v/>
      </c>
      <c r="J155" s="10" t="str">
        <f aca="false">IF(D155="","",PRESUPUESTO!O151)</f>
        <v/>
      </c>
      <c r="K155" s="10" t="str">
        <f aca="false">IF(D155="","",SUMIFS(GASTOS!$J$7:$J$5000,GASTOS!$F$7:$F$5000,$A155,GASTOS!$L$7:$L$5000,"Materiales y equipos"))</f>
        <v/>
      </c>
      <c r="L155" s="105" t="str">
        <f aca="false">IF(D155="","",COUNTIFS(GASTOS!$F$7:$F$5000,$A155,GASTOS!$L$7:$L$5000,"Materiales y equipos"))</f>
        <v/>
      </c>
      <c r="M155" s="10" t="str">
        <f aca="false">IF(OR(D155="",N(F155)=0),"",K155/F155)</f>
        <v/>
      </c>
      <c r="N155" s="10" t="str">
        <f aca="false">IF(OR(D155="",N(L155)=0),"",IFERROR(LOOKUP(2,1/((GASTOS!$F$7:$F$5000=$A155)*(GASTOS!$L$7:$L$5000="Materiales y equipos")*(GASTOS!$I$7:$I$5000&lt;&gt;"")),GASTOS!$I$7:$I$5000),""))</f>
        <v/>
      </c>
      <c r="O155" s="23" t="str">
        <f aca="false">IF(OR(D155="",N(L155)=0),"",IFERROR(LOOKUP(2,1/((GASTOS!$F$7:$F$5000=$A155)*(GASTOS!$L$7:$L$5000="Materiales y equipos")*(GASTOS!$I$7:$I$5000&lt;&gt;"")),GASTOS!$D$7:$D$5000),""))</f>
        <v/>
      </c>
      <c r="P155" s="10" t="str">
        <f aca="false">IF(D155="","",N(PRESUPUESTO!I151))</f>
        <v/>
      </c>
      <c r="Q155" s="36" t="str">
        <f aca="false">IF(OR(D155="",N155="",N(P155)=0),"",N155/P155-1)</f>
        <v/>
      </c>
      <c r="R155" s="10" t="str">
        <f aca="false">IF(OR(D155="",S155="Servicio"),"",H155*IF(N155&lt;&gt;"",N155,P155))</f>
        <v/>
      </c>
      <c r="S155" s="39" t="str">
        <f aca="false">IF(D155="","",IF(N(PRESUPUESTO!H151)=0,"Servicio",IF(G155=0,"Sin comprar",IF(G155&gt;=D155,"Comprado","Parcial"))))</f>
        <v/>
      </c>
      <c r="T155" s="86" t="str">
        <f aca="false">IF(AND(ISNUMBER(Q155),N(Q155)&gt;0.1),"Precio +"&amp;TEXT(Q155,"0%"),"")</f>
        <v/>
      </c>
      <c r="U155" s="0" t="str">
        <f aca="false">IF(OR(D155="",S155="Servicio"),"",MIN(G155,D155)*P155)</f>
        <v/>
      </c>
      <c r="V155" s="0" t="str">
        <f aca="false">IF(OR(D155="",S155="Servicio"),"",D155*P155)</f>
        <v/>
      </c>
    </row>
    <row r="156" customFormat="false" ht="16.5" hidden="false" customHeight="true" outlineLevel="0" collapsed="false">
      <c r="A156" s="23" t="str">
        <f aca="false">IF(PRESUPUESTO!$A152="Ítem",PRESUPUESTO!B152,"")</f>
        <v/>
      </c>
      <c r="B156" s="23" t="str">
        <f aca="false">IF(PRESUPUESTO!C152="","",PRESUPUESTO!C152)</f>
        <v/>
      </c>
      <c r="C156" s="86" t="str">
        <f aca="false">IF(PRESUPUESTO!$A152="Ítem",PRESUPUESTO!D152,"")</f>
        <v/>
      </c>
      <c r="D156" s="87" t="str">
        <f aca="false">IF(PRESUPUESTO!$A152&lt;&gt;"Ítem","",MAX(N(PRESUPUESTO!E152),N('CORTES CLIENTE'!L165)))</f>
        <v/>
      </c>
      <c r="E156" s="80"/>
      <c r="F156" s="87" t="str">
        <f aca="false">IF(D156="","",SUMIFS(GASTOS!$H$7:$H$5000,GASTOS!$F$7:$F$5000,$A156,GASTOS!$L$7:$L$5000,"Materiales y equipos"))</f>
        <v/>
      </c>
      <c r="G156" s="88" t="str">
        <f aca="false">IF(D156="","",N(E156)+F156)</f>
        <v/>
      </c>
      <c r="H156" s="88" t="str">
        <f aca="false">IF(OR(D156="",S156="Servicio"),"",MAX(0,D156-G156))</f>
        <v/>
      </c>
      <c r="I156" s="36" t="str">
        <f aca="false">IF(OR(D156="",S156="Servicio",N(D156)=0),"",MIN(1,G156/D156))</f>
        <v/>
      </c>
      <c r="J156" s="10" t="str">
        <f aca="false">IF(D156="","",PRESUPUESTO!O152)</f>
        <v/>
      </c>
      <c r="K156" s="10" t="str">
        <f aca="false">IF(D156="","",SUMIFS(GASTOS!$J$7:$J$5000,GASTOS!$F$7:$F$5000,$A156,GASTOS!$L$7:$L$5000,"Materiales y equipos"))</f>
        <v/>
      </c>
      <c r="L156" s="105" t="str">
        <f aca="false">IF(D156="","",COUNTIFS(GASTOS!$F$7:$F$5000,$A156,GASTOS!$L$7:$L$5000,"Materiales y equipos"))</f>
        <v/>
      </c>
      <c r="M156" s="10" t="str">
        <f aca="false">IF(OR(D156="",N(F156)=0),"",K156/F156)</f>
        <v/>
      </c>
      <c r="N156" s="10" t="str">
        <f aca="false">IF(OR(D156="",N(L156)=0),"",IFERROR(LOOKUP(2,1/((GASTOS!$F$7:$F$5000=$A156)*(GASTOS!$L$7:$L$5000="Materiales y equipos")*(GASTOS!$I$7:$I$5000&lt;&gt;"")),GASTOS!$I$7:$I$5000),""))</f>
        <v/>
      </c>
      <c r="O156" s="23" t="str">
        <f aca="false">IF(OR(D156="",N(L156)=0),"",IFERROR(LOOKUP(2,1/((GASTOS!$F$7:$F$5000=$A156)*(GASTOS!$L$7:$L$5000="Materiales y equipos")*(GASTOS!$I$7:$I$5000&lt;&gt;"")),GASTOS!$D$7:$D$5000),""))</f>
        <v/>
      </c>
      <c r="P156" s="10" t="str">
        <f aca="false">IF(D156="","",N(PRESUPUESTO!I152))</f>
        <v/>
      </c>
      <c r="Q156" s="36" t="str">
        <f aca="false">IF(OR(D156="",N156="",N(P156)=0),"",N156/P156-1)</f>
        <v/>
      </c>
      <c r="R156" s="10" t="str">
        <f aca="false">IF(OR(D156="",S156="Servicio"),"",H156*IF(N156&lt;&gt;"",N156,P156))</f>
        <v/>
      </c>
      <c r="S156" s="39" t="str">
        <f aca="false">IF(D156="","",IF(N(PRESUPUESTO!H152)=0,"Servicio",IF(G156=0,"Sin comprar",IF(G156&gt;=D156,"Comprado","Parcial"))))</f>
        <v/>
      </c>
      <c r="T156" s="86" t="str">
        <f aca="false">IF(AND(ISNUMBER(Q156),N(Q156)&gt;0.1),"Precio +"&amp;TEXT(Q156,"0%"),"")</f>
        <v/>
      </c>
      <c r="U156" s="0" t="str">
        <f aca="false">IF(OR(D156="",S156="Servicio"),"",MIN(G156,D156)*P156)</f>
        <v/>
      </c>
      <c r="V156" s="0" t="str">
        <f aca="false">IF(OR(D156="",S156="Servicio"),"",D156*P156)</f>
        <v/>
      </c>
    </row>
    <row r="157" customFormat="false" ht="16.5" hidden="false" customHeight="true" outlineLevel="0" collapsed="false">
      <c r="A157" s="23" t="str">
        <f aca="false">IF(PRESUPUESTO!$A153="Ítem",PRESUPUESTO!B153,"")</f>
        <v/>
      </c>
      <c r="B157" s="23" t="str">
        <f aca="false">IF(PRESUPUESTO!C153="","",PRESUPUESTO!C153)</f>
        <v/>
      </c>
      <c r="C157" s="86" t="str">
        <f aca="false">IF(PRESUPUESTO!$A153="Ítem",PRESUPUESTO!D153,"")</f>
        <v/>
      </c>
      <c r="D157" s="87" t="str">
        <f aca="false">IF(PRESUPUESTO!$A153&lt;&gt;"Ítem","",MAX(N(PRESUPUESTO!E153),N('CORTES CLIENTE'!L166)))</f>
        <v/>
      </c>
      <c r="E157" s="80"/>
      <c r="F157" s="87" t="str">
        <f aca="false">IF(D157="","",SUMIFS(GASTOS!$H$7:$H$5000,GASTOS!$F$7:$F$5000,$A157,GASTOS!$L$7:$L$5000,"Materiales y equipos"))</f>
        <v/>
      </c>
      <c r="G157" s="88" t="str">
        <f aca="false">IF(D157="","",N(E157)+F157)</f>
        <v/>
      </c>
      <c r="H157" s="88" t="str">
        <f aca="false">IF(OR(D157="",S157="Servicio"),"",MAX(0,D157-G157))</f>
        <v/>
      </c>
      <c r="I157" s="36" t="str">
        <f aca="false">IF(OR(D157="",S157="Servicio",N(D157)=0),"",MIN(1,G157/D157))</f>
        <v/>
      </c>
      <c r="J157" s="10" t="str">
        <f aca="false">IF(D157="","",PRESUPUESTO!O153)</f>
        <v/>
      </c>
      <c r="K157" s="10" t="str">
        <f aca="false">IF(D157="","",SUMIFS(GASTOS!$J$7:$J$5000,GASTOS!$F$7:$F$5000,$A157,GASTOS!$L$7:$L$5000,"Materiales y equipos"))</f>
        <v/>
      </c>
      <c r="L157" s="105" t="str">
        <f aca="false">IF(D157="","",COUNTIFS(GASTOS!$F$7:$F$5000,$A157,GASTOS!$L$7:$L$5000,"Materiales y equipos"))</f>
        <v/>
      </c>
      <c r="M157" s="10" t="str">
        <f aca="false">IF(OR(D157="",N(F157)=0),"",K157/F157)</f>
        <v/>
      </c>
      <c r="N157" s="10" t="str">
        <f aca="false">IF(OR(D157="",N(L157)=0),"",IFERROR(LOOKUP(2,1/((GASTOS!$F$7:$F$5000=$A157)*(GASTOS!$L$7:$L$5000="Materiales y equipos")*(GASTOS!$I$7:$I$5000&lt;&gt;"")),GASTOS!$I$7:$I$5000),""))</f>
        <v/>
      </c>
      <c r="O157" s="23" t="str">
        <f aca="false">IF(OR(D157="",N(L157)=0),"",IFERROR(LOOKUP(2,1/((GASTOS!$F$7:$F$5000=$A157)*(GASTOS!$L$7:$L$5000="Materiales y equipos")*(GASTOS!$I$7:$I$5000&lt;&gt;"")),GASTOS!$D$7:$D$5000),""))</f>
        <v/>
      </c>
      <c r="P157" s="10" t="str">
        <f aca="false">IF(D157="","",N(PRESUPUESTO!I153))</f>
        <v/>
      </c>
      <c r="Q157" s="36" t="str">
        <f aca="false">IF(OR(D157="",N157="",N(P157)=0),"",N157/P157-1)</f>
        <v/>
      </c>
      <c r="R157" s="10" t="str">
        <f aca="false">IF(OR(D157="",S157="Servicio"),"",H157*IF(N157&lt;&gt;"",N157,P157))</f>
        <v/>
      </c>
      <c r="S157" s="39" t="str">
        <f aca="false">IF(D157="","",IF(N(PRESUPUESTO!H153)=0,"Servicio",IF(G157=0,"Sin comprar",IF(G157&gt;=D157,"Comprado","Parcial"))))</f>
        <v/>
      </c>
      <c r="T157" s="86" t="str">
        <f aca="false">IF(AND(ISNUMBER(Q157),N(Q157)&gt;0.1),"Precio +"&amp;TEXT(Q157,"0%"),"")</f>
        <v/>
      </c>
      <c r="U157" s="0" t="str">
        <f aca="false">IF(OR(D157="",S157="Servicio"),"",MIN(G157,D157)*P157)</f>
        <v/>
      </c>
      <c r="V157" s="0" t="str">
        <f aca="false">IF(OR(D157="",S157="Servicio"),"",D157*P157)</f>
        <v/>
      </c>
    </row>
    <row r="158" customFormat="false" ht="16.5" hidden="false" customHeight="true" outlineLevel="0" collapsed="false">
      <c r="A158" s="23" t="str">
        <f aca="false">IF(PRESUPUESTO!$A154="Ítem",PRESUPUESTO!B154,"")</f>
        <v/>
      </c>
      <c r="B158" s="23" t="str">
        <f aca="false">IF(PRESUPUESTO!C154="","",PRESUPUESTO!C154)</f>
        <v/>
      </c>
      <c r="C158" s="86" t="str">
        <f aca="false">IF(PRESUPUESTO!$A154="Ítem",PRESUPUESTO!D154,"")</f>
        <v/>
      </c>
      <c r="D158" s="87" t="str">
        <f aca="false">IF(PRESUPUESTO!$A154&lt;&gt;"Ítem","",MAX(N(PRESUPUESTO!E154),N('CORTES CLIENTE'!L167)))</f>
        <v/>
      </c>
      <c r="E158" s="80"/>
      <c r="F158" s="87" t="str">
        <f aca="false">IF(D158="","",SUMIFS(GASTOS!$H$7:$H$5000,GASTOS!$F$7:$F$5000,$A158,GASTOS!$L$7:$L$5000,"Materiales y equipos"))</f>
        <v/>
      </c>
      <c r="G158" s="88" t="str">
        <f aca="false">IF(D158="","",N(E158)+F158)</f>
        <v/>
      </c>
      <c r="H158" s="88" t="str">
        <f aca="false">IF(OR(D158="",S158="Servicio"),"",MAX(0,D158-G158))</f>
        <v/>
      </c>
      <c r="I158" s="36" t="str">
        <f aca="false">IF(OR(D158="",S158="Servicio",N(D158)=0),"",MIN(1,G158/D158))</f>
        <v/>
      </c>
      <c r="J158" s="10" t="str">
        <f aca="false">IF(D158="","",PRESUPUESTO!O154)</f>
        <v/>
      </c>
      <c r="K158" s="10" t="str">
        <f aca="false">IF(D158="","",SUMIFS(GASTOS!$J$7:$J$5000,GASTOS!$F$7:$F$5000,$A158,GASTOS!$L$7:$L$5000,"Materiales y equipos"))</f>
        <v/>
      </c>
      <c r="L158" s="105" t="str">
        <f aca="false">IF(D158="","",COUNTIFS(GASTOS!$F$7:$F$5000,$A158,GASTOS!$L$7:$L$5000,"Materiales y equipos"))</f>
        <v/>
      </c>
      <c r="M158" s="10" t="str">
        <f aca="false">IF(OR(D158="",N(F158)=0),"",K158/F158)</f>
        <v/>
      </c>
      <c r="N158" s="10" t="str">
        <f aca="false">IF(OR(D158="",N(L158)=0),"",IFERROR(LOOKUP(2,1/((GASTOS!$F$7:$F$5000=$A158)*(GASTOS!$L$7:$L$5000="Materiales y equipos")*(GASTOS!$I$7:$I$5000&lt;&gt;"")),GASTOS!$I$7:$I$5000),""))</f>
        <v/>
      </c>
      <c r="O158" s="23" t="str">
        <f aca="false">IF(OR(D158="",N(L158)=0),"",IFERROR(LOOKUP(2,1/((GASTOS!$F$7:$F$5000=$A158)*(GASTOS!$L$7:$L$5000="Materiales y equipos")*(GASTOS!$I$7:$I$5000&lt;&gt;"")),GASTOS!$D$7:$D$5000),""))</f>
        <v/>
      </c>
      <c r="P158" s="10" t="str">
        <f aca="false">IF(D158="","",N(PRESUPUESTO!I154))</f>
        <v/>
      </c>
      <c r="Q158" s="36" t="str">
        <f aca="false">IF(OR(D158="",N158="",N(P158)=0),"",N158/P158-1)</f>
        <v/>
      </c>
      <c r="R158" s="10" t="str">
        <f aca="false">IF(OR(D158="",S158="Servicio"),"",H158*IF(N158&lt;&gt;"",N158,P158))</f>
        <v/>
      </c>
      <c r="S158" s="39" t="str">
        <f aca="false">IF(D158="","",IF(N(PRESUPUESTO!H154)=0,"Servicio",IF(G158=0,"Sin comprar",IF(G158&gt;=D158,"Comprado","Parcial"))))</f>
        <v/>
      </c>
      <c r="T158" s="86" t="str">
        <f aca="false">IF(AND(ISNUMBER(Q158),N(Q158)&gt;0.1),"Precio +"&amp;TEXT(Q158,"0%"),"")</f>
        <v/>
      </c>
      <c r="U158" s="0" t="str">
        <f aca="false">IF(OR(D158="",S158="Servicio"),"",MIN(G158,D158)*P158)</f>
        <v/>
      </c>
      <c r="V158" s="0" t="str">
        <f aca="false">IF(OR(D158="",S158="Servicio"),"",D158*P158)</f>
        <v/>
      </c>
    </row>
    <row r="159" customFormat="false" ht="16.5" hidden="false" customHeight="true" outlineLevel="0" collapsed="false">
      <c r="A159" s="23" t="str">
        <f aca="false">IF(PRESUPUESTO!$A155="Ítem",PRESUPUESTO!B155,"")</f>
        <v/>
      </c>
      <c r="B159" s="23" t="str">
        <f aca="false">IF(PRESUPUESTO!C155="","",PRESUPUESTO!C155)</f>
        <v/>
      </c>
      <c r="C159" s="86" t="str">
        <f aca="false">IF(PRESUPUESTO!$A155="Ítem",PRESUPUESTO!D155,"")</f>
        <v/>
      </c>
      <c r="D159" s="87" t="str">
        <f aca="false">IF(PRESUPUESTO!$A155&lt;&gt;"Ítem","",MAX(N(PRESUPUESTO!E155),N('CORTES CLIENTE'!L168)))</f>
        <v/>
      </c>
      <c r="E159" s="80"/>
      <c r="F159" s="87" t="str">
        <f aca="false">IF(D159="","",SUMIFS(GASTOS!$H$7:$H$5000,GASTOS!$F$7:$F$5000,$A159,GASTOS!$L$7:$L$5000,"Materiales y equipos"))</f>
        <v/>
      </c>
      <c r="G159" s="88" t="str">
        <f aca="false">IF(D159="","",N(E159)+F159)</f>
        <v/>
      </c>
      <c r="H159" s="88" t="str">
        <f aca="false">IF(OR(D159="",S159="Servicio"),"",MAX(0,D159-G159))</f>
        <v/>
      </c>
      <c r="I159" s="36" t="str">
        <f aca="false">IF(OR(D159="",S159="Servicio",N(D159)=0),"",MIN(1,G159/D159))</f>
        <v/>
      </c>
      <c r="J159" s="10" t="str">
        <f aca="false">IF(D159="","",PRESUPUESTO!O155)</f>
        <v/>
      </c>
      <c r="K159" s="10" t="str">
        <f aca="false">IF(D159="","",SUMIFS(GASTOS!$J$7:$J$5000,GASTOS!$F$7:$F$5000,$A159,GASTOS!$L$7:$L$5000,"Materiales y equipos"))</f>
        <v/>
      </c>
      <c r="L159" s="105" t="str">
        <f aca="false">IF(D159="","",COUNTIFS(GASTOS!$F$7:$F$5000,$A159,GASTOS!$L$7:$L$5000,"Materiales y equipos"))</f>
        <v/>
      </c>
      <c r="M159" s="10" t="str">
        <f aca="false">IF(OR(D159="",N(F159)=0),"",K159/F159)</f>
        <v/>
      </c>
      <c r="N159" s="10" t="str">
        <f aca="false">IF(OR(D159="",N(L159)=0),"",IFERROR(LOOKUP(2,1/((GASTOS!$F$7:$F$5000=$A159)*(GASTOS!$L$7:$L$5000="Materiales y equipos")*(GASTOS!$I$7:$I$5000&lt;&gt;"")),GASTOS!$I$7:$I$5000),""))</f>
        <v/>
      </c>
      <c r="O159" s="23" t="str">
        <f aca="false">IF(OR(D159="",N(L159)=0),"",IFERROR(LOOKUP(2,1/((GASTOS!$F$7:$F$5000=$A159)*(GASTOS!$L$7:$L$5000="Materiales y equipos")*(GASTOS!$I$7:$I$5000&lt;&gt;"")),GASTOS!$D$7:$D$5000),""))</f>
        <v/>
      </c>
      <c r="P159" s="10" t="str">
        <f aca="false">IF(D159="","",N(PRESUPUESTO!I155))</f>
        <v/>
      </c>
      <c r="Q159" s="36" t="str">
        <f aca="false">IF(OR(D159="",N159="",N(P159)=0),"",N159/P159-1)</f>
        <v/>
      </c>
      <c r="R159" s="10" t="str">
        <f aca="false">IF(OR(D159="",S159="Servicio"),"",H159*IF(N159&lt;&gt;"",N159,P159))</f>
        <v/>
      </c>
      <c r="S159" s="39" t="str">
        <f aca="false">IF(D159="","",IF(N(PRESUPUESTO!H155)=0,"Servicio",IF(G159=0,"Sin comprar",IF(G159&gt;=D159,"Comprado","Parcial"))))</f>
        <v/>
      </c>
      <c r="T159" s="86" t="str">
        <f aca="false">IF(AND(ISNUMBER(Q159),N(Q159)&gt;0.1),"Precio +"&amp;TEXT(Q159,"0%"),"")</f>
        <v/>
      </c>
      <c r="U159" s="0" t="str">
        <f aca="false">IF(OR(D159="",S159="Servicio"),"",MIN(G159,D159)*P159)</f>
        <v/>
      </c>
      <c r="V159" s="0" t="str">
        <f aca="false">IF(OR(D159="",S159="Servicio"),"",D159*P159)</f>
        <v/>
      </c>
    </row>
    <row r="160" customFormat="false" ht="16.5" hidden="false" customHeight="true" outlineLevel="0" collapsed="false">
      <c r="A160" s="23" t="str">
        <f aca="false">IF(PRESUPUESTO!$A156="Ítem",PRESUPUESTO!B156,"")</f>
        <v/>
      </c>
      <c r="B160" s="23" t="str">
        <f aca="false">IF(PRESUPUESTO!C156="","",PRESUPUESTO!C156)</f>
        <v/>
      </c>
      <c r="C160" s="86" t="str">
        <f aca="false">IF(PRESUPUESTO!$A156="Ítem",PRESUPUESTO!D156,"")</f>
        <v/>
      </c>
      <c r="D160" s="87" t="str">
        <f aca="false">IF(PRESUPUESTO!$A156&lt;&gt;"Ítem","",MAX(N(PRESUPUESTO!E156),N('CORTES CLIENTE'!L169)))</f>
        <v/>
      </c>
      <c r="E160" s="80"/>
      <c r="F160" s="87" t="str">
        <f aca="false">IF(D160="","",SUMIFS(GASTOS!$H$7:$H$5000,GASTOS!$F$7:$F$5000,$A160,GASTOS!$L$7:$L$5000,"Materiales y equipos"))</f>
        <v/>
      </c>
      <c r="G160" s="88" t="str">
        <f aca="false">IF(D160="","",N(E160)+F160)</f>
        <v/>
      </c>
      <c r="H160" s="88" t="str">
        <f aca="false">IF(OR(D160="",S160="Servicio"),"",MAX(0,D160-G160))</f>
        <v/>
      </c>
      <c r="I160" s="36" t="str">
        <f aca="false">IF(OR(D160="",S160="Servicio",N(D160)=0),"",MIN(1,G160/D160))</f>
        <v/>
      </c>
      <c r="J160" s="10" t="str">
        <f aca="false">IF(D160="","",PRESUPUESTO!O156)</f>
        <v/>
      </c>
      <c r="K160" s="10" t="str">
        <f aca="false">IF(D160="","",SUMIFS(GASTOS!$J$7:$J$5000,GASTOS!$F$7:$F$5000,$A160,GASTOS!$L$7:$L$5000,"Materiales y equipos"))</f>
        <v/>
      </c>
      <c r="L160" s="105" t="str">
        <f aca="false">IF(D160="","",COUNTIFS(GASTOS!$F$7:$F$5000,$A160,GASTOS!$L$7:$L$5000,"Materiales y equipos"))</f>
        <v/>
      </c>
      <c r="M160" s="10" t="str">
        <f aca="false">IF(OR(D160="",N(F160)=0),"",K160/F160)</f>
        <v/>
      </c>
      <c r="N160" s="10" t="str">
        <f aca="false">IF(OR(D160="",N(L160)=0),"",IFERROR(LOOKUP(2,1/((GASTOS!$F$7:$F$5000=$A160)*(GASTOS!$L$7:$L$5000="Materiales y equipos")*(GASTOS!$I$7:$I$5000&lt;&gt;"")),GASTOS!$I$7:$I$5000),""))</f>
        <v/>
      </c>
      <c r="O160" s="23" t="str">
        <f aca="false">IF(OR(D160="",N(L160)=0),"",IFERROR(LOOKUP(2,1/((GASTOS!$F$7:$F$5000=$A160)*(GASTOS!$L$7:$L$5000="Materiales y equipos")*(GASTOS!$I$7:$I$5000&lt;&gt;"")),GASTOS!$D$7:$D$5000),""))</f>
        <v/>
      </c>
      <c r="P160" s="10" t="str">
        <f aca="false">IF(D160="","",N(PRESUPUESTO!I156))</f>
        <v/>
      </c>
      <c r="Q160" s="36" t="str">
        <f aca="false">IF(OR(D160="",N160="",N(P160)=0),"",N160/P160-1)</f>
        <v/>
      </c>
      <c r="R160" s="10" t="str">
        <f aca="false">IF(OR(D160="",S160="Servicio"),"",H160*IF(N160&lt;&gt;"",N160,P160))</f>
        <v/>
      </c>
      <c r="S160" s="39" t="str">
        <f aca="false">IF(D160="","",IF(N(PRESUPUESTO!H156)=0,"Servicio",IF(G160=0,"Sin comprar",IF(G160&gt;=D160,"Comprado","Parcial"))))</f>
        <v/>
      </c>
      <c r="T160" s="86" t="str">
        <f aca="false">IF(AND(ISNUMBER(Q160),N(Q160)&gt;0.1),"Precio +"&amp;TEXT(Q160,"0%"),"")</f>
        <v/>
      </c>
      <c r="U160" s="0" t="str">
        <f aca="false">IF(OR(D160="",S160="Servicio"),"",MIN(G160,D160)*P160)</f>
        <v/>
      </c>
      <c r="V160" s="0" t="str">
        <f aca="false">IF(OR(D160="",S160="Servicio"),"",D160*P160)</f>
        <v/>
      </c>
    </row>
    <row r="161" customFormat="false" ht="16.5" hidden="false" customHeight="true" outlineLevel="0" collapsed="false">
      <c r="A161" s="23" t="str">
        <f aca="false">IF(PRESUPUESTO!$A157="Ítem",PRESUPUESTO!B157,"")</f>
        <v/>
      </c>
      <c r="B161" s="23" t="str">
        <f aca="false">IF(PRESUPUESTO!C157="","",PRESUPUESTO!C157)</f>
        <v/>
      </c>
      <c r="C161" s="86" t="str">
        <f aca="false">IF(PRESUPUESTO!$A157="Ítem",PRESUPUESTO!D157,"")</f>
        <v/>
      </c>
      <c r="D161" s="87" t="str">
        <f aca="false">IF(PRESUPUESTO!$A157&lt;&gt;"Ítem","",MAX(N(PRESUPUESTO!E157),N('CORTES CLIENTE'!L170)))</f>
        <v/>
      </c>
      <c r="E161" s="80"/>
      <c r="F161" s="87" t="str">
        <f aca="false">IF(D161="","",SUMIFS(GASTOS!$H$7:$H$5000,GASTOS!$F$7:$F$5000,$A161,GASTOS!$L$7:$L$5000,"Materiales y equipos"))</f>
        <v/>
      </c>
      <c r="G161" s="88" t="str">
        <f aca="false">IF(D161="","",N(E161)+F161)</f>
        <v/>
      </c>
      <c r="H161" s="88" t="str">
        <f aca="false">IF(OR(D161="",S161="Servicio"),"",MAX(0,D161-G161))</f>
        <v/>
      </c>
      <c r="I161" s="36" t="str">
        <f aca="false">IF(OR(D161="",S161="Servicio",N(D161)=0),"",MIN(1,G161/D161))</f>
        <v/>
      </c>
      <c r="J161" s="10" t="str">
        <f aca="false">IF(D161="","",PRESUPUESTO!O157)</f>
        <v/>
      </c>
      <c r="K161" s="10" t="str">
        <f aca="false">IF(D161="","",SUMIFS(GASTOS!$J$7:$J$5000,GASTOS!$F$7:$F$5000,$A161,GASTOS!$L$7:$L$5000,"Materiales y equipos"))</f>
        <v/>
      </c>
      <c r="L161" s="105" t="str">
        <f aca="false">IF(D161="","",COUNTIFS(GASTOS!$F$7:$F$5000,$A161,GASTOS!$L$7:$L$5000,"Materiales y equipos"))</f>
        <v/>
      </c>
      <c r="M161" s="10" t="str">
        <f aca="false">IF(OR(D161="",N(F161)=0),"",K161/F161)</f>
        <v/>
      </c>
      <c r="N161" s="10" t="str">
        <f aca="false">IF(OR(D161="",N(L161)=0),"",IFERROR(LOOKUP(2,1/((GASTOS!$F$7:$F$5000=$A161)*(GASTOS!$L$7:$L$5000="Materiales y equipos")*(GASTOS!$I$7:$I$5000&lt;&gt;"")),GASTOS!$I$7:$I$5000),""))</f>
        <v/>
      </c>
      <c r="O161" s="23" t="str">
        <f aca="false">IF(OR(D161="",N(L161)=0),"",IFERROR(LOOKUP(2,1/((GASTOS!$F$7:$F$5000=$A161)*(GASTOS!$L$7:$L$5000="Materiales y equipos")*(GASTOS!$I$7:$I$5000&lt;&gt;"")),GASTOS!$D$7:$D$5000),""))</f>
        <v/>
      </c>
      <c r="P161" s="10" t="str">
        <f aca="false">IF(D161="","",N(PRESUPUESTO!I157))</f>
        <v/>
      </c>
      <c r="Q161" s="36" t="str">
        <f aca="false">IF(OR(D161="",N161="",N(P161)=0),"",N161/P161-1)</f>
        <v/>
      </c>
      <c r="R161" s="10" t="str">
        <f aca="false">IF(OR(D161="",S161="Servicio"),"",H161*IF(N161&lt;&gt;"",N161,P161))</f>
        <v/>
      </c>
      <c r="S161" s="39" t="str">
        <f aca="false">IF(D161="","",IF(N(PRESUPUESTO!H157)=0,"Servicio",IF(G161=0,"Sin comprar",IF(G161&gt;=D161,"Comprado","Parcial"))))</f>
        <v/>
      </c>
      <c r="T161" s="86" t="str">
        <f aca="false">IF(AND(ISNUMBER(Q161),N(Q161)&gt;0.1),"Precio +"&amp;TEXT(Q161,"0%"),"")</f>
        <v/>
      </c>
      <c r="U161" s="0" t="str">
        <f aca="false">IF(OR(D161="",S161="Servicio"),"",MIN(G161,D161)*P161)</f>
        <v/>
      </c>
      <c r="V161" s="0" t="str">
        <f aca="false">IF(OR(D161="",S161="Servicio"),"",D161*P161)</f>
        <v/>
      </c>
    </row>
    <row r="162" customFormat="false" ht="16.5" hidden="false" customHeight="true" outlineLevel="0" collapsed="false">
      <c r="A162" s="23" t="str">
        <f aca="false">IF(PRESUPUESTO!$A158="Ítem",PRESUPUESTO!B158,"")</f>
        <v/>
      </c>
      <c r="B162" s="23" t="str">
        <f aca="false">IF(PRESUPUESTO!C158="","",PRESUPUESTO!C158)</f>
        <v/>
      </c>
      <c r="C162" s="86" t="str">
        <f aca="false">IF(PRESUPUESTO!$A158="Ítem",PRESUPUESTO!D158,"")</f>
        <v/>
      </c>
      <c r="D162" s="87" t="str">
        <f aca="false">IF(PRESUPUESTO!$A158&lt;&gt;"Ítem","",MAX(N(PRESUPUESTO!E158),N('CORTES CLIENTE'!L171)))</f>
        <v/>
      </c>
      <c r="E162" s="80"/>
      <c r="F162" s="87" t="str">
        <f aca="false">IF(D162="","",SUMIFS(GASTOS!$H$7:$H$5000,GASTOS!$F$7:$F$5000,$A162,GASTOS!$L$7:$L$5000,"Materiales y equipos"))</f>
        <v/>
      </c>
      <c r="G162" s="88" t="str">
        <f aca="false">IF(D162="","",N(E162)+F162)</f>
        <v/>
      </c>
      <c r="H162" s="88" t="str">
        <f aca="false">IF(OR(D162="",S162="Servicio"),"",MAX(0,D162-G162))</f>
        <v/>
      </c>
      <c r="I162" s="36" t="str">
        <f aca="false">IF(OR(D162="",S162="Servicio",N(D162)=0),"",MIN(1,G162/D162))</f>
        <v/>
      </c>
      <c r="J162" s="10" t="str">
        <f aca="false">IF(D162="","",PRESUPUESTO!O158)</f>
        <v/>
      </c>
      <c r="K162" s="10" t="str">
        <f aca="false">IF(D162="","",SUMIFS(GASTOS!$J$7:$J$5000,GASTOS!$F$7:$F$5000,$A162,GASTOS!$L$7:$L$5000,"Materiales y equipos"))</f>
        <v/>
      </c>
      <c r="L162" s="105" t="str">
        <f aca="false">IF(D162="","",COUNTIFS(GASTOS!$F$7:$F$5000,$A162,GASTOS!$L$7:$L$5000,"Materiales y equipos"))</f>
        <v/>
      </c>
      <c r="M162" s="10" t="str">
        <f aca="false">IF(OR(D162="",N(F162)=0),"",K162/F162)</f>
        <v/>
      </c>
      <c r="N162" s="10" t="str">
        <f aca="false">IF(OR(D162="",N(L162)=0),"",IFERROR(LOOKUP(2,1/((GASTOS!$F$7:$F$5000=$A162)*(GASTOS!$L$7:$L$5000="Materiales y equipos")*(GASTOS!$I$7:$I$5000&lt;&gt;"")),GASTOS!$I$7:$I$5000),""))</f>
        <v/>
      </c>
      <c r="O162" s="23" t="str">
        <f aca="false">IF(OR(D162="",N(L162)=0),"",IFERROR(LOOKUP(2,1/((GASTOS!$F$7:$F$5000=$A162)*(GASTOS!$L$7:$L$5000="Materiales y equipos")*(GASTOS!$I$7:$I$5000&lt;&gt;"")),GASTOS!$D$7:$D$5000),""))</f>
        <v/>
      </c>
      <c r="P162" s="10" t="str">
        <f aca="false">IF(D162="","",N(PRESUPUESTO!I158))</f>
        <v/>
      </c>
      <c r="Q162" s="36" t="str">
        <f aca="false">IF(OR(D162="",N162="",N(P162)=0),"",N162/P162-1)</f>
        <v/>
      </c>
      <c r="R162" s="10" t="str">
        <f aca="false">IF(OR(D162="",S162="Servicio"),"",H162*IF(N162&lt;&gt;"",N162,P162))</f>
        <v/>
      </c>
      <c r="S162" s="39" t="str">
        <f aca="false">IF(D162="","",IF(N(PRESUPUESTO!H158)=0,"Servicio",IF(G162=0,"Sin comprar",IF(G162&gt;=D162,"Comprado","Parcial"))))</f>
        <v/>
      </c>
      <c r="T162" s="86" t="str">
        <f aca="false">IF(AND(ISNUMBER(Q162),N(Q162)&gt;0.1),"Precio +"&amp;TEXT(Q162,"0%"),"")</f>
        <v/>
      </c>
      <c r="U162" s="0" t="str">
        <f aca="false">IF(OR(D162="",S162="Servicio"),"",MIN(G162,D162)*P162)</f>
        <v/>
      </c>
      <c r="V162" s="0" t="str">
        <f aca="false">IF(OR(D162="",S162="Servicio"),"",D162*P162)</f>
        <v/>
      </c>
    </row>
    <row r="163" customFormat="false" ht="16.5" hidden="false" customHeight="true" outlineLevel="0" collapsed="false">
      <c r="A163" s="23" t="str">
        <f aca="false">IF(PRESUPUESTO!$A159="Ítem",PRESUPUESTO!B159,"")</f>
        <v/>
      </c>
      <c r="B163" s="23" t="str">
        <f aca="false">IF(PRESUPUESTO!C159="","",PRESUPUESTO!C159)</f>
        <v/>
      </c>
      <c r="C163" s="86" t="str">
        <f aca="false">IF(PRESUPUESTO!$A159="Ítem",PRESUPUESTO!D159,"")</f>
        <v/>
      </c>
      <c r="D163" s="87" t="str">
        <f aca="false">IF(PRESUPUESTO!$A159&lt;&gt;"Ítem","",MAX(N(PRESUPUESTO!E159),N('CORTES CLIENTE'!L172)))</f>
        <v/>
      </c>
      <c r="E163" s="80"/>
      <c r="F163" s="87" t="str">
        <f aca="false">IF(D163="","",SUMIFS(GASTOS!$H$7:$H$5000,GASTOS!$F$7:$F$5000,$A163,GASTOS!$L$7:$L$5000,"Materiales y equipos"))</f>
        <v/>
      </c>
      <c r="G163" s="88" t="str">
        <f aca="false">IF(D163="","",N(E163)+F163)</f>
        <v/>
      </c>
      <c r="H163" s="88" t="str">
        <f aca="false">IF(OR(D163="",S163="Servicio"),"",MAX(0,D163-G163))</f>
        <v/>
      </c>
      <c r="I163" s="36" t="str">
        <f aca="false">IF(OR(D163="",S163="Servicio",N(D163)=0),"",MIN(1,G163/D163))</f>
        <v/>
      </c>
      <c r="J163" s="10" t="str">
        <f aca="false">IF(D163="","",PRESUPUESTO!O159)</f>
        <v/>
      </c>
      <c r="K163" s="10" t="str">
        <f aca="false">IF(D163="","",SUMIFS(GASTOS!$J$7:$J$5000,GASTOS!$F$7:$F$5000,$A163,GASTOS!$L$7:$L$5000,"Materiales y equipos"))</f>
        <v/>
      </c>
      <c r="L163" s="105" t="str">
        <f aca="false">IF(D163="","",COUNTIFS(GASTOS!$F$7:$F$5000,$A163,GASTOS!$L$7:$L$5000,"Materiales y equipos"))</f>
        <v/>
      </c>
      <c r="M163" s="10" t="str">
        <f aca="false">IF(OR(D163="",N(F163)=0),"",K163/F163)</f>
        <v/>
      </c>
      <c r="N163" s="10" t="str">
        <f aca="false">IF(OR(D163="",N(L163)=0),"",IFERROR(LOOKUP(2,1/((GASTOS!$F$7:$F$5000=$A163)*(GASTOS!$L$7:$L$5000="Materiales y equipos")*(GASTOS!$I$7:$I$5000&lt;&gt;"")),GASTOS!$I$7:$I$5000),""))</f>
        <v/>
      </c>
      <c r="O163" s="23" t="str">
        <f aca="false">IF(OR(D163="",N(L163)=0),"",IFERROR(LOOKUP(2,1/((GASTOS!$F$7:$F$5000=$A163)*(GASTOS!$L$7:$L$5000="Materiales y equipos")*(GASTOS!$I$7:$I$5000&lt;&gt;"")),GASTOS!$D$7:$D$5000),""))</f>
        <v/>
      </c>
      <c r="P163" s="10" t="str">
        <f aca="false">IF(D163="","",N(PRESUPUESTO!I159))</f>
        <v/>
      </c>
      <c r="Q163" s="36" t="str">
        <f aca="false">IF(OR(D163="",N163="",N(P163)=0),"",N163/P163-1)</f>
        <v/>
      </c>
      <c r="R163" s="10" t="str">
        <f aca="false">IF(OR(D163="",S163="Servicio"),"",H163*IF(N163&lt;&gt;"",N163,P163))</f>
        <v/>
      </c>
      <c r="S163" s="39" t="str">
        <f aca="false">IF(D163="","",IF(N(PRESUPUESTO!H159)=0,"Servicio",IF(G163=0,"Sin comprar",IF(G163&gt;=D163,"Comprado","Parcial"))))</f>
        <v/>
      </c>
      <c r="T163" s="86" t="str">
        <f aca="false">IF(AND(ISNUMBER(Q163),N(Q163)&gt;0.1),"Precio +"&amp;TEXT(Q163,"0%"),"")</f>
        <v/>
      </c>
      <c r="U163" s="0" t="str">
        <f aca="false">IF(OR(D163="",S163="Servicio"),"",MIN(G163,D163)*P163)</f>
        <v/>
      </c>
      <c r="V163" s="0" t="str">
        <f aca="false">IF(OR(D163="",S163="Servicio"),"",D163*P163)</f>
        <v/>
      </c>
    </row>
    <row r="164" customFormat="false" ht="16.5" hidden="false" customHeight="true" outlineLevel="0" collapsed="false">
      <c r="A164" s="23" t="str">
        <f aca="false">IF(PRESUPUESTO!$A160="Ítem",PRESUPUESTO!B160,"")</f>
        <v/>
      </c>
      <c r="B164" s="23" t="str">
        <f aca="false">IF(PRESUPUESTO!C160="","",PRESUPUESTO!C160)</f>
        <v/>
      </c>
      <c r="C164" s="86" t="str">
        <f aca="false">IF(PRESUPUESTO!$A160="Ítem",PRESUPUESTO!D160,"")</f>
        <v/>
      </c>
      <c r="D164" s="87" t="str">
        <f aca="false">IF(PRESUPUESTO!$A160&lt;&gt;"Ítem","",MAX(N(PRESUPUESTO!E160),N('CORTES CLIENTE'!L173)))</f>
        <v/>
      </c>
      <c r="E164" s="80"/>
      <c r="F164" s="87" t="str">
        <f aca="false">IF(D164="","",SUMIFS(GASTOS!$H$7:$H$5000,GASTOS!$F$7:$F$5000,$A164,GASTOS!$L$7:$L$5000,"Materiales y equipos"))</f>
        <v/>
      </c>
      <c r="G164" s="88" t="str">
        <f aca="false">IF(D164="","",N(E164)+F164)</f>
        <v/>
      </c>
      <c r="H164" s="88" t="str">
        <f aca="false">IF(OR(D164="",S164="Servicio"),"",MAX(0,D164-G164))</f>
        <v/>
      </c>
      <c r="I164" s="36" t="str">
        <f aca="false">IF(OR(D164="",S164="Servicio",N(D164)=0),"",MIN(1,G164/D164))</f>
        <v/>
      </c>
      <c r="J164" s="10" t="str">
        <f aca="false">IF(D164="","",PRESUPUESTO!O160)</f>
        <v/>
      </c>
      <c r="K164" s="10" t="str">
        <f aca="false">IF(D164="","",SUMIFS(GASTOS!$J$7:$J$5000,GASTOS!$F$7:$F$5000,$A164,GASTOS!$L$7:$L$5000,"Materiales y equipos"))</f>
        <v/>
      </c>
      <c r="L164" s="105" t="str">
        <f aca="false">IF(D164="","",COUNTIFS(GASTOS!$F$7:$F$5000,$A164,GASTOS!$L$7:$L$5000,"Materiales y equipos"))</f>
        <v/>
      </c>
      <c r="M164" s="10" t="str">
        <f aca="false">IF(OR(D164="",N(F164)=0),"",K164/F164)</f>
        <v/>
      </c>
      <c r="N164" s="10" t="str">
        <f aca="false">IF(OR(D164="",N(L164)=0),"",IFERROR(LOOKUP(2,1/((GASTOS!$F$7:$F$5000=$A164)*(GASTOS!$L$7:$L$5000="Materiales y equipos")*(GASTOS!$I$7:$I$5000&lt;&gt;"")),GASTOS!$I$7:$I$5000),""))</f>
        <v/>
      </c>
      <c r="O164" s="23" t="str">
        <f aca="false">IF(OR(D164="",N(L164)=0),"",IFERROR(LOOKUP(2,1/((GASTOS!$F$7:$F$5000=$A164)*(GASTOS!$L$7:$L$5000="Materiales y equipos")*(GASTOS!$I$7:$I$5000&lt;&gt;"")),GASTOS!$D$7:$D$5000),""))</f>
        <v/>
      </c>
      <c r="P164" s="10" t="str">
        <f aca="false">IF(D164="","",N(PRESUPUESTO!I160))</f>
        <v/>
      </c>
      <c r="Q164" s="36" t="str">
        <f aca="false">IF(OR(D164="",N164="",N(P164)=0),"",N164/P164-1)</f>
        <v/>
      </c>
      <c r="R164" s="10" t="str">
        <f aca="false">IF(OR(D164="",S164="Servicio"),"",H164*IF(N164&lt;&gt;"",N164,P164))</f>
        <v/>
      </c>
      <c r="S164" s="39" t="str">
        <f aca="false">IF(D164="","",IF(N(PRESUPUESTO!H160)=0,"Servicio",IF(G164=0,"Sin comprar",IF(G164&gt;=D164,"Comprado","Parcial"))))</f>
        <v/>
      </c>
      <c r="T164" s="86" t="str">
        <f aca="false">IF(AND(ISNUMBER(Q164),N(Q164)&gt;0.1),"Precio +"&amp;TEXT(Q164,"0%"),"")</f>
        <v/>
      </c>
      <c r="U164" s="0" t="str">
        <f aca="false">IF(OR(D164="",S164="Servicio"),"",MIN(G164,D164)*P164)</f>
        <v/>
      </c>
      <c r="V164" s="0" t="str">
        <f aca="false">IF(OR(D164="",S164="Servicio"),"",D164*P164)</f>
        <v/>
      </c>
    </row>
    <row r="165" customFormat="false" ht="16.5" hidden="false" customHeight="true" outlineLevel="0" collapsed="false">
      <c r="A165" s="23" t="str">
        <f aca="false">IF(PRESUPUESTO!$A161="Ítem",PRESUPUESTO!B161,"")</f>
        <v/>
      </c>
      <c r="B165" s="23" t="str">
        <f aca="false">IF(PRESUPUESTO!C161="","",PRESUPUESTO!C161)</f>
        <v/>
      </c>
      <c r="C165" s="86" t="str">
        <f aca="false">IF(PRESUPUESTO!$A161="Ítem",PRESUPUESTO!D161,"")</f>
        <v/>
      </c>
      <c r="D165" s="87" t="str">
        <f aca="false">IF(PRESUPUESTO!$A161&lt;&gt;"Ítem","",MAX(N(PRESUPUESTO!E161),N('CORTES CLIENTE'!L174)))</f>
        <v/>
      </c>
      <c r="E165" s="80"/>
      <c r="F165" s="87" t="str">
        <f aca="false">IF(D165="","",SUMIFS(GASTOS!$H$7:$H$5000,GASTOS!$F$7:$F$5000,$A165,GASTOS!$L$7:$L$5000,"Materiales y equipos"))</f>
        <v/>
      </c>
      <c r="G165" s="88" t="str">
        <f aca="false">IF(D165="","",N(E165)+F165)</f>
        <v/>
      </c>
      <c r="H165" s="88" t="str">
        <f aca="false">IF(OR(D165="",S165="Servicio"),"",MAX(0,D165-G165))</f>
        <v/>
      </c>
      <c r="I165" s="36" t="str">
        <f aca="false">IF(OR(D165="",S165="Servicio",N(D165)=0),"",MIN(1,G165/D165))</f>
        <v/>
      </c>
      <c r="J165" s="10" t="str">
        <f aca="false">IF(D165="","",PRESUPUESTO!O161)</f>
        <v/>
      </c>
      <c r="K165" s="10" t="str">
        <f aca="false">IF(D165="","",SUMIFS(GASTOS!$J$7:$J$5000,GASTOS!$F$7:$F$5000,$A165,GASTOS!$L$7:$L$5000,"Materiales y equipos"))</f>
        <v/>
      </c>
      <c r="L165" s="105" t="str">
        <f aca="false">IF(D165="","",COUNTIFS(GASTOS!$F$7:$F$5000,$A165,GASTOS!$L$7:$L$5000,"Materiales y equipos"))</f>
        <v/>
      </c>
      <c r="M165" s="10" t="str">
        <f aca="false">IF(OR(D165="",N(F165)=0),"",K165/F165)</f>
        <v/>
      </c>
      <c r="N165" s="10" t="str">
        <f aca="false">IF(OR(D165="",N(L165)=0),"",IFERROR(LOOKUP(2,1/((GASTOS!$F$7:$F$5000=$A165)*(GASTOS!$L$7:$L$5000="Materiales y equipos")*(GASTOS!$I$7:$I$5000&lt;&gt;"")),GASTOS!$I$7:$I$5000),""))</f>
        <v/>
      </c>
      <c r="O165" s="23" t="str">
        <f aca="false">IF(OR(D165="",N(L165)=0),"",IFERROR(LOOKUP(2,1/((GASTOS!$F$7:$F$5000=$A165)*(GASTOS!$L$7:$L$5000="Materiales y equipos")*(GASTOS!$I$7:$I$5000&lt;&gt;"")),GASTOS!$D$7:$D$5000),""))</f>
        <v/>
      </c>
      <c r="P165" s="10" t="str">
        <f aca="false">IF(D165="","",N(PRESUPUESTO!I161))</f>
        <v/>
      </c>
      <c r="Q165" s="36" t="str">
        <f aca="false">IF(OR(D165="",N165="",N(P165)=0),"",N165/P165-1)</f>
        <v/>
      </c>
      <c r="R165" s="10" t="str">
        <f aca="false">IF(OR(D165="",S165="Servicio"),"",H165*IF(N165&lt;&gt;"",N165,P165))</f>
        <v/>
      </c>
      <c r="S165" s="39" t="str">
        <f aca="false">IF(D165="","",IF(N(PRESUPUESTO!H161)=0,"Servicio",IF(G165=0,"Sin comprar",IF(G165&gt;=D165,"Comprado","Parcial"))))</f>
        <v/>
      </c>
      <c r="T165" s="86" t="str">
        <f aca="false">IF(AND(ISNUMBER(Q165),N(Q165)&gt;0.1),"Precio +"&amp;TEXT(Q165,"0%"),"")</f>
        <v/>
      </c>
      <c r="U165" s="0" t="str">
        <f aca="false">IF(OR(D165="",S165="Servicio"),"",MIN(G165,D165)*P165)</f>
        <v/>
      </c>
      <c r="V165" s="0" t="str">
        <f aca="false">IF(OR(D165="",S165="Servicio"),"",D165*P165)</f>
        <v/>
      </c>
    </row>
    <row r="166" customFormat="false" ht="16.5" hidden="false" customHeight="true" outlineLevel="0" collapsed="false">
      <c r="A166" s="23" t="str">
        <f aca="false">IF(PRESUPUESTO!$A162="Ítem",PRESUPUESTO!B162,"")</f>
        <v/>
      </c>
      <c r="B166" s="23" t="str">
        <f aca="false">IF(PRESUPUESTO!C162="","",PRESUPUESTO!C162)</f>
        <v/>
      </c>
      <c r="C166" s="86" t="str">
        <f aca="false">IF(PRESUPUESTO!$A162="Ítem",PRESUPUESTO!D162,"")</f>
        <v/>
      </c>
      <c r="D166" s="87" t="str">
        <f aca="false">IF(PRESUPUESTO!$A162&lt;&gt;"Ítem","",MAX(N(PRESUPUESTO!E162),N('CORTES CLIENTE'!L175)))</f>
        <v/>
      </c>
      <c r="E166" s="80"/>
      <c r="F166" s="87" t="str">
        <f aca="false">IF(D166="","",SUMIFS(GASTOS!$H$7:$H$5000,GASTOS!$F$7:$F$5000,$A166,GASTOS!$L$7:$L$5000,"Materiales y equipos"))</f>
        <v/>
      </c>
      <c r="G166" s="88" t="str">
        <f aca="false">IF(D166="","",N(E166)+F166)</f>
        <v/>
      </c>
      <c r="H166" s="88" t="str">
        <f aca="false">IF(OR(D166="",S166="Servicio"),"",MAX(0,D166-G166))</f>
        <v/>
      </c>
      <c r="I166" s="36" t="str">
        <f aca="false">IF(OR(D166="",S166="Servicio",N(D166)=0),"",MIN(1,G166/D166))</f>
        <v/>
      </c>
      <c r="J166" s="10" t="str">
        <f aca="false">IF(D166="","",PRESUPUESTO!O162)</f>
        <v/>
      </c>
      <c r="K166" s="10" t="str">
        <f aca="false">IF(D166="","",SUMIFS(GASTOS!$J$7:$J$5000,GASTOS!$F$7:$F$5000,$A166,GASTOS!$L$7:$L$5000,"Materiales y equipos"))</f>
        <v/>
      </c>
      <c r="L166" s="105" t="str">
        <f aca="false">IF(D166="","",COUNTIFS(GASTOS!$F$7:$F$5000,$A166,GASTOS!$L$7:$L$5000,"Materiales y equipos"))</f>
        <v/>
      </c>
      <c r="M166" s="10" t="str">
        <f aca="false">IF(OR(D166="",N(F166)=0),"",K166/F166)</f>
        <v/>
      </c>
      <c r="N166" s="10" t="str">
        <f aca="false">IF(OR(D166="",N(L166)=0),"",IFERROR(LOOKUP(2,1/((GASTOS!$F$7:$F$5000=$A166)*(GASTOS!$L$7:$L$5000="Materiales y equipos")*(GASTOS!$I$7:$I$5000&lt;&gt;"")),GASTOS!$I$7:$I$5000),""))</f>
        <v/>
      </c>
      <c r="O166" s="23" t="str">
        <f aca="false">IF(OR(D166="",N(L166)=0),"",IFERROR(LOOKUP(2,1/((GASTOS!$F$7:$F$5000=$A166)*(GASTOS!$L$7:$L$5000="Materiales y equipos")*(GASTOS!$I$7:$I$5000&lt;&gt;"")),GASTOS!$D$7:$D$5000),""))</f>
        <v/>
      </c>
      <c r="P166" s="10" t="str">
        <f aca="false">IF(D166="","",N(PRESUPUESTO!I162))</f>
        <v/>
      </c>
      <c r="Q166" s="36" t="str">
        <f aca="false">IF(OR(D166="",N166="",N(P166)=0),"",N166/P166-1)</f>
        <v/>
      </c>
      <c r="R166" s="10" t="str">
        <f aca="false">IF(OR(D166="",S166="Servicio"),"",H166*IF(N166&lt;&gt;"",N166,P166))</f>
        <v/>
      </c>
      <c r="S166" s="39" t="str">
        <f aca="false">IF(D166="","",IF(N(PRESUPUESTO!H162)=0,"Servicio",IF(G166=0,"Sin comprar",IF(G166&gt;=D166,"Comprado","Parcial"))))</f>
        <v/>
      </c>
      <c r="T166" s="86" t="str">
        <f aca="false">IF(AND(ISNUMBER(Q166),N(Q166)&gt;0.1),"Precio +"&amp;TEXT(Q166,"0%"),"")</f>
        <v/>
      </c>
      <c r="U166" s="0" t="str">
        <f aca="false">IF(OR(D166="",S166="Servicio"),"",MIN(G166,D166)*P166)</f>
        <v/>
      </c>
      <c r="V166" s="0" t="str">
        <f aca="false">IF(OR(D166="",S166="Servicio"),"",D166*P166)</f>
        <v/>
      </c>
    </row>
    <row r="167" customFormat="false" ht="16.5" hidden="false" customHeight="true" outlineLevel="0" collapsed="false">
      <c r="A167" s="23" t="str">
        <f aca="false">IF(PRESUPUESTO!$A163="Ítem",PRESUPUESTO!B163,"")</f>
        <v/>
      </c>
      <c r="B167" s="23" t="str">
        <f aca="false">IF(PRESUPUESTO!C163="","",PRESUPUESTO!C163)</f>
        <v/>
      </c>
      <c r="C167" s="86" t="str">
        <f aca="false">IF(PRESUPUESTO!$A163="Ítem",PRESUPUESTO!D163,"")</f>
        <v/>
      </c>
      <c r="D167" s="87" t="str">
        <f aca="false">IF(PRESUPUESTO!$A163&lt;&gt;"Ítem","",MAX(N(PRESUPUESTO!E163),N('CORTES CLIENTE'!L176)))</f>
        <v/>
      </c>
      <c r="E167" s="80"/>
      <c r="F167" s="87" t="str">
        <f aca="false">IF(D167="","",SUMIFS(GASTOS!$H$7:$H$5000,GASTOS!$F$7:$F$5000,$A167,GASTOS!$L$7:$L$5000,"Materiales y equipos"))</f>
        <v/>
      </c>
      <c r="G167" s="88" t="str">
        <f aca="false">IF(D167="","",N(E167)+F167)</f>
        <v/>
      </c>
      <c r="H167" s="88" t="str">
        <f aca="false">IF(OR(D167="",S167="Servicio"),"",MAX(0,D167-G167))</f>
        <v/>
      </c>
      <c r="I167" s="36" t="str">
        <f aca="false">IF(OR(D167="",S167="Servicio",N(D167)=0),"",MIN(1,G167/D167))</f>
        <v/>
      </c>
      <c r="J167" s="10" t="str">
        <f aca="false">IF(D167="","",PRESUPUESTO!O163)</f>
        <v/>
      </c>
      <c r="K167" s="10" t="str">
        <f aca="false">IF(D167="","",SUMIFS(GASTOS!$J$7:$J$5000,GASTOS!$F$7:$F$5000,$A167,GASTOS!$L$7:$L$5000,"Materiales y equipos"))</f>
        <v/>
      </c>
      <c r="L167" s="105" t="str">
        <f aca="false">IF(D167="","",COUNTIFS(GASTOS!$F$7:$F$5000,$A167,GASTOS!$L$7:$L$5000,"Materiales y equipos"))</f>
        <v/>
      </c>
      <c r="M167" s="10" t="str">
        <f aca="false">IF(OR(D167="",N(F167)=0),"",K167/F167)</f>
        <v/>
      </c>
      <c r="N167" s="10" t="str">
        <f aca="false">IF(OR(D167="",N(L167)=0),"",IFERROR(LOOKUP(2,1/((GASTOS!$F$7:$F$5000=$A167)*(GASTOS!$L$7:$L$5000="Materiales y equipos")*(GASTOS!$I$7:$I$5000&lt;&gt;"")),GASTOS!$I$7:$I$5000),""))</f>
        <v/>
      </c>
      <c r="O167" s="23" t="str">
        <f aca="false">IF(OR(D167="",N(L167)=0),"",IFERROR(LOOKUP(2,1/((GASTOS!$F$7:$F$5000=$A167)*(GASTOS!$L$7:$L$5000="Materiales y equipos")*(GASTOS!$I$7:$I$5000&lt;&gt;"")),GASTOS!$D$7:$D$5000),""))</f>
        <v/>
      </c>
      <c r="P167" s="10" t="str">
        <f aca="false">IF(D167="","",N(PRESUPUESTO!I163))</f>
        <v/>
      </c>
      <c r="Q167" s="36" t="str">
        <f aca="false">IF(OR(D167="",N167="",N(P167)=0),"",N167/P167-1)</f>
        <v/>
      </c>
      <c r="R167" s="10" t="str">
        <f aca="false">IF(OR(D167="",S167="Servicio"),"",H167*IF(N167&lt;&gt;"",N167,P167))</f>
        <v/>
      </c>
      <c r="S167" s="39" t="str">
        <f aca="false">IF(D167="","",IF(N(PRESUPUESTO!H163)=0,"Servicio",IF(G167=0,"Sin comprar",IF(G167&gt;=D167,"Comprado","Parcial"))))</f>
        <v/>
      </c>
      <c r="T167" s="86" t="str">
        <f aca="false">IF(AND(ISNUMBER(Q167),N(Q167)&gt;0.1),"Precio +"&amp;TEXT(Q167,"0%"),"")</f>
        <v/>
      </c>
      <c r="U167" s="0" t="str">
        <f aca="false">IF(OR(D167="",S167="Servicio"),"",MIN(G167,D167)*P167)</f>
        <v/>
      </c>
      <c r="V167" s="0" t="str">
        <f aca="false">IF(OR(D167="",S167="Servicio"),"",D167*P167)</f>
        <v/>
      </c>
    </row>
    <row r="168" customFormat="false" ht="16.5" hidden="false" customHeight="true" outlineLevel="0" collapsed="false">
      <c r="A168" s="23" t="str">
        <f aca="false">IF(PRESUPUESTO!$A164="Ítem",PRESUPUESTO!B164,"")</f>
        <v/>
      </c>
      <c r="B168" s="23" t="str">
        <f aca="false">IF(PRESUPUESTO!C164="","",PRESUPUESTO!C164)</f>
        <v/>
      </c>
      <c r="C168" s="86" t="str">
        <f aca="false">IF(PRESUPUESTO!$A164="Ítem",PRESUPUESTO!D164,"")</f>
        <v/>
      </c>
      <c r="D168" s="87" t="str">
        <f aca="false">IF(PRESUPUESTO!$A164&lt;&gt;"Ítem","",MAX(N(PRESUPUESTO!E164),N('CORTES CLIENTE'!L177)))</f>
        <v/>
      </c>
      <c r="E168" s="80"/>
      <c r="F168" s="87" t="str">
        <f aca="false">IF(D168="","",SUMIFS(GASTOS!$H$7:$H$5000,GASTOS!$F$7:$F$5000,$A168,GASTOS!$L$7:$L$5000,"Materiales y equipos"))</f>
        <v/>
      </c>
      <c r="G168" s="88" t="str">
        <f aca="false">IF(D168="","",N(E168)+F168)</f>
        <v/>
      </c>
      <c r="H168" s="88" t="str">
        <f aca="false">IF(OR(D168="",S168="Servicio"),"",MAX(0,D168-G168))</f>
        <v/>
      </c>
      <c r="I168" s="36" t="str">
        <f aca="false">IF(OR(D168="",S168="Servicio",N(D168)=0),"",MIN(1,G168/D168))</f>
        <v/>
      </c>
      <c r="J168" s="10" t="str">
        <f aca="false">IF(D168="","",PRESUPUESTO!O164)</f>
        <v/>
      </c>
      <c r="K168" s="10" t="str">
        <f aca="false">IF(D168="","",SUMIFS(GASTOS!$J$7:$J$5000,GASTOS!$F$7:$F$5000,$A168,GASTOS!$L$7:$L$5000,"Materiales y equipos"))</f>
        <v/>
      </c>
      <c r="L168" s="105" t="str">
        <f aca="false">IF(D168="","",COUNTIFS(GASTOS!$F$7:$F$5000,$A168,GASTOS!$L$7:$L$5000,"Materiales y equipos"))</f>
        <v/>
      </c>
      <c r="M168" s="10" t="str">
        <f aca="false">IF(OR(D168="",N(F168)=0),"",K168/F168)</f>
        <v/>
      </c>
      <c r="N168" s="10" t="str">
        <f aca="false">IF(OR(D168="",N(L168)=0),"",IFERROR(LOOKUP(2,1/((GASTOS!$F$7:$F$5000=$A168)*(GASTOS!$L$7:$L$5000="Materiales y equipos")*(GASTOS!$I$7:$I$5000&lt;&gt;"")),GASTOS!$I$7:$I$5000),""))</f>
        <v/>
      </c>
      <c r="O168" s="23" t="str">
        <f aca="false">IF(OR(D168="",N(L168)=0),"",IFERROR(LOOKUP(2,1/((GASTOS!$F$7:$F$5000=$A168)*(GASTOS!$L$7:$L$5000="Materiales y equipos")*(GASTOS!$I$7:$I$5000&lt;&gt;"")),GASTOS!$D$7:$D$5000),""))</f>
        <v/>
      </c>
      <c r="P168" s="10" t="str">
        <f aca="false">IF(D168="","",N(PRESUPUESTO!I164))</f>
        <v/>
      </c>
      <c r="Q168" s="36" t="str">
        <f aca="false">IF(OR(D168="",N168="",N(P168)=0),"",N168/P168-1)</f>
        <v/>
      </c>
      <c r="R168" s="10" t="str">
        <f aca="false">IF(OR(D168="",S168="Servicio"),"",H168*IF(N168&lt;&gt;"",N168,P168))</f>
        <v/>
      </c>
      <c r="S168" s="39" t="str">
        <f aca="false">IF(D168="","",IF(N(PRESUPUESTO!H164)=0,"Servicio",IF(G168=0,"Sin comprar",IF(G168&gt;=D168,"Comprado","Parcial"))))</f>
        <v/>
      </c>
      <c r="T168" s="86" t="str">
        <f aca="false">IF(AND(ISNUMBER(Q168),N(Q168)&gt;0.1),"Precio +"&amp;TEXT(Q168,"0%"),"")</f>
        <v/>
      </c>
      <c r="U168" s="0" t="str">
        <f aca="false">IF(OR(D168="",S168="Servicio"),"",MIN(G168,D168)*P168)</f>
        <v/>
      </c>
      <c r="V168" s="0" t="str">
        <f aca="false">IF(OR(D168="",S168="Servicio"),"",D168*P168)</f>
        <v/>
      </c>
    </row>
    <row r="169" customFormat="false" ht="16.5" hidden="false" customHeight="true" outlineLevel="0" collapsed="false">
      <c r="A169" s="23" t="str">
        <f aca="false">IF(PRESUPUESTO!$A165="Ítem",PRESUPUESTO!B165,"")</f>
        <v/>
      </c>
      <c r="B169" s="23" t="str">
        <f aca="false">IF(PRESUPUESTO!C165="","",PRESUPUESTO!C165)</f>
        <v/>
      </c>
      <c r="C169" s="86" t="str">
        <f aca="false">IF(PRESUPUESTO!$A165="Ítem",PRESUPUESTO!D165,"")</f>
        <v/>
      </c>
      <c r="D169" s="87" t="str">
        <f aca="false">IF(PRESUPUESTO!$A165&lt;&gt;"Ítem","",MAX(N(PRESUPUESTO!E165),N('CORTES CLIENTE'!L178)))</f>
        <v/>
      </c>
      <c r="E169" s="80"/>
      <c r="F169" s="87" t="str">
        <f aca="false">IF(D169="","",SUMIFS(GASTOS!$H$7:$H$5000,GASTOS!$F$7:$F$5000,$A169,GASTOS!$L$7:$L$5000,"Materiales y equipos"))</f>
        <v/>
      </c>
      <c r="G169" s="88" t="str">
        <f aca="false">IF(D169="","",N(E169)+F169)</f>
        <v/>
      </c>
      <c r="H169" s="88" t="str">
        <f aca="false">IF(OR(D169="",S169="Servicio"),"",MAX(0,D169-G169))</f>
        <v/>
      </c>
      <c r="I169" s="36" t="str">
        <f aca="false">IF(OR(D169="",S169="Servicio",N(D169)=0),"",MIN(1,G169/D169))</f>
        <v/>
      </c>
      <c r="J169" s="10" t="str">
        <f aca="false">IF(D169="","",PRESUPUESTO!O165)</f>
        <v/>
      </c>
      <c r="K169" s="10" t="str">
        <f aca="false">IF(D169="","",SUMIFS(GASTOS!$J$7:$J$5000,GASTOS!$F$7:$F$5000,$A169,GASTOS!$L$7:$L$5000,"Materiales y equipos"))</f>
        <v/>
      </c>
      <c r="L169" s="105" t="str">
        <f aca="false">IF(D169="","",COUNTIFS(GASTOS!$F$7:$F$5000,$A169,GASTOS!$L$7:$L$5000,"Materiales y equipos"))</f>
        <v/>
      </c>
      <c r="M169" s="10" t="str">
        <f aca="false">IF(OR(D169="",N(F169)=0),"",K169/F169)</f>
        <v/>
      </c>
      <c r="N169" s="10" t="str">
        <f aca="false">IF(OR(D169="",N(L169)=0),"",IFERROR(LOOKUP(2,1/((GASTOS!$F$7:$F$5000=$A169)*(GASTOS!$L$7:$L$5000="Materiales y equipos")*(GASTOS!$I$7:$I$5000&lt;&gt;"")),GASTOS!$I$7:$I$5000),""))</f>
        <v/>
      </c>
      <c r="O169" s="23" t="str">
        <f aca="false">IF(OR(D169="",N(L169)=0),"",IFERROR(LOOKUP(2,1/((GASTOS!$F$7:$F$5000=$A169)*(GASTOS!$L$7:$L$5000="Materiales y equipos")*(GASTOS!$I$7:$I$5000&lt;&gt;"")),GASTOS!$D$7:$D$5000),""))</f>
        <v/>
      </c>
      <c r="P169" s="10" t="str">
        <f aca="false">IF(D169="","",N(PRESUPUESTO!I165))</f>
        <v/>
      </c>
      <c r="Q169" s="36" t="str">
        <f aca="false">IF(OR(D169="",N169="",N(P169)=0),"",N169/P169-1)</f>
        <v/>
      </c>
      <c r="R169" s="10" t="str">
        <f aca="false">IF(OR(D169="",S169="Servicio"),"",H169*IF(N169&lt;&gt;"",N169,P169))</f>
        <v/>
      </c>
      <c r="S169" s="39" t="str">
        <f aca="false">IF(D169="","",IF(N(PRESUPUESTO!H165)=0,"Servicio",IF(G169=0,"Sin comprar",IF(G169&gt;=D169,"Comprado","Parcial"))))</f>
        <v/>
      </c>
      <c r="T169" s="86" t="str">
        <f aca="false">IF(AND(ISNUMBER(Q169),N(Q169)&gt;0.1),"Precio +"&amp;TEXT(Q169,"0%"),"")</f>
        <v/>
      </c>
      <c r="U169" s="0" t="str">
        <f aca="false">IF(OR(D169="",S169="Servicio"),"",MIN(G169,D169)*P169)</f>
        <v/>
      </c>
      <c r="V169" s="0" t="str">
        <f aca="false">IF(OR(D169="",S169="Servicio"),"",D169*P169)</f>
        <v/>
      </c>
    </row>
    <row r="170" customFormat="false" ht="16.5" hidden="false" customHeight="true" outlineLevel="0" collapsed="false">
      <c r="A170" s="23" t="str">
        <f aca="false">IF(PRESUPUESTO!$A166="Ítem",PRESUPUESTO!B166,"")</f>
        <v/>
      </c>
      <c r="B170" s="23" t="str">
        <f aca="false">IF(PRESUPUESTO!C166="","",PRESUPUESTO!C166)</f>
        <v/>
      </c>
      <c r="C170" s="86" t="str">
        <f aca="false">IF(PRESUPUESTO!$A166="Ítem",PRESUPUESTO!D166,"")</f>
        <v/>
      </c>
      <c r="D170" s="87" t="str">
        <f aca="false">IF(PRESUPUESTO!$A166&lt;&gt;"Ítem","",MAX(N(PRESUPUESTO!E166),N('CORTES CLIENTE'!L179)))</f>
        <v/>
      </c>
      <c r="E170" s="80"/>
      <c r="F170" s="87" t="str">
        <f aca="false">IF(D170="","",SUMIFS(GASTOS!$H$7:$H$5000,GASTOS!$F$7:$F$5000,$A170,GASTOS!$L$7:$L$5000,"Materiales y equipos"))</f>
        <v/>
      </c>
      <c r="G170" s="88" t="str">
        <f aca="false">IF(D170="","",N(E170)+F170)</f>
        <v/>
      </c>
      <c r="H170" s="88" t="str">
        <f aca="false">IF(OR(D170="",S170="Servicio"),"",MAX(0,D170-G170))</f>
        <v/>
      </c>
      <c r="I170" s="36" t="str">
        <f aca="false">IF(OR(D170="",S170="Servicio",N(D170)=0),"",MIN(1,G170/D170))</f>
        <v/>
      </c>
      <c r="J170" s="10" t="str">
        <f aca="false">IF(D170="","",PRESUPUESTO!O166)</f>
        <v/>
      </c>
      <c r="K170" s="10" t="str">
        <f aca="false">IF(D170="","",SUMIFS(GASTOS!$J$7:$J$5000,GASTOS!$F$7:$F$5000,$A170,GASTOS!$L$7:$L$5000,"Materiales y equipos"))</f>
        <v/>
      </c>
      <c r="L170" s="105" t="str">
        <f aca="false">IF(D170="","",COUNTIFS(GASTOS!$F$7:$F$5000,$A170,GASTOS!$L$7:$L$5000,"Materiales y equipos"))</f>
        <v/>
      </c>
      <c r="M170" s="10" t="str">
        <f aca="false">IF(OR(D170="",N(F170)=0),"",K170/F170)</f>
        <v/>
      </c>
      <c r="N170" s="10" t="str">
        <f aca="false">IF(OR(D170="",N(L170)=0),"",IFERROR(LOOKUP(2,1/((GASTOS!$F$7:$F$5000=$A170)*(GASTOS!$L$7:$L$5000="Materiales y equipos")*(GASTOS!$I$7:$I$5000&lt;&gt;"")),GASTOS!$I$7:$I$5000),""))</f>
        <v/>
      </c>
      <c r="O170" s="23" t="str">
        <f aca="false">IF(OR(D170="",N(L170)=0),"",IFERROR(LOOKUP(2,1/((GASTOS!$F$7:$F$5000=$A170)*(GASTOS!$L$7:$L$5000="Materiales y equipos")*(GASTOS!$I$7:$I$5000&lt;&gt;"")),GASTOS!$D$7:$D$5000),""))</f>
        <v/>
      </c>
      <c r="P170" s="10" t="str">
        <f aca="false">IF(D170="","",N(PRESUPUESTO!I166))</f>
        <v/>
      </c>
      <c r="Q170" s="36" t="str">
        <f aca="false">IF(OR(D170="",N170="",N(P170)=0),"",N170/P170-1)</f>
        <v/>
      </c>
      <c r="R170" s="10" t="str">
        <f aca="false">IF(OR(D170="",S170="Servicio"),"",H170*IF(N170&lt;&gt;"",N170,P170))</f>
        <v/>
      </c>
      <c r="S170" s="39" t="str">
        <f aca="false">IF(D170="","",IF(N(PRESUPUESTO!H166)=0,"Servicio",IF(G170=0,"Sin comprar",IF(G170&gt;=D170,"Comprado","Parcial"))))</f>
        <v/>
      </c>
      <c r="T170" s="86" t="str">
        <f aca="false">IF(AND(ISNUMBER(Q170),N(Q170)&gt;0.1),"Precio +"&amp;TEXT(Q170,"0%"),"")</f>
        <v/>
      </c>
      <c r="U170" s="0" t="str">
        <f aca="false">IF(OR(D170="",S170="Servicio"),"",MIN(G170,D170)*P170)</f>
        <v/>
      </c>
      <c r="V170" s="0" t="str">
        <f aca="false">IF(OR(D170="",S170="Servicio"),"",D170*P170)</f>
        <v/>
      </c>
    </row>
    <row r="171" customFormat="false" ht="16.5" hidden="false" customHeight="true" outlineLevel="0" collapsed="false">
      <c r="A171" s="23" t="str">
        <f aca="false">IF(PRESUPUESTO!$A167="Ítem",PRESUPUESTO!B167,"")</f>
        <v/>
      </c>
      <c r="B171" s="23" t="str">
        <f aca="false">IF(PRESUPUESTO!C167="","",PRESUPUESTO!C167)</f>
        <v/>
      </c>
      <c r="C171" s="86" t="str">
        <f aca="false">IF(PRESUPUESTO!$A167="Ítem",PRESUPUESTO!D167,"")</f>
        <v/>
      </c>
      <c r="D171" s="87" t="str">
        <f aca="false">IF(PRESUPUESTO!$A167&lt;&gt;"Ítem","",MAX(N(PRESUPUESTO!E167),N('CORTES CLIENTE'!L180)))</f>
        <v/>
      </c>
      <c r="E171" s="80"/>
      <c r="F171" s="87" t="str">
        <f aca="false">IF(D171="","",SUMIFS(GASTOS!$H$7:$H$5000,GASTOS!$F$7:$F$5000,$A171,GASTOS!$L$7:$L$5000,"Materiales y equipos"))</f>
        <v/>
      </c>
      <c r="G171" s="88" t="str">
        <f aca="false">IF(D171="","",N(E171)+F171)</f>
        <v/>
      </c>
      <c r="H171" s="88" t="str">
        <f aca="false">IF(OR(D171="",S171="Servicio"),"",MAX(0,D171-G171))</f>
        <v/>
      </c>
      <c r="I171" s="36" t="str">
        <f aca="false">IF(OR(D171="",S171="Servicio",N(D171)=0),"",MIN(1,G171/D171))</f>
        <v/>
      </c>
      <c r="J171" s="10" t="str">
        <f aca="false">IF(D171="","",PRESUPUESTO!O167)</f>
        <v/>
      </c>
      <c r="K171" s="10" t="str">
        <f aca="false">IF(D171="","",SUMIFS(GASTOS!$J$7:$J$5000,GASTOS!$F$7:$F$5000,$A171,GASTOS!$L$7:$L$5000,"Materiales y equipos"))</f>
        <v/>
      </c>
      <c r="L171" s="105" t="str">
        <f aca="false">IF(D171="","",COUNTIFS(GASTOS!$F$7:$F$5000,$A171,GASTOS!$L$7:$L$5000,"Materiales y equipos"))</f>
        <v/>
      </c>
      <c r="M171" s="10" t="str">
        <f aca="false">IF(OR(D171="",N(F171)=0),"",K171/F171)</f>
        <v/>
      </c>
      <c r="N171" s="10" t="str">
        <f aca="false">IF(OR(D171="",N(L171)=0),"",IFERROR(LOOKUP(2,1/((GASTOS!$F$7:$F$5000=$A171)*(GASTOS!$L$7:$L$5000="Materiales y equipos")*(GASTOS!$I$7:$I$5000&lt;&gt;"")),GASTOS!$I$7:$I$5000),""))</f>
        <v/>
      </c>
      <c r="O171" s="23" t="str">
        <f aca="false">IF(OR(D171="",N(L171)=0),"",IFERROR(LOOKUP(2,1/((GASTOS!$F$7:$F$5000=$A171)*(GASTOS!$L$7:$L$5000="Materiales y equipos")*(GASTOS!$I$7:$I$5000&lt;&gt;"")),GASTOS!$D$7:$D$5000),""))</f>
        <v/>
      </c>
      <c r="P171" s="10" t="str">
        <f aca="false">IF(D171="","",N(PRESUPUESTO!I167))</f>
        <v/>
      </c>
      <c r="Q171" s="36" t="str">
        <f aca="false">IF(OR(D171="",N171="",N(P171)=0),"",N171/P171-1)</f>
        <v/>
      </c>
      <c r="R171" s="10" t="str">
        <f aca="false">IF(OR(D171="",S171="Servicio"),"",H171*IF(N171&lt;&gt;"",N171,P171))</f>
        <v/>
      </c>
      <c r="S171" s="39" t="str">
        <f aca="false">IF(D171="","",IF(N(PRESUPUESTO!H167)=0,"Servicio",IF(G171=0,"Sin comprar",IF(G171&gt;=D171,"Comprado","Parcial"))))</f>
        <v/>
      </c>
      <c r="T171" s="86" t="str">
        <f aca="false">IF(AND(ISNUMBER(Q171),N(Q171)&gt;0.1),"Precio +"&amp;TEXT(Q171,"0%"),"")</f>
        <v/>
      </c>
      <c r="U171" s="0" t="str">
        <f aca="false">IF(OR(D171="",S171="Servicio"),"",MIN(G171,D171)*P171)</f>
        <v/>
      </c>
      <c r="V171" s="0" t="str">
        <f aca="false">IF(OR(D171="",S171="Servicio"),"",D171*P171)</f>
        <v/>
      </c>
    </row>
    <row r="172" customFormat="false" ht="16.5" hidden="false" customHeight="true" outlineLevel="0" collapsed="false">
      <c r="A172" s="23" t="str">
        <f aca="false">IF(PRESUPUESTO!$A168="Ítem",PRESUPUESTO!B168,"")</f>
        <v/>
      </c>
      <c r="B172" s="23" t="str">
        <f aca="false">IF(PRESUPUESTO!C168="","",PRESUPUESTO!C168)</f>
        <v/>
      </c>
      <c r="C172" s="86" t="str">
        <f aca="false">IF(PRESUPUESTO!$A168="Ítem",PRESUPUESTO!D168,"")</f>
        <v/>
      </c>
      <c r="D172" s="87" t="str">
        <f aca="false">IF(PRESUPUESTO!$A168&lt;&gt;"Ítem","",MAX(N(PRESUPUESTO!E168),N('CORTES CLIENTE'!L181)))</f>
        <v/>
      </c>
      <c r="E172" s="80"/>
      <c r="F172" s="87" t="str">
        <f aca="false">IF(D172="","",SUMIFS(GASTOS!$H$7:$H$5000,GASTOS!$F$7:$F$5000,$A172,GASTOS!$L$7:$L$5000,"Materiales y equipos"))</f>
        <v/>
      </c>
      <c r="G172" s="88" t="str">
        <f aca="false">IF(D172="","",N(E172)+F172)</f>
        <v/>
      </c>
      <c r="H172" s="88" t="str">
        <f aca="false">IF(OR(D172="",S172="Servicio"),"",MAX(0,D172-G172))</f>
        <v/>
      </c>
      <c r="I172" s="36" t="str">
        <f aca="false">IF(OR(D172="",S172="Servicio",N(D172)=0),"",MIN(1,G172/D172))</f>
        <v/>
      </c>
      <c r="J172" s="10" t="str">
        <f aca="false">IF(D172="","",PRESUPUESTO!O168)</f>
        <v/>
      </c>
      <c r="K172" s="10" t="str">
        <f aca="false">IF(D172="","",SUMIFS(GASTOS!$J$7:$J$5000,GASTOS!$F$7:$F$5000,$A172,GASTOS!$L$7:$L$5000,"Materiales y equipos"))</f>
        <v/>
      </c>
      <c r="L172" s="105" t="str">
        <f aca="false">IF(D172="","",COUNTIFS(GASTOS!$F$7:$F$5000,$A172,GASTOS!$L$7:$L$5000,"Materiales y equipos"))</f>
        <v/>
      </c>
      <c r="M172" s="10" t="str">
        <f aca="false">IF(OR(D172="",N(F172)=0),"",K172/F172)</f>
        <v/>
      </c>
      <c r="N172" s="10" t="str">
        <f aca="false">IF(OR(D172="",N(L172)=0),"",IFERROR(LOOKUP(2,1/((GASTOS!$F$7:$F$5000=$A172)*(GASTOS!$L$7:$L$5000="Materiales y equipos")*(GASTOS!$I$7:$I$5000&lt;&gt;"")),GASTOS!$I$7:$I$5000),""))</f>
        <v/>
      </c>
      <c r="O172" s="23" t="str">
        <f aca="false">IF(OR(D172="",N(L172)=0),"",IFERROR(LOOKUP(2,1/((GASTOS!$F$7:$F$5000=$A172)*(GASTOS!$L$7:$L$5000="Materiales y equipos")*(GASTOS!$I$7:$I$5000&lt;&gt;"")),GASTOS!$D$7:$D$5000),""))</f>
        <v/>
      </c>
      <c r="P172" s="10" t="str">
        <f aca="false">IF(D172="","",N(PRESUPUESTO!I168))</f>
        <v/>
      </c>
      <c r="Q172" s="36" t="str">
        <f aca="false">IF(OR(D172="",N172="",N(P172)=0),"",N172/P172-1)</f>
        <v/>
      </c>
      <c r="R172" s="10" t="str">
        <f aca="false">IF(OR(D172="",S172="Servicio"),"",H172*IF(N172&lt;&gt;"",N172,P172))</f>
        <v/>
      </c>
      <c r="S172" s="39" t="str">
        <f aca="false">IF(D172="","",IF(N(PRESUPUESTO!H168)=0,"Servicio",IF(G172=0,"Sin comprar",IF(G172&gt;=D172,"Comprado","Parcial"))))</f>
        <v/>
      </c>
      <c r="T172" s="86" t="str">
        <f aca="false">IF(AND(ISNUMBER(Q172),N(Q172)&gt;0.1),"Precio +"&amp;TEXT(Q172,"0%"),"")</f>
        <v/>
      </c>
      <c r="U172" s="0" t="str">
        <f aca="false">IF(OR(D172="",S172="Servicio"),"",MIN(G172,D172)*P172)</f>
        <v/>
      </c>
      <c r="V172" s="0" t="str">
        <f aca="false">IF(OR(D172="",S172="Servicio"),"",D172*P172)</f>
        <v/>
      </c>
    </row>
    <row r="173" customFormat="false" ht="16.5" hidden="false" customHeight="true" outlineLevel="0" collapsed="false">
      <c r="A173" s="23" t="str">
        <f aca="false">IF(PRESUPUESTO!$A169="Ítem",PRESUPUESTO!B169,"")</f>
        <v/>
      </c>
      <c r="B173" s="23" t="str">
        <f aca="false">IF(PRESUPUESTO!C169="","",PRESUPUESTO!C169)</f>
        <v/>
      </c>
      <c r="C173" s="86" t="str">
        <f aca="false">IF(PRESUPUESTO!$A169="Ítem",PRESUPUESTO!D169,"")</f>
        <v/>
      </c>
      <c r="D173" s="87" t="str">
        <f aca="false">IF(PRESUPUESTO!$A169&lt;&gt;"Ítem","",MAX(N(PRESUPUESTO!E169),N('CORTES CLIENTE'!L182)))</f>
        <v/>
      </c>
      <c r="E173" s="80"/>
      <c r="F173" s="87" t="str">
        <f aca="false">IF(D173="","",SUMIFS(GASTOS!$H$7:$H$5000,GASTOS!$F$7:$F$5000,$A173,GASTOS!$L$7:$L$5000,"Materiales y equipos"))</f>
        <v/>
      </c>
      <c r="G173" s="88" t="str">
        <f aca="false">IF(D173="","",N(E173)+F173)</f>
        <v/>
      </c>
      <c r="H173" s="88" t="str">
        <f aca="false">IF(OR(D173="",S173="Servicio"),"",MAX(0,D173-G173))</f>
        <v/>
      </c>
      <c r="I173" s="36" t="str">
        <f aca="false">IF(OR(D173="",S173="Servicio",N(D173)=0),"",MIN(1,G173/D173))</f>
        <v/>
      </c>
      <c r="J173" s="10" t="str">
        <f aca="false">IF(D173="","",PRESUPUESTO!O169)</f>
        <v/>
      </c>
      <c r="K173" s="10" t="str">
        <f aca="false">IF(D173="","",SUMIFS(GASTOS!$J$7:$J$5000,GASTOS!$F$7:$F$5000,$A173,GASTOS!$L$7:$L$5000,"Materiales y equipos"))</f>
        <v/>
      </c>
      <c r="L173" s="105" t="str">
        <f aca="false">IF(D173="","",COUNTIFS(GASTOS!$F$7:$F$5000,$A173,GASTOS!$L$7:$L$5000,"Materiales y equipos"))</f>
        <v/>
      </c>
      <c r="M173" s="10" t="str">
        <f aca="false">IF(OR(D173="",N(F173)=0),"",K173/F173)</f>
        <v/>
      </c>
      <c r="N173" s="10" t="str">
        <f aca="false">IF(OR(D173="",N(L173)=0),"",IFERROR(LOOKUP(2,1/((GASTOS!$F$7:$F$5000=$A173)*(GASTOS!$L$7:$L$5000="Materiales y equipos")*(GASTOS!$I$7:$I$5000&lt;&gt;"")),GASTOS!$I$7:$I$5000),""))</f>
        <v/>
      </c>
      <c r="O173" s="23" t="str">
        <f aca="false">IF(OR(D173="",N(L173)=0),"",IFERROR(LOOKUP(2,1/((GASTOS!$F$7:$F$5000=$A173)*(GASTOS!$L$7:$L$5000="Materiales y equipos")*(GASTOS!$I$7:$I$5000&lt;&gt;"")),GASTOS!$D$7:$D$5000),""))</f>
        <v/>
      </c>
      <c r="P173" s="10" t="str">
        <f aca="false">IF(D173="","",N(PRESUPUESTO!I169))</f>
        <v/>
      </c>
      <c r="Q173" s="36" t="str">
        <f aca="false">IF(OR(D173="",N173="",N(P173)=0),"",N173/P173-1)</f>
        <v/>
      </c>
      <c r="R173" s="10" t="str">
        <f aca="false">IF(OR(D173="",S173="Servicio"),"",H173*IF(N173&lt;&gt;"",N173,P173))</f>
        <v/>
      </c>
      <c r="S173" s="39" t="str">
        <f aca="false">IF(D173="","",IF(N(PRESUPUESTO!H169)=0,"Servicio",IF(G173=0,"Sin comprar",IF(G173&gt;=D173,"Comprado","Parcial"))))</f>
        <v/>
      </c>
      <c r="T173" s="86" t="str">
        <f aca="false">IF(AND(ISNUMBER(Q173),N(Q173)&gt;0.1),"Precio +"&amp;TEXT(Q173,"0%"),"")</f>
        <v/>
      </c>
      <c r="U173" s="0" t="str">
        <f aca="false">IF(OR(D173="",S173="Servicio"),"",MIN(G173,D173)*P173)</f>
        <v/>
      </c>
      <c r="V173" s="0" t="str">
        <f aca="false">IF(OR(D173="",S173="Servicio"),"",D173*P173)</f>
        <v/>
      </c>
    </row>
    <row r="174" customFormat="false" ht="16.5" hidden="false" customHeight="true" outlineLevel="0" collapsed="false">
      <c r="A174" s="23" t="str">
        <f aca="false">IF(PRESUPUESTO!$A170="Ítem",PRESUPUESTO!B170,"")</f>
        <v/>
      </c>
      <c r="B174" s="23" t="str">
        <f aca="false">IF(PRESUPUESTO!C170="","",PRESUPUESTO!C170)</f>
        <v/>
      </c>
      <c r="C174" s="86" t="str">
        <f aca="false">IF(PRESUPUESTO!$A170="Ítem",PRESUPUESTO!D170,"")</f>
        <v/>
      </c>
      <c r="D174" s="87" t="str">
        <f aca="false">IF(PRESUPUESTO!$A170&lt;&gt;"Ítem","",MAX(N(PRESUPUESTO!E170),N('CORTES CLIENTE'!L183)))</f>
        <v/>
      </c>
      <c r="E174" s="80"/>
      <c r="F174" s="87" t="str">
        <f aca="false">IF(D174="","",SUMIFS(GASTOS!$H$7:$H$5000,GASTOS!$F$7:$F$5000,$A174,GASTOS!$L$7:$L$5000,"Materiales y equipos"))</f>
        <v/>
      </c>
      <c r="G174" s="88" t="str">
        <f aca="false">IF(D174="","",N(E174)+F174)</f>
        <v/>
      </c>
      <c r="H174" s="88" t="str">
        <f aca="false">IF(OR(D174="",S174="Servicio"),"",MAX(0,D174-G174))</f>
        <v/>
      </c>
      <c r="I174" s="36" t="str">
        <f aca="false">IF(OR(D174="",S174="Servicio",N(D174)=0),"",MIN(1,G174/D174))</f>
        <v/>
      </c>
      <c r="J174" s="10" t="str">
        <f aca="false">IF(D174="","",PRESUPUESTO!O170)</f>
        <v/>
      </c>
      <c r="K174" s="10" t="str">
        <f aca="false">IF(D174="","",SUMIFS(GASTOS!$J$7:$J$5000,GASTOS!$F$7:$F$5000,$A174,GASTOS!$L$7:$L$5000,"Materiales y equipos"))</f>
        <v/>
      </c>
      <c r="L174" s="105" t="str">
        <f aca="false">IF(D174="","",COUNTIFS(GASTOS!$F$7:$F$5000,$A174,GASTOS!$L$7:$L$5000,"Materiales y equipos"))</f>
        <v/>
      </c>
      <c r="M174" s="10" t="str">
        <f aca="false">IF(OR(D174="",N(F174)=0),"",K174/F174)</f>
        <v/>
      </c>
      <c r="N174" s="10" t="str">
        <f aca="false">IF(OR(D174="",N(L174)=0),"",IFERROR(LOOKUP(2,1/((GASTOS!$F$7:$F$5000=$A174)*(GASTOS!$L$7:$L$5000="Materiales y equipos")*(GASTOS!$I$7:$I$5000&lt;&gt;"")),GASTOS!$I$7:$I$5000),""))</f>
        <v/>
      </c>
      <c r="O174" s="23" t="str">
        <f aca="false">IF(OR(D174="",N(L174)=0),"",IFERROR(LOOKUP(2,1/((GASTOS!$F$7:$F$5000=$A174)*(GASTOS!$L$7:$L$5000="Materiales y equipos")*(GASTOS!$I$7:$I$5000&lt;&gt;"")),GASTOS!$D$7:$D$5000),""))</f>
        <v/>
      </c>
      <c r="P174" s="10" t="str">
        <f aca="false">IF(D174="","",N(PRESUPUESTO!I170))</f>
        <v/>
      </c>
      <c r="Q174" s="36" t="str">
        <f aca="false">IF(OR(D174="",N174="",N(P174)=0),"",N174/P174-1)</f>
        <v/>
      </c>
      <c r="R174" s="10" t="str">
        <f aca="false">IF(OR(D174="",S174="Servicio"),"",H174*IF(N174&lt;&gt;"",N174,P174))</f>
        <v/>
      </c>
      <c r="S174" s="39" t="str">
        <f aca="false">IF(D174="","",IF(N(PRESUPUESTO!H170)=0,"Servicio",IF(G174=0,"Sin comprar",IF(G174&gt;=D174,"Comprado","Parcial"))))</f>
        <v/>
      </c>
      <c r="T174" s="86" t="str">
        <f aca="false">IF(AND(ISNUMBER(Q174),N(Q174)&gt;0.1),"Precio +"&amp;TEXT(Q174,"0%"),"")</f>
        <v/>
      </c>
      <c r="U174" s="0" t="str">
        <f aca="false">IF(OR(D174="",S174="Servicio"),"",MIN(G174,D174)*P174)</f>
        <v/>
      </c>
      <c r="V174" s="0" t="str">
        <f aca="false">IF(OR(D174="",S174="Servicio"),"",D174*P174)</f>
        <v/>
      </c>
    </row>
    <row r="175" customFormat="false" ht="16.5" hidden="false" customHeight="true" outlineLevel="0" collapsed="false">
      <c r="A175" s="23" t="str">
        <f aca="false">IF(PRESUPUESTO!$A171="Ítem",PRESUPUESTO!B171,"")</f>
        <v/>
      </c>
      <c r="B175" s="23" t="str">
        <f aca="false">IF(PRESUPUESTO!C171="","",PRESUPUESTO!C171)</f>
        <v/>
      </c>
      <c r="C175" s="86" t="str">
        <f aca="false">IF(PRESUPUESTO!$A171="Ítem",PRESUPUESTO!D171,"")</f>
        <v/>
      </c>
      <c r="D175" s="87" t="str">
        <f aca="false">IF(PRESUPUESTO!$A171&lt;&gt;"Ítem","",MAX(N(PRESUPUESTO!E171),N('CORTES CLIENTE'!L184)))</f>
        <v/>
      </c>
      <c r="E175" s="80"/>
      <c r="F175" s="87" t="str">
        <f aca="false">IF(D175="","",SUMIFS(GASTOS!$H$7:$H$5000,GASTOS!$F$7:$F$5000,$A175,GASTOS!$L$7:$L$5000,"Materiales y equipos"))</f>
        <v/>
      </c>
      <c r="G175" s="88" t="str">
        <f aca="false">IF(D175="","",N(E175)+F175)</f>
        <v/>
      </c>
      <c r="H175" s="88" t="str">
        <f aca="false">IF(OR(D175="",S175="Servicio"),"",MAX(0,D175-G175))</f>
        <v/>
      </c>
      <c r="I175" s="36" t="str">
        <f aca="false">IF(OR(D175="",S175="Servicio",N(D175)=0),"",MIN(1,G175/D175))</f>
        <v/>
      </c>
      <c r="J175" s="10" t="str">
        <f aca="false">IF(D175="","",PRESUPUESTO!O171)</f>
        <v/>
      </c>
      <c r="K175" s="10" t="str">
        <f aca="false">IF(D175="","",SUMIFS(GASTOS!$J$7:$J$5000,GASTOS!$F$7:$F$5000,$A175,GASTOS!$L$7:$L$5000,"Materiales y equipos"))</f>
        <v/>
      </c>
      <c r="L175" s="105" t="str">
        <f aca="false">IF(D175="","",COUNTIFS(GASTOS!$F$7:$F$5000,$A175,GASTOS!$L$7:$L$5000,"Materiales y equipos"))</f>
        <v/>
      </c>
      <c r="M175" s="10" t="str">
        <f aca="false">IF(OR(D175="",N(F175)=0),"",K175/F175)</f>
        <v/>
      </c>
      <c r="N175" s="10" t="str">
        <f aca="false">IF(OR(D175="",N(L175)=0),"",IFERROR(LOOKUP(2,1/((GASTOS!$F$7:$F$5000=$A175)*(GASTOS!$L$7:$L$5000="Materiales y equipos")*(GASTOS!$I$7:$I$5000&lt;&gt;"")),GASTOS!$I$7:$I$5000),""))</f>
        <v/>
      </c>
      <c r="O175" s="23" t="str">
        <f aca="false">IF(OR(D175="",N(L175)=0),"",IFERROR(LOOKUP(2,1/((GASTOS!$F$7:$F$5000=$A175)*(GASTOS!$L$7:$L$5000="Materiales y equipos")*(GASTOS!$I$7:$I$5000&lt;&gt;"")),GASTOS!$D$7:$D$5000),""))</f>
        <v/>
      </c>
      <c r="P175" s="10" t="str">
        <f aca="false">IF(D175="","",N(PRESUPUESTO!I171))</f>
        <v/>
      </c>
      <c r="Q175" s="36" t="str">
        <f aca="false">IF(OR(D175="",N175="",N(P175)=0),"",N175/P175-1)</f>
        <v/>
      </c>
      <c r="R175" s="10" t="str">
        <f aca="false">IF(OR(D175="",S175="Servicio"),"",H175*IF(N175&lt;&gt;"",N175,P175))</f>
        <v/>
      </c>
      <c r="S175" s="39" t="str">
        <f aca="false">IF(D175="","",IF(N(PRESUPUESTO!H171)=0,"Servicio",IF(G175=0,"Sin comprar",IF(G175&gt;=D175,"Comprado","Parcial"))))</f>
        <v/>
      </c>
      <c r="T175" s="86" t="str">
        <f aca="false">IF(AND(ISNUMBER(Q175),N(Q175)&gt;0.1),"Precio +"&amp;TEXT(Q175,"0%"),"")</f>
        <v/>
      </c>
      <c r="U175" s="0" t="str">
        <f aca="false">IF(OR(D175="",S175="Servicio"),"",MIN(G175,D175)*P175)</f>
        <v/>
      </c>
      <c r="V175" s="0" t="str">
        <f aca="false">IF(OR(D175="",S175="Servicio"),"",D175*P175)</f>
        <v/>
      </c>
    </row>
    <row r="176" customFormat="false" ht="16.5" hidden="false" customHeight="true" outlineLevel="0" collapsed="false">
      <c r="A176" s="23" t="str">
        <f aca="false">IF(PRESUPUESTO!$A172="Ítem",PRESUPUESTO!B172,"")</f>
        <v/>
      </c>
      <c r="B176" s="23" t="str">
        <f aca="false">IF(PRESUPUESTO!C172="","",PRESUPUESTO!C172)</f>
        <v/>
      </c>
      <c r="C176" s="86" t="str">
        <f aca="false">IF(PRESUPUESTO!$A172="Ítem",PRESUPUESTO!D172,"")</f>
        <v/>
      </c>
      <c r="D176" s="87" t="str">
        <f aca="false">IF(PRESUPUESTO!$A172&lt;&gt;"Ítem","",MAX(N(PRESUPUESTO!E172),N('CORTES CLIENTE'!L185)))</f>
        <v/>
      </c>
      <c r="E176" s="80"/>
      <c r="F176" s="87" t="str">
        <f aca="false">IF(D176="","",SUMIFS(GASTOS!$H$7:$H$5000,GASTOS!$F$7:$F$5000,$A176,GASTOS!$L$7:$L$5000,"Materiales y equipos"))</f>
        <v/>
      </c>
      <c r="G176" s="88" t="str">
        <f aca="false">IF(D176="","",N(E176)+F176)</f>
        <v/>
      </c>
      <c r="H176" s="88" t="str">
        <f aca="false">IF(OR(D176="",S176="Servicio"),"",MAX(0,D176-G176))</f>
        <v/>
      </c>
      <c r="I176" s="36" t="str">
        <f aca="false">IF(OR(D176="",S176="Servicio",N(D176)=0),"",MIN(1,G176/D176))</f>
        <v/>
      </c>
      <c r="J176" s="10" t="str">
        <f aca="false">IF(D176="","",PRESUPUESTO!O172)</f>
        <v/>
      </c>
      <c r="K176" s="10" t="str">
        <f aca="false">IF(D176="","",SUMIFS(GASTOS!$J$7:$J$5000,GASTOS!$F$7:$F$5000,$A176,GASTOS!$L$7:$L$5000,"Materiales y equipos"))</f>
        <v/>
      </c>
      <c r="L176" s="105" t="str">
        <f aca="false">IF(D176="","",COUNTIFS(GASTOS!$F$7:$F$5000,$A176,GASTOS!$L$7:$L$5000,"Materiales y equipos"))</f>
        <v/>
      </c>
      <c r="M176" s="10" t="str">
        <f aca="false">IF(OR(D176="",N(F176)=0),"",K176/F176)</f>
        <v/>
      </c>
      <c r="N176" s="10" t="str">
        <f aca="false">IF(OR(D176="",N(L176)=0),"",IFERROR(LOOKUP(2,1/((GASTOS!$F$7:$F$5000=$A176)*(GASTOS!$L$7:$L$5000="Materiales y equipos")*(GASTOS!$I$7:$I$5000&lt;&gt;"")),GASTOS!$I$7:$I$5000),""))</f>
        <v/>
      </c>
      <c r="O176" s="23" t="str">
        <f aca="false">IF(OR(D176="",N(L176)=0),"",IFERROR(LOOKUP(2,1/((GASTOS!$F$7:$F$5000=$A176)*(GASTOS!$L$7:$L$5000="Materiales y equipos")*(GASTOS!$I$7:$I$5000&lt;&gt;"")),GASTOS!$D$7:$D$5000),""))</f>
        <v/>
      </c>
      <c r="P176" s="10" t="str">
        <f aca="false">IF(D176="","",N(PRESUPUESTO!I172))</f>
        <v/>
      </c>
      <c r="Q176" s="36" t="str">
        <f aca="false">IF(OR(D176="",N176="",N(P176)=0),"",N176/P176-1)</f>
        <v/>
      </c>
      <c r="R176" s="10" t="str">
        <f aca="false">IF(OR(D176="",S176="Servicio"),"",H176*IF(N176&lt;&gt;"",N176,P176))</f>
        <v/>
      </c>
      <c r="S176" s="39" t="str">
        <f aca="false">IF(D176="","",IF(N(PRESUPUESTO!H172)=0,"Servicio",IF(G176=0,"Sin comprar",IF(G176&gt;=D176,"Comprado","Parcial"))))</f>
        <v/>
      </c>
      <c r="T176" s="86" t="str">
        <f aca="false">IF(AND(ISNUMBER(Q176),N(Q176)&gt;0.1),"Precio +"&amp;TEXT(Q176,"0%"),"")</f>
        <v/>
      </c>
      <c r="U176" s="0" t="str">
        <f aca="false">IF(OR(D176="",S176="Servicio"),"",MIN(G176,D176)*P176)</f>
        <v/>
      </c>
      <c r="V176" s="0" t="str">
        <f aca="false">IF(OR(D176="",S176="Servicio"),"",D176*P176)</f>
        <v/>
      </c>
    </row>
    <row r="177" customFormat="false" ht="16.5" hidden="false" customHeight="true" outlineLevel="0" collapsed="false">
      <c r="A177" s="23" t="str">
        <f aca="false">IF(PRESUPUESTO!$A173="Ítem",PRESUPUESTO!B173,"")</f>
        <v/>
      </c>
      <c r="B177" s="23" t="str">
        <f aca="false">IF(PRESUPUESTO!C173="","",PRESUPUESTO!C173)</f>
        <v/>
      </c>
      <c r="C177" s="86" t="str">
        <f aca="false">IF(PRESUPUESTO!$A173="Ítem",PRESUPUESTO!D173,"")</f>
        <v/>
      </c>
      <c r="D177" s="87" t="str">
        <f aca="false">IF(PRESUPUESTO!$A173&lt;&gt;"Ítem","",MAX(N(PRESUPUESTO!E173),N('CORTES CLIENTE'!L186)))</f>
        <v/>
      </c>
      <c r="E177" s="80"/>
      <c r="F177" s="87" t="str">
        <f aca="false">IF(D177="","",SUMIFS(GASTOS!$H$7:$H$5000,GASTOS!$F$7:$F$5000,$A177,GASTOS!$L$7:$L$5000,"Materiales y equipos"))</f>
        <v/>
      </c>
      <c r="G177" s="88" t="str">
        <f aca="false">IF(D177="","",N(E177)+F177)</f>
        <v/>
      </c>
      <c r="H177" s="88" t="str">
        <f aca="false">IF(OR(D177="",S177="Servicio"),"",MAX(0,D177-G177))</f>
        <v/>
      </c>
      <c r="I177" s="36" t="str">
        <f aca="false">IF(OR(D177="",S177="Servicio",N(D177)=0),"",MIN(1,G177/D177))</f>
        <v/>
      </c>
      <c r="J177" s="10" t="str">
        <f aca="false">IF(D177="","",PRESUPUESTO!O173)</f>
        <v/>
      </c>
      <c r="K177" s="10" t="str">
        <f aca="false">IF(D177="","",SUMIFS(GASTOS!$J$7:$J$5000,GASTOS!$F$7:$F$5000,$A177,GASTOS!$L$7:$L$5000,"Materiales y equipos"))</f>
        <v/>
      </c>
      <c r="L177" s="105" t="str">
        <f aca="false">IF(D177="","",COUNTIFS(GASTOS!$F$7:$F$5000,$A177,GASTOS!$L$7:$L$5000,"Materiales y equipos"))</f>
        <v/>
      </c>
      <c r="M177" s="10" t="str">
        <f aca="false">IF(OR(D177="",N(F177)=0),"",K177/F177)</f>
        <v/>
      </c>
      <c r="N177" s="10" t="str">
        <f aca="false">IF(OR(D177="",N(L177)=0),"",IFERROR(LOOKUP(2,1/((GASTOS!$F$7:$F$5000=$A177)*(GASTOS!$L$7:$L$5000="Materiales y equipos")*(GASTOS!$I$7:$I$5000&lt;&gt;"")),GASTOS!$I$7:$I$5000),""))</f>
        <v/>
      </c>
      <c r="O177" s="23" t="str">
        <f aca="false">IF(OR(D177="",N(L177)=0),"",IFERROR(LOOKUP(2,1/((GASTOS!$F$7:$F$5000=$A177)*(GASTOS!$L$7:$L$5000="Materiales y equipos")*(GASTOS!$I$7:$I$5000&lt;&gt;"")),GASTOS!$D$7:$D$5000),""))</f>
        <v/>
      </c>
      <c r="P177" s="10" t="str">
        <f aca="false">IF(D177="","",N(PRESUPUESTO!I173))</f>
        <v/>
      </c>
      <c r="Q177" s="36" t="str">
        <f aca="false">IF(OR(D177="",N177="",N(P177)=0),"",N177/P177-1)</f>
        <v/>
      </c>
      <c r="R177" s="10" t="str">
        <f aca="false">IF(OR(D177="",S177="Servicio"),"",H177*IF(N177&lt;&gt;"",N177,P177))</f>
        <v/>
      </c>
      <c r="S177" s="39" t="str">
        <f aca="false">IF(D177="","",IF(N(PRESUPUESTO!H173)=0,"Servicio",IF(G177=0,"Sin comprar",IF(G177&gt;=D177,"Comprado","Parcial"))))</f>
        <v/>
      </c>
      <c r="T177" s="86" t="str">
        <f aca="false">IF(AND(ISNUMBER(Q177),N(Q177)&gt;0.1),"Precio +"&amp;TEXT(Q177,"0%"),"")</f>
        <v/>
      </c>
      <c r="U177" s="0" t="str">
        <f aca="false">IF(OR(D177="",S177="Servicio"),"",MIN(G177,D177)*P177)</f>
        <v/>
      </c>
      <c r="V177" s="0" t="str">
        <f aca="false">IF(OR(D177="",S177="Servicio"),"",D177*P177)</f>
        <v/>
      </c>
    </row>
    <row r="178" customFormat="false" ht="16.5" hidden="false" customHeight="true" outlineLevel="0" collapsed="false">
      <c r="A178" s="23" t="str">
        <f aca="false">IF(PRESUPUESTO!$A174="Ítem",PRESUPUESTO!B174,"")</f>
        <v/>
      </c>
      <c r="B178" s="23" t="str">
        <f aca="false">IF(PRESUPUESTO!C174="","",PRESUPUESTO!C174)</f>
        <v/>
      </c>
      <c r="C178" s="86" t="str">
        <f aca="false">IF(PRESUPUESTO!$A174="Ítem",PRESUPUESTO!D174,"")</f>
        <v/>
      </c>
      <c r="D178" s="87" t="str">
        <f aca="false">IF(PRESUPUESTO!$A174&lt;&gt;"Ítem","",MAX(N(PRESUPUESTO!E174),N('CORTES CLIENTE'!L187)))</f>
        <v/>
      </c>
      <c r="E178" s="80"/>
      <c r="F178" s="87" t="str">
        <f aca="false">IF(D178="","",SUMIFS(GASTOS!$H$7:$H$5000,GASTOS!$F$7:$F$5000,$A178,GASTOS!$L$7:$L$5000,"Materiales y equipos"))</f>
        <v/>
      </c>
      <c r="G178" s="88" t="str">
        <f aca="false">IF(D178="","",N(E178)+F178)</f>
        <v/>
      </c>
      <c r="H178" s="88" t="str">
        <f aca="false">IF(OR(D178="",S178="Servicio"),"",MAX(0,D178-G178))</f>
        <v/>
      </c>
      <c r="I178" s="36" t="str">
        <f aca="false">IF(OR(D178="",S178="Servicio",N(D178)=0),"",MIN(1,G178/D178))</f>
        <v/>
      </c>
      <c r="J178" s="10" t="str">
        <f aca="false">IF(D178="","",PRESUPUESTO!O174)</f>
        <v/>
      </c>
      <c r="K178" s="10" t="str">
        <f aca="false">IF(D178="","",SUMIFS(GASTOS!$J$7:$J$5000,GASTOS!$F$7:$F$5000,$A178,GASTOS!$L$7:$L$5000,"Materiales y equipos"))</f>
        <v/>
      </c>
      <c r="L178" s="105" t="str">
        <f aca="false">IF(D178="","",COUNTIFS(GASTOS!$F$7:$F$5000,$A178,GASTOS!$L$7:$L$5000,"Materiales y equipos"))</f>
        <v/>
      </c>
      <c r="M178" s="10" t="str">
        <f aca="false">IF(OR(D178="",N(F178)=0),"",K178/F178)</f>
        <v/>
      </c>
      <c r="N178" s="10" t="str">
        <f aca="false">IF(OR(D178="",N(L178)=0),"",IFERROR(LOOKUP(2,1/((GASTOS!$F$7:$F$5000=$A178)*(GASTOS!$L$7:$L$5000="Materiales y equipos")*(GASTOS!$I$7:$I$5000&lt;&gt;"")),GASTOS!$I$7:$I$5000),""))</f>
        <v/>
      </c>
      <c r="O178" s="23" t="str">
        <f aca="false">IF(OR(D178="",N(L178)=0),"",IFERROR(LOOKUP(2,1/((GASTOS!$F$7:$F$5000=$A178)*(GASTOS!$L$7:$L$5000="Materiales y equipos")*(GASTOS!$I$7:$I$5000&lt;&gt;"")),GASTOS!$D$7:$D$5000),""))</f>
        <v/>
      </c>
      <c r="P178" s="10" t="str">
        <f aca="false">IF(D178="","",N(PRESUPUESTO!I174))</f>
        <v/>
      </c>
      <c r="Q178" s="36" t="str">
        <f aca="false">IF(OR(D178="",N178="",N(P178)=0),"",N178/P178-1)</f>
        <v/>
      </c>
      <c r="R178" s="10" t="str">
        <f aca="false">IF(OR(D178="",S178="Servicio"),"",H178*IF(N178&lt;&gt;"",N178,P178))</f>
        <v/>
      </c>
      <c r="S178" s="39" t="str">
        <f aca="false">IF(D178="","",IF(N(PRESUPUESTO!H174)=0,"Servicio",IF(G178=0,"Sin comprar",IF(G178&gt;=D178,"Comprado","Parcial"))))</f>
        <v/>
      </c>
      <c r="T178" s="86" t="str">
        <f aca="false">IF(AND(ISNUMBER(Q178),N(Q178)&gt;0.1),"Precio +"&amp;TEXT(Q178,"0%"),"")</f>
        <v/>
      </c>
      <c r="U178" s="0" t="str">
        <f aca="false">IF(OR(D178="",S178="Servicio"),"",MIN(G178,D178)*P178)</f>
        <v/>
      </c>
      <c r="V178" s="0" t="str">
        <f aca="false">IF(OR(D178="",S178="Servicio"),"",D178*P178)</f>
        <v/>
      </c>
    </row>
    <row r="179" customFormat="false" ht="16.5" hidden="false" customHeight="true" outlineLevel="0" collapsed="false">
      <c r="A179" s="23" t="str">
        <f aca="false">IF(PRESUPUESTO!$A175="Ítem",PRESUPUESTO!B175,"")</f>
        <v/>
      </c>
      <c r="B179" s="23" t="str">
        <f aca="false">IF(PRESUPUESTO!C175="","",PRESUPUESTO!C175)</f>
        <v/>
      </c>
      <c r="C179" s="86" t="str">
        <f aca="false">IF(PRESUPUESTO!$A175="Ítem",PRESUPUESTO!D175,"")</f>
        <v/>
      </c>
      <c r="D179" s="87" t="str">
        <f aca="false">IF(PRESUPUESTO!$A175&lt;&gt;"Ítem","",MAX(N(PRESUPUESTO!E175),N('CORTES CLIENTE'!L188)))</f>
        <v/>
      </c>
      <c r="E179" s="80"/>
      <c r="F179" s="87" t="str">
        <f aca="false">IF(D179="","",SUMIFS(GASTOS!$H$7:$H$5000,GASTOS!$F$7:$F$5000,$A179,GASTOS!$L$7:$L$5000,"Materiales y equipos"))</f>
        <v/>
      </c>
      <c r="G179" s="88" t="str">
        <f aca="false">IF(D179="","",N(E179)+F179)</f>
        <v/>
      </c>
      <c r="H179" s="88" t="str">
        <f aca="false">IF(OR(D179="",S179="Servicio"),"",MAX(0,D179-G179))</f>
        <v/>
      </c>
      <c r="I179" s="36" t="str">
        <f aca="false">IF(OR(D179="",S179="Servicio",N(D179)=0),"",MIN(1,G179/D179))</f>
        <v/>
      </c>
      <c r="J179" s="10" t="str">
        <f aca="false">IF(D179="","",PRESUPUESTO!O175)</f>
        <v/>
      </c>
      <c r="K179" s="10" t="str">
        <f aca="false">IF(D179="","",SUMIFS(GASTOS!$J$7:$J$5000,GASTOS!$F$7:$F$5000,$A179,GASTOS!$L$7:$L$5000,"Materiales y equipos"))</f>
        <v/>
      </c>
      <c r="L179" s="105" t="str">
        <f aca="false">IF(D179="","",COUNTIFS(GASTOS!$F$7:$F$5000,$A179,GASTOS!$L$7:$L$5000,"Materiales y equipos"))</f>
        <v/>
      </c>
      <c r="M179" s="10" t="str">
        <f aca="false">IF(OR(D179="",N(F179)=0),"",K179/F179)</f>
        <v/>
      </c>
      <c r="N179" s="10" t="str">
        <f aca="false">IF(OR(D179="",N(L179)=0),"",IFERROR(LOOKUP(2,1/((GASTOS!$F$7:$F$5000=$A179)*(GASTOS!$L$7:$L$5000="Materiales y equipos")*(GASTOS!$I$7:$I$5000&lt;&gt;"")),GASTOS!$I$7:$I$5000),""))</f>
        <v/>
      </c>
      <c r="O179" s="23" t="str">
        <f aca="false">IF(OR(D179="",N(L179)=0),"",IFERROR(LOOKUP(2,1/((GASTOS!$F$7:$F$5000=$A179)*(GASTOS!$L$7:$L$5000="Materiales y equipos")*(GASTOS!$I$7:$I$5000&lt;&gt;"")),GASTOS!$D$7:$D$5000),""))</f>
        <v/>
      </c>
      <c r="P179" s="10" t="str">
        <f aca="false">IF(D179="","",N(PRESUPUESTO!I175))</f>
        <v/>
      </c>
      <c r="Q179" s="36" t="str">
        <f aca="false">IF(OR(D179="",N179="",N(P179)=0),"",N179/P179-1)</f>
        <v/>
      </c>
      <c r="R179" s="10" t="str">
        <f aca="false">IF(OR(D179="",S179="Servicio"),"",H179*IF(N179&lt;&gt;"",N179,P179))</f>
        <v/>
      </c>
      <c r="S179" s="39" t="str">
        <f aca="false">IF(D179="","",IF(N(PRESUPUESTO!H175)=0,"Servicio",IF(G179=0,"Sin comprar",IF(G179&gt;=D179,"Comprado","Parcial"))))</f>
        <v/>
      </c>
      <c r="T179" s="86" t="str">
        <f aca="false">IF(AND(ISNUMBER(Q179),N(Q179)&gt;0.1),"Precio +"&amp;TEXT(Q179,"0%"),"")</f>
        <v/>
      </c>
      <c r="U179" s="0" t="str">
        <f aca="false">IF(OR(D179="",S179="Servicio"),"",MIN(G179,D179)*P179)</f>
        <v/>
      </c>
      <c r="V179" s="0" t="str">
        <f aca="false">IF(OR(D179="",S179="Servicio"),"",D179*P179)</f>
        <v/>
      </c>
    </row>
    <row r="180" customFormat="false" ht="16.5" hidden="false" customHeight="true" outlineLevel="0" collapsed="false">
      <c r="A180" s="23" t="str">
        <f aca="false">IF(PRESUPUESTO!$A176="Ítem",PRESUPUESTO!B176,"")</f>
        <v/>
      </c>
      <c r="B180" s="23" t="str">
        <f aca="false">IF(PRESUPUESTO!C176="","",PRESUPUESTO!C176)</f>
        <v/>
      </c>
      <c r="C180" s="86" t="str">
        <f aca="false">IF(PRESUPUESTO!$A176="Ítem",PRESUPUESTO!D176,"")</f>
        <v/>
      </c>
      <c r="D180" s="87" t="str">
        <f aca="false">IF(PRESUPUESTO!$A176&lt;&gt;"Ítem","",MAX(N(PRESUPUESTO!E176),N('CORTES CLIENTE'!L189)))</f>
        <v/>
      </c>
      <c r="E180" s="80"/>
      <c r="F180" s="87" t="str">
        <f aca="false">IF(D180="","",SUMIFS(GASTOS!$H$7:$H$5000,GASTOS!$F$7:$F$5000,$A180,GASTOS!$L$7:$L$5000,"Materiales y equipos"))</f>
        <v/>
      </c>
      <c r="G180" s="88" t="str">
        <f aca="false">IF(D180="","",N(E180)+F180)</f>
        <v/>
      </c>
      <c r="H180" s="88" t="str">
        <f aca="false">IF(OR(D180="",S180="Servicio"),"",MAX(0,D180-G180))</f>
        <v/>
      </c>
      <c r="I180" s="36" t="str">
        <f aca="false">IF(OR(D180="",S180="Servicio",N(D180)=0),"",MIN(1,G180/D180))</f>
        <v/>
      </c>
      <c r="J180" s="10" t="str">
        <f aca="false">IF(D180="","",PRESUPUESTO!O176)</f>
        <v/>
      </c>
      <c r="K180" s="10" t="str">
        <f aca="false">IF(D180="","",SUMIFS(GASTOS!$J$7:$J$5000,GASTOS!$F$7:$F$5000,$A180,GASTOS!$L$7:$L$5000,"Materiales y equipos"))</f>
        <v/>
      </c>
      <c r="L180" s="105" t="str">
        <f aca="false">IF(D180="","",COUNTIFS(GASTOS!$F$7:$F$5000,$A180,GASTOS!$L$7:$L$5000,"Materiales y equipos"))</f>
        <v/>
      </c>
      <c r="M180" s="10" t="str">
        <f aca="false">IF(OR(D180="",N(F180)=0),"",K180/F180)</f>
        <v/>
      </c>
      <c r="N180" s="10" t="str">
        <f aca="false">IF(OR(D180="",N(L180)=0),"",IFERROR(LOOKUP(2,1/((GASTOS!$F$7:$F$5000=$A180)*(GASTOS!$L$7:$L$5000="Materiales y equipos")*(GASTOS!$I$7:$I$5000&lt;&gt;"")),GASTOS!$I$7:$I$5000),""))</f>
        <v/>
      </c>
      <c r="O180" s="23" t="str">
        <f aca="false">IF(OR(D180="",N(L180)=0),"",IFERROR(LOOKUP(2,1/((GASTOS!$F$7:$F$5000=$A180)*(GASTOS!$L$7:$L$5000="Materiales y equipos")*(GASTOS!$I$7:$I$5000&lt;&gt;"")),GASTOS!$D$7:$D$5000),""))</f>
        <v/>
      </c>
      <c r="P180" s="10" t="str">
        <f aca="false">IF(D180="","",N(PRESUPUESTO!I176))</f>
        <v/>
      </c>
      <c r="Q180" s="36" t="str">
        <f aca="false">IF(OR(D180="",N180="",N(P180)=0),"",N180/P180-1)</f>
        <v/>
      </c>
      <c r="R180" s="10" t="str">
        <f aca="false">IF(OR(D180="",S180="Servicio"),"",H180*IF(N180&lt;&gt;"",N180,P180))</f>
        <v/>
      </c>
      <c r="S180" s="39" t="str">
        <f aca="false">IF(D180="","",IF(N(PRESUPUESTO!H176)=0,"Servicio",IF(G180=0,"Sin comprar",IF(G180&gt;=D180,"Comprado","Parcial"))))</f>
        <v/>
      </c>
      <c r="T180" s="86" t="str">
        <f aca="false">IF(AND(ISNUMBER(Q180),N(Q180)&gt;0.1),"Precio +"&amp;TEXT(Q180,"0%"),"")</f>
        <v/>
      </c>
      <c r="U180" s="0" t="str">
        <f aca="false">IF(OR(D180="",S180="Servicio"),"",MIN(G180,D180)*P180)</f>
        <v/>
      </c>
      <c r="V180" s="0" t="str">
        <f aca="false">IF(OR(D180="",S180="Servicio"),"",D180*P180)</f>
        <v/>
      </c>
    </row>
    <row r="181" customFormat="false" ht="16.5" hidden="false" customHeight="true" outlineLevel="0" collapsed="false">
      <c r="A181" s="23" t="str">
        <f aca="false">IF(PRESUPUESTO!$A177="Ítem",PRESUPUESTO!B177,"")</f>
        <v/>
      </c>
      <c r="B181" s="23" t="str">
        <f aca="false">IF(PRESUPUESTO!C177="","",PRESUPUESTO!C177)</f>
        <v/>
      </c>
      <c r="C181" s="86" t="str">
        <f aca="false">IF(PRESUPUESTO!$A177="Ítem",PRESUPUESTO!D177,"")</f>
        <v/>
      </c>
      <c r="D181" s="87" t="str">
        <f aca="false">IF(PRESUPUESTO!$A177&lt;&gt;"Ítem","",MAX(N(PRESUPUESTO!E177),N('CORTES CLIENTE'!L190)))</f>
        <v/>
      </c>
      <c r="E181" s="80"/>
      <c r="F181" s="87" t="str">
        <f aca="false">IF(D181="","",SUMIFS(GASTOS!$H$7:$H$5000,GASTOS!$F$7:$F$5000,$A181,GASTOS!$L$7:$L$5000,"Materiales y equipos"))</f>
        <v/>
      </c>
      <c r="G181" s="88" t="str">
        <f aca="false">IF(D181="","",N(E181)+F181)</f>
        <v/>
      </c>
      <c r="H181" s="88" t="str">
        <f aca="false">IF(OR(D181="",S181="Servicio"),"",MAX(0,D181-G181))</f>
        <v/>
      </c>
      <c r="I181" s="36" t="str">
        <f aca="false">IF(OR(D181="",S181="Servicio",N(D181)=0),"",MIN(1,G181/D181))</f>
        <v/>
      </c>
      <c r="J181" s="10" t="str">
        <f aca="false">IF(D181="","",PRESUPUESTO!O177)</f>
        <v/>
      </c>
      <c r="K181" s="10" t="str">
        <f aca="false">IF(D181="","",SUMIFS(GASTOS!$J$7:$J$5000,GASTOS!$F$7:$F$5000,$A181,GASTOS!$L$7:$L$5000,"Materiales y equipos"))</f>
        <v/>
      </c>
      <c r="L181" s="105" t="str">
        <f aca="false">IF(D181="","",COUNTIFS(GASTOS!$F$7:$F$5000,$A181,GASTOS!$L$7:$L$5000,"Materiales y equipos"))</f>
        <v/>
      </c>
      <c r="M181" s="10" t="str">
        <f aca="false">IF(OR(D181="",N(F181)=0),"",K181/F181)</f>
        <v/>
      </c>
      <c r="N181" s="10" t="str">
        <f aca="false">IF(OR(D181="",N(L181)=0),"",IFERROR(LOOKUP(2,1/((GASTOS!$F$7:$F$5000=$A181)*(GASTOS!$L$7:$L$5000="Materiales y equipos")*(GASTOS!$I$7:$I$5000&lt;&gt;"")),GASTOS!$I$7:$I$5000),""))</f>
        <v/>
      </c>
      <c r="O181" s="23" t="str">
        <f aca="false">IF(OR(D181="",N(L181)=0),"",IFERROR(LOOKUP(2,1/((GASTOS!$F$7:$F$5000=$A181)*(GASTOS!$L$7:$L$5000="Materiales y equipos")*(GASTOS!$I$7:$I$5000&lt;&gt;"")),GASTOS!$D$7:$D$5000),""))</f>
        <v/>
      </c>
      <c r="P181" s="10" t="str">
        <f aca="false">IF(D181="","",N(PRESUPUESTO!I177))</f>
        <v/>
      </c>
      <c r="Q181" s="36" t="str">
        <f aca="false">IF(OR(D181="",N181="",N(P181)=0),"",N181/P181-1)</f>
        <v/>
      </c>
      <c r="R181" s="10" t="str">
        <f aca="false">IF(OR(D181="",S181="Servicio"),"",H181*IF(N181&lt;&gt;"",N181,P181))</f>
        <v/>
      </c>
      <c r="S181" s="39" t="str">
        <f aca="false">IF(D181="","",IF(N(PRESUPUESTO!H177)=0,"Servicio",IF(G181=0,"Sin comprar",IF(G181&gt;=D181,"Comprado","Parcial"))))</f>
        <v/>
      </c>
      <c r="T181" s="86" t="str">
        <f aca="false">IF(AND(ISNUMBER(Q181),N(Q181)&gt;0.1),"Precio +"&amp;TEXT(Q181,"0%"),"")</f>
        <v/>
      </c>
      <c r="U181" s="0" t="str">
        <f aca="false">IF(OR(D181="",S181="Servicio"),"",MIN(G181,D181)*P181)</f>
        <v/>
      </c>
      <c r="V181" s="0" t="str">
        <f aca="false">IF(OR(D181="",S181="Servicio"),"",D181*P181)</f>
        <v/>
      </c>
    </row>
    <row r="182" customFormat="false" ht="16.5" hidden="false" customHeight="true" outlineLevel="0" collapsed="false">
      <c r="A182" s="23" t="str">
        <f aca="false">IF(PRESUPUESTO!$A178="Ítem",PRESUPUESTO!B178,"")</f>
        <v/>
      </c>
      <c r="B182" s="23" t="str">
        <f aca="false">IF(PRESUPUESTO!C178="","",PRESUPUESTO!C178)</f>
        <v/>
      </c>
      <c r="C182" s="86" t="str">
        <f aca="false">IF(PRESUPUESTO!$A178="Ítem",PRESUPUESTO!D178,"")</f>
        <v/>
      </c>
      <c r="D182" s="87" t="str">
        <f aca="false">IF(PRESUPUESTO!$A178&lt;&gt;"Ítem","",MAX(N(PRESUPUESTO!E178),N('CORTES CLIENTE'!L191)))</f>
        <v/>
      </c>
      <c r="E182" s="80"/>
      <c r="F182" s="87" t="str">
        <f aca="false">IF(D182="","",SUMIFS(GASTOS!$H$7:$H$5000,GASTOS!$F$7:$F$5000,$A182,GASTOS!$L$7:$L$5000,"Materiales y equipos"))</f>
        <v/>
      </c>
      <c r="G182" s="88" t="str">
        <f aca="false">IF(D182="","",N(E182)+F182)</f>
        <v/>
      </c>
      <c r="H182" s="88" t="str">
        <f aca="false">IF(OR(D182="",S182="Servicio"),"",MAX(0,D182-G182))</f>
        <v/>
      </c>
      <c r="I182" s="36" t="str">
        <f aca="false">IF(OR(D182="",S182="Servicio",N(D182)=0),"",MIN(1,G182/D182))</f>
        <v/>
      </c>
      <c r="J182" s="10" t="str">
        <f aca="false">IF(D182="","",PRESUPUESTO!O178)</f>
        <v/>
      </c>
      <c r="K182" s="10" t="str">
        <f aca="false">IF(D182="","",SUMIFS(GASTOS!$J$7:$J$5000,GASTOS!$F$7:$F$5000,$A182,GASTOS!$L$7:$L$5000,"Materiales y equipos"))</f>
        <v/>
      </c>
      <c r="L182" s="105" t="str">
        <f aca="false">IF(D182="","",COUNTIFS(GASTOS!$F$7:$F$5000,$A182,GASTOS!$L$7:$L$5000,"Materiales y equipos"))</f>
        <v/>
      </c>
      <c r="M182" s="10" t="str">
        <f aca="false">IF(OR(D182="",N(F182)=0),"",K182/F182)</f>
        <v/>
      </c>
      <c r="N182" s="10" t="str">
        <f aca="false">IF(OR(D182="",N(L182)=0),"",IFERROR(LOOKUP(2,1/((GASTOS!$F$7:$F$5000=$A182)*(GASTOS!$L$7:$L$5000="Materiales y equipos")*(GASTOS!$I$7:$I$5000&lt;&gt;"")),GASTOS!$I$7:$I$5000),""))</f>
        <v/>
      </c>
      <c r="O182" s="23" t="str">
        <f aca="false">IF(OR(D182="",N(L182)=0),"",IFERROR(LOOKUP(2,1/((GASTOS!$F$7:$F$5000=$A182)*(GASTOS!$L$7:$L$5000="Materiales y equipos")*(GASTOS!$I$7:$I$5000&lt;&gt;"")),GASTOS!$D$7:$D$5000),""))</f>
        <v/>
      </c>
      <c r="P182" s="10" t="str">
        <f aca="false">IF(D182="","",N(PRESUPUESTO!I178))</f>
        <v/>
      </c>
      <c r="Q182" s="36" t="str">
        <f aca="false">IF(OR(D182="",N182="",N(P182)=0),"",N182/P182-1)</f>
        <v/>
      </c>
      <c r="R182" s="10" t="str">
        <f aca="false">IF(OR(D182="",S182="Servicio"),"",H182*IF(N182&lt;&gt;"",N182,P182))</f>
        <v/>
      </c>
      <c r="S182" s="39" t="str">
        <f aca="false">IF(D182="","",IF(N(PRESUPUESTO!H178)=0,"Servicio",IF(G182=0,"Sin comprar",IF(G182&gt;=D182,"Comprado","Parcial"))))</f>
        <v/>
      </c>
      <c r="T182" s="86" t="str">
        <f aca="false">IF(AND(ISNUMBER(Q182),N(Q182)&gt;0.1),"Precio +"&amp;TEXT(Q182,"0%"),"")</f>
        <v/>
      </c>
      <c r="U182" s="0" t="str">
        <f aca="false">IF(OR(D182="",S182="Servicio"),"",MIN(G182,D182)*P182)</f>
        <v/>
      </c>
      <c r="V182" s="0" t="str">
        <f aca="false">IF(OR(D182="",S182="Servicio"),"",D182*P182)</f>
        <v/>
      </c>
    </row>
    <row r="183" customFormat="false" ht="16.5" hidden="false" customHeight="true" outlineLevel="0" collapsed="false">
      <c r="A183" s="23" t="str">
        <f aca="false">IF(PRESUPUESTO!$A179="Ítem",PRESUPUESTO!B179,"")</f>
        <v/>
      </c>
      <c r="B183" s="23" t="str">
        <f aca="false">IF(PRESUPUESTO!C179="","",PRESUPUESTO!C179)</f>
        <v/>
      </c>
      <c r="C183" s="86" t="str">
        <f aca="false">IF(PRESUPUESTO!$A179="Ítem",PRESUPUESTO!D179,"")</f>
        <v/>
      </c>
      <c r="D183" s="87" t="str">
        <f aca="false">IF(PRESUPUESTO!$A179&lt;&gt;"Ítem","",MAX(N(PRESUPUESTO!E179),N('CORTES CLIENTE'!L192)))</f>
        <v/>
      </c>
      <c r="E183" s="80"/>
      <c r="F183" s="87" t="str">
        <f aca="false">IF(D183="","",SUMIFS(GASTOS!$H$7:$H$5000,GASTOS!$F$7:$F$5000,$A183,GASTOS!$L$7:$L$5000,"Materiales y equipos"))</f>
        <v/>
      </c>
      <c r="G183" s="88" t="str">
        <f aca="false">IF(D183="","",N(E183)+F183)</f>
        <v/>
      </c>
      <c r="H183" s="88" t="str">
        <f aca="false">IF(OR(D183="",S183="Servicio"),"",MAX(0,D183-G183))</f>
        <v/>
      </c>
      <c r="I183" s="36" t="str">
        <f aca="false">IF(OR(D183="",S183="Servicio",N(D183)=0),"",MIN(1,G183/D183))</f>
        <v/>
      </c>
      <c r="J183" s="10" t="str">
        <f aca="false">IF(D183="","",PRESUPUESTO!O179)</f>
        <v/>
      </c>
      <c r="K183" s="10" t="str">
        <f aca="false">IF(D183="","",SUMIFS(GASTOS!$J$7:$J$5000,GASTOS!$F$7:$F$5000,$A183,GASTOS!$L$7:$L$5000,"Materiales y equipos"))</f>
        <v/>
      </c>
      <c r="L183" s="105" t="str">
        <f aca="false">IF(D183="","",COUNTIFS(GASTOS!$F$7:$F$5000,$A183,GASTOS!$L$7:$L$5000,"Materiales y equipos"))</f>
        <v/>
      </c>
      <c r="M183" s="10" t="str">
        <f aca="false">IF(OR(D183="",N(F183)=0),"",K183/F183)</f>
        <v/>
      </c>
      <c r="N183" s="10" t="str">
        <f aca="false">IF(OR(D183="",N(L183)=0),"",IFERROR(LOOKUP(2,1/((GASTOS!$F$7:$F$5000=$A183)*(GASTOS!$L$7:$L$5000="Materiales y equipos")*(GASTOS!$I$7:$I$5000&lt;&gt;"")),GASTOS!$I$7:$I$5000),""))</f>
        <v/>
      </c>
      <c r="O183" s="23" t="str">
        <f aca="false">IF(OR(D183="",N(L183)=0),"",IFERROR(LOOKUP(2,1/((GASTOS!$F$7:$F$5000=$A183)*(GASTOS!$L$7:$L$5000="Materiales y equipos")*(GASTOS!$I$7:$I$5000&lt;&gt;"")),GASTOS!$D$7:$D$5000),""))</f>
        <v/>
      </c>
      <c r="P183" s="10" t="str">
        <f aca="false">IF(D183="","",N(PRESUPUESTO!I179))</f>
        <v/>
      </c>
      <c r="Q183" s="36" t="str">
        <f aca="false">IF(OR(D183="",N183="",N(P183)=0),"",N183/P183-1)</f>
        <v/>
      </c>
      <c r="R183" s="10" t="str">
        <f aca="false">IF(OR(D183="",S183="Servicio"),"",H183*IF(N183&lt;&gt;"",N183,P183))</f>
        <v/>
      </c>
      <c r="S183" s="39" t="str">
        <f aca="false">IF(D183="","",IF(N(PRESUPUESTO!H179)=0,"Servicio",IF(G183=0,"Sin comprar",IF(G183&gt;=D183,"Comprado","Parcial"))))</f>
        <v/>
      </c>
      <c r="T183" s="86" t="str">
        <f aca="false">IF(AND(ISNUMBER(Q183),N(Q183)&gt;0.1),"Precio +"&amp;TEXT(Q183,"0%"),"")</f>
        <v/>
      </c>
      <c r="U183" s="0" t="str">
        <f aca="false">IF(OR(D183="",S183="Servicio"),"",MIN(G183,D183)*P183)</f>
        <v/>
      </c>
      <c r="V183" s="0" t="str">
        <f aca="false">IF(OR(D183="",S183="Servicio"),"",D183*P183)</f>
        <v/>
      </c>
    </row>
    <row r="184" customFormat="false" ht="16.5" hidden="false" customHeight="true" outlineLevel="0" collapsed="false">
      <c r="A184" s="23" t="str">
        <f aca="false">IF(PRESUPUESTO!$A180="Ítem",PRESUPUESTO!B180,"")</f>
        <v/>
      </c>
      <c r="B184" s="23" t="str">
        <f aca="false">IF(PRESUPUESTO!C180="","",PRESUPUESTO!C180)</f>
        <v/>
      </c>
      <c r="C184" s="86" t="str">
        <f aca="false">IF(PRESUPUESTO!$A180="Ítem",PRESUPUESTO!D180,"")</f>
        <v/>
      </c>
      <c r="D184" s="87" t="str">
        <f aca="false">IF(PRESUPUESTO!$A180&lt;&gt;"Ítem","",MAX(N(PRESUPUESTO!E180),N('CORTES CLIENTE'!L193)))</f>
        <v/>
      </c>
      <c r="E184" s="80"/>
      <c r="F184" s="87" t="str">
        <f aca="false">IF(D184="","",SUMIFS(GASTOS!$H$7:$H$5000,GASTOS!$F$7:$F$5000,$A184,GASTOS!$L$7:$L$5000,"Materiales y equipos"))</f>
        <v/>
      </c>
      <c r="G184" s="88" t="str">
        <f aca="false">IF(D184="","",N(E184)+F184)</f>
        <v/>
      </c>
      <c r="H184" s="88" t="str">
        <f aca="false">IF(OR(D184="",S184="Servicio"),"",MAX(0,D184-G184))</f>
        <v/>
      </c>
      <c r="I184" s="36" t="str">
        <f aca="false">IF(OR(D184="",S184="Servicio",N(D184)=0),"",MIN(1,G184/D184))</f>
        <v/>
      </c>
      <c r="J184" s="10" t="str">
        <f aca="false">IF(D184="","",PRESUPUESTO!O180)</f>
        <v/>
      </c>
      <c r="K184" s="10" t="str">
        <f aca="false">IF(D184="","",SUMIFS(GASTOS!$J$7:$J$5000,GASTOS!$F$7:$F$5000,$A184,GASTOS!$L$7:$L$5000,"Materiales y equipos"))</f>
        <v/>
      </c>
      <c r="L184" s="105" t="str">
        <f aca="false">IF(D184="","",COUNTIFS(GASTOS!$F$7:$F$5000,$A184,GASTOS!$L$7:$L$5000,"Materiales y equipos"))</f>
        <v/>
      </c>
      <c r="M184" s="10" t="str">
        <f aca="false">IF(OR(D184="",N(F184)=0),"",K184/F184)</f>
        <v/>
      </c>
      <c r="N184" s="10" t="str">
        <f aca="false">IF(OR(D184="",N(L184)=0),"",IFERROR(LOOKUP(2,1/((GASTOS!$F$7:$F$5000=$A184)*(GASTOS!$L$7:$L$5000="Materiales y equipos")*(GASTOS!$I$7:$I$5000&lt;&gt;"")),GASTOS!$I$7:$I$5000),""))</f>
        <v/>
      </c>
      <c r="O184" s="23" t="str">
        <f aca="false">IF(OR(D184="",N(L184)=0),"",IFERROR(LOOKUP(2,1/((GASTOS!$F$7:$F$5000=$A184)*(GASTOS!$L$7:$L$5000="Materiales y equipos")*(GASTOS!$I$7:$I$5000&lt;&gt;"")),GASTOS!$D$7:$D$5000),""))</f>
        <v/>
      </c>
      <c r="P184" s="10" t="str">
        <f aca="false">IF(D184="","",N(PRESUPUESTO!I180))</f>
        <v/>
      </c>
      <c r="Q184" s="36" t="str">
        <f aca="false">IF(OR(D184="",N184="",N(P184)=0),"",N184/P184-1)</f>
        <v/>
      </c>
      <c r="R184" s="10" t="str">
        <f aca="false">IF(OR(D184="",S184="Servicio"),"",H184*IF(N184&lt;&gt;"",N184,P184))</f>
        <v/>
      </c>
      <c r="S184" s="39" t="str">
        <f aca="false">IF(D184="","",IF(N(PRESUPUESTO!H180)=0,"Servicio",IF(G184=0,"Sin comprar",IF(G184&gt;=D184,"Comprado","Parcial"))))</f>
        <v/>
      </c>
      <c r="T184" s="86" t="str">
        <f aca="false">IF(AND(ISNUMBER(Q184),N(Q184)&gt;0.1),"Precio +"&amp;TEXT(Q184,"0%"),"")</f>
        <v/>
      </c>
      <c r="U184" s="0" t="str">
        <f aca="false">IF(OR(D184="",S184="Servicio"),"",MIN(G184,D184)*P184)</f>
        <v/>
      </c>
      <c r="V184" s="0" t="str">
        <f aca="false">IF(OR(D184="",S184="Servicio"),"",D184*P184)</f>
        <v/>
      </c>
    </row>
    <row r="185" customFormat="false" ht="16.5" hidden="false" customHeight="true" outlineLevel="0" collapsed="false">
      <c r="A185" s="23" t="str">
        <f aca="false">IF(PRESUPUESTO!$A181="Ítem",PRESUPUESTO!B181,"")</f>
        <v/>
      </c>
      <c r="B185" s="23" t="str">
        <f aca="false">IF(PRESUPUESTO!C181="","",PRESUPUESTO!C181)</f>
        <v/>
      </c>
      <c r="C185" s="86" t="str">
        <f aca="false">IF(PRESUPUESTO!$A181="Ítem",PRESUPUESTO!D181,"")</f>
        <v/>
      </c>
      <c r="D185" s="87" t="str">
        <f aca="false">IF(PRESUPUESTO!$A181&lt;&gt;"Ítem","",MAX(N(PRESUPUESTO!E181),N('CORTES CLIENTE'!L194)))</f>
        <v/>
      </c>
      <c r="E185" s="80"/>
      <c r="F185" s="87" t="str">
        <f aca="false">IF(D185="","",SUMIFS(GASTOS!$H$7:$H$5000,GASTOS!$F$7:$F$5000,$A185,GASTOS!$L$7:$L$5000,"Materiales y equipos"))</f>
        <v/>
      </c>
      <c r="G185" s="88" t="str">
        <f aca="false">IF(D185="","",N(E185)+F185)</f>
        <v/>
      </c>
      <c r="H185" s="88" t="str">
        <f aca="false">IF(OR(D185="",S185="Servicio"),"",MAX(0,D185-G185))</f>
        <v/>
      </c>
      <c r="I185" s="36" t="str">
        <f aca="false">IF(OR(D185="",S185="Servicio",N(D185)=0),"",MIN(1,G185/D185))</f>
        <v/>
      </c>
      <c r="J185" s="10" t="str">
        <f aca="false">IF(D185="","",PRESUPUESTO!O181)</f>
        <v/>
      </c>
      <c r="K185" s="10" t="str">
        <f aca="false">IF(D185="","",SUMIFS(GASTOS!$J$7:$J$5000,GASTOS!$F$7:$F$5000,$A185,GASTOS!$L$7:$L$5000,"Materiales y equipos"))</f>
        <v/>
      </c>
      <c r="L185" s="105" t="str">
        <f aca="false">IF(D185="","",COUNTIFS(GASTOS!$F$7:$F$5000,$A185,GASTOS!$L$7:$L$5000,"Materiales y equipos"))</f>
        <v/>
      </c>
      <c r="M185" s="10" t="str">
        <f aca="false">IF(OR(D185="",N(F185)=0),"",K185/F185)</f>
        <v/>
      </c>
      <c r="N185" s="10" t="str">
        <f aca="false">IF(OR(D185="",N(L185)=0),"",IFERROR(LOOKUP(2,1/((GASTOS!$F$7:$F$5000=$A185)*(GASTOS!$L$7:$L$5000="Materiales y equipos")*(GASTOS!$I$7:$I$5000&lt;&gt;"")),GASTOS!$I$7:$I$5000),""))</f>
        <v/>
      </c>
      <c r="O185" s="23" t="str">
        <f aca="false">IF(OR(D185="",N(L185)=0),"",IFERROR(LOOKUP(2,1/((GASTOS!$F$7:$F$5000=$A185)*(GASTOS!$L$7:$L$5000="Materiales y equipos")*(GASTOS!$I$7:$I$5000&lt;&gt;"")),GASTOS!$D$7:$D$5000),""))</f>
        <v/>
      </c>
      <c r="P185" s="10" t="str">
        <f aca="false">IF(D185="","",N(PRESUPUESTO!I181))</f>
        <v/>
      </c>
      <c r="Q185" s="36" t="str">
        <f aca="false">IF(OR(D185="",N185="",N(P185)=0),"",N185/P185-1)</f>
        <v/>
      </c>
      <c r="R185" s="10" t="str">
        <f aca="false">IF(OR(D185="",S185="Servicio"),"",H185*IF(N185&lt;&gt;"",N185,P185))</f>
        <v/>
      </c>
      <c r="S185" s="39" t="str">
        <f aca="false">IF(D185="","",IF(N(PRESUPUESTO!H181)=0,"Servicio",IF(G185=0,"Sin comprar",IF(G185&gt;=D185,"Comprado","Parcial"))))</f>
        <v/>
      </c>
      <c r="T185" s="86" t="str">
        <f aca="false">IF(AND(ISNUMBER(Q185),N(Q185)&gt;0.1),"Precio +"&amp;TEXT(Q185,"0%"),"")</f>
        <v/>
      </c>
      <c r="U185" s="0" t="str">
        <f aca="false">IF(OR(D185="",S185="Servicio"),"",MIN(G185,D185)*P185)</f>
        <v/>
      </c>
      <c r="V185" s="0" t="str">
        <f aca="false">IF(OR(D185="",S185="Servicio"),"",D185*P185)</f>
        <v/>
      </c>
    </row>
    <row r="186" customFormat="false" ht="16.5" hidden="false" customHeight="true" outlineLevel="0" collapsed="false">
      <c r="A186" s="23" t="str">
        <f aca="false">IF(PRESUPUESTO!$A182="Ítem",PRESUPUESTO!B182,"")</f>
        <v/>
      </c>
      <c r="B186" s="23" t="str">
        <f aca="false">IF(PRESUPUESTO!C182="","",PRESUPUESTO!C182)</f>
        <v/>
      </c>
      <c r="C186" s="86" t="str">
        <f aca="false">IF(PRESUPUESTO!$A182="Ítem",PRESUPUESTO!D182,"")</f>
        <v/>
      </c>
      <c r="D186" s="87" t="str">
        <f aca="false">IF(PRESUPUESTO!$A182&lt;&gt;"Ítem","",MAX(N(PRESUPUESTO!E182),N('CORTES CLIENTE'!L195)))</f>
        <v/>
      </c>
      <c r="E186" s="80"/>
      <c r="F186" s="87" t="str">
        <f aca="false">IF(D186="","",SUMIFS(GASTOS!$H$7:$H$5000,GASTOS!$F$7:$F$5000,$A186,GASTOS!$L$7:$L$5000,"Materiales y equipos"))</f>
        <v/>
      </c>
      <c r="G186" s="88" t="str">
        <f aca="false">IF(D186="","",N(E186)+F186)</f>
        <v/>
      </c>
      <c r="H186" s="88" t="str">
        <f aca="false">IF(OR(D186="",S186="Servicio"),"",MAX(0,D186-G186))</f>
        <v/>
      </c>
      <c r="I186" s="36" t="str">
        <f aca="false">IF(OR(D186="",S186="Servicio",N(D186)=0),"",MIN(1,G186/D186))</f>
        <v/>
      </c>
      <c r="J186" s="10" t="str">
        <f aca="false">IF(D186="","",PRESUPUESTO!O182)</f>
        <v/>
      </c>
      <c r="K186" s="10" t="str">
        <f aca="false">IF(D186="","",SUMIFS(GASTOS!$J$7:$J$5000,GASTOS!$F$7:$F$5000,$A186,GASTOS!$L$7:$L$5000,"Materiales y equipos"))</f>
        <v/>
      </c>
      <c r="L186" s="105" t="str">
        <f aca="false">IF(D186="","",COUNTIFS(GASTOS!$F$7:$F$5000,$A186,GASTOS!$L$7:$L$5000,"Materiales y equipos"))</f>
        <v/>
      </c>
      <c r="M186" s="10" t="str">
        <f aca="false">IF(OR(D186="",N(F186)=0),"",K186/F186)</f>
        <v/>
      </c>
      <c r="N186" s="10" t="str">
        <f aca="false">IF(OR(D186="",N(L186)=0),"",IFERROR(LOOKUP(2,1/((GASTOS!$F$7:$F$5000=$A186)*(GASTOS!$L$7:$L$5000="Materiales y equipos")*(GASTOS!$I$7:$I$5000&lt;&gt;"")),GASTOS!$I$7:$I$5000),""))</f>
        <v/>
      </c>
      <c r="O186" s="23" t="str">
        <f aca="false">IF(OR(D186="",N(L186)=0),"",IFERROR(LOOKUP(2,1/((GASTOS!$F$7:$F$5000=$A186)*(GASTOS!$L$7:$L$5000="Materiales y equipos")*(GASTOS!$I$7:$I$5000&lt;&gt;"")),GASTOS!$D$7:$D$5000),""))</f>
        <v/>
      </c>
      <c r="P186" s="10" t="str">
        <f aca="false">IF(D186="","",N(PRESUPUESTO!I182))</f>
        <v/>
      </c>
      <c r="Q186" s="36" t="str">
        <f aca="false">IF(OR(D186="",N186="",N(P186)=0),"",N186/P186-1)</f>
        <v/>
      </c>
      <c r="R186" s="10" t="str">
        <f aca="false">IF(OR(D186="",S186="Servicio"),"",H186*IF(N186&lt;&gt;"",N186,P186))</f>
        <v/>
      </c>
      <c r="S186" s="39" t="str">
        <f aca="false">IF(D186="","",IF(N(PRESUPUESTO!H182)=0,"Servicio",IF(G186=0,"Sin comprar",IF(G186&gt;=D186,"Comprado","Parcial"))))</f>
        <v/>
      </c>
      <c r="T186" s="86" t="str">
        <f aca="false">IF(AND(ISNUMBER(Q186),N(Q186)&gt;0.1),"Precio +"&amp;TEXT(Q186,"0%"),"")</f>
        <v/>
      </c>
      <c r="U186" s="0" t="str">
        <f aca="false">IF(OR(D186="",S186="Servicio"),"",MIN(G186,D186)*P186)</f>
        <v/>
      </c>
      <c r="V186" s="0" t="str">
        <f aca="false">IF(OR(D186="",S186="Servicio"),"",D186*P186)</f>
        <v/>
      </c>
    </row>
    <row r="187" customFormat="false" ht="16.5" hidden="false" customHeight="true" outlineLevel="0" collapsed="false">
      <c r="A187" s="23" t="str">
        <f aca="false">IF(PRESUPUESTO!$A183="Ítem",PRESUPUESTO!B183,"")</f>
        <v/>
      </c>
      <c r="B187" s="23" t="str">
        <f aca="false">IF(PRESUPUESTO!C183="","",PRESUPUESTO!C183)</f>
        <v/>
      </c>
      <c r="C187" s="86" t="str">
        <f aca="false">IF(PRESUPUESTO!$A183="Ítem",PRESUPUESTO!D183,"")</f>
        <v/>
      </c>
      <c r="D187" s="87" t="str">
        <f aca="false">IF(PRESUPUESTO!$A183&lt;&gt;"Ítem","",MAX(N(PRESUPUESTO!E183),N('CORTES CLIENTE'!L196)))</f>
        <v/>
      </c>
      <c r="E187" s="80"/>
      <c r="F187" s="87" t="str">
        <f aca="false">IF(D187="","",SUMIFS(GASTOS!$H$7:$H$5000,GASTOS!$F$7:$F$5000,$A187,GASTOS!$L$7:$L$5000,"Materiales y equipos"))</f>
        <v/>
      </c>
      <c r="G187" s="88" t="str">
        <f aca="false">IF(D187="","",N(E187)+F187)</f>
        <v/>
      </c>
      <c r="H187" s="88" t="str">
        <f aca="false">IF(OR(D187="",S187="Servicio"),"",MAX(0,D187-G187))</f>
        <v/>
      </c>
      <c r="I187" s="36" t="str">
        <f aca="false">IF(OR(D187="",S187="Servicio",N(D187)=0),"",MIN(1,G187/D187))</f>
        <v/>
      </c>
      <c r="J187" s="10" t="str">
        <f aca="false">IF(D187="","",PRESUPUESTO!O183)</f>
        <v/>
      </c>
      <c r="K187" s="10" t="str">
        <f aca="false">IF(D187="","",SUMIFS(GASTOS!$J$7:$J$5000,GASTOS!$F$7:$F$5000,$A187,GASTOS!$L$7:$L$5000,"Materiales y equipos"))</f>
        <v/>
      </c>
      <c r="L187" s="105" t="str">
        <f aca="false">IF(D187="","",COUNTIFS(GASTOS!$F$7:$F$5000,$A187,GASTOS!$L$7:$L$5000,"Materiales y equipos"))</f>
        <v/>
      </c>
      <c r="M187" s="10" t="str">
        <f aca="false">IF(OR(D187="",N(F187)=0),"",K187/F187)</f>
        <v/>
      </c>
      <c r="N187" s="10" t="str">
        <f aca="false">IF(OR(D187="",N(L187)=0),"",IFERROR(LOOKUP(2,1/((GASTOS!$F$7:$F$5000=$A187)*(GASTOS!$L$7:$L$5000="Materiales y equipos")*(GASTOS!$I$7:$I$5000&lt;&gt;"")),GASTOS!$I$7:$I$5000),""))</f>
        <v/>
      </c>
      <c r="O187" s="23" t="str">
        <f aca="false">IF(OR(D187="",N(L187)=0),"",IFERROR(LOOKUP(2,1/((GASTOS!$F$7:$F$5000=$A187)*(GASTOS!$L$7:$L$5000="Materiales y equipos")*(GASTOS!$I$7:$I$5000&lt;&gt;"")),GASTOS!$D$7:$D$5000),""))</f>
        <v/>
      </c>
      <c r="P187" s="10" t="str">
        <f aca="false">IF(D187="","",N(PRESUPUESTO!I183))</f>
        <v/>
      </c>
      <c r="Q187" s="36" t="str">
        <f aca="false">IF(OR(D187="",N187="",N(P187)=0),"",N187/P187-1)</f>
        <v/>
      </c>
      <c r="R187" s="10" t="str">
        <f aca="false">IF(OR(D187="",S187="Servicio"),"",H187*IF(N187&lt;&gt;"",N187,P187))</f>
        <v/>
      </c>
      <c r="S187" s="39" t="str">
        <f aca="false">IF(D187="","",IF(N(PRESUPUESTO!H183)=0,"Servicio",IF(G187=0,"Sin comprar",IF(G187&gt;=D187,"Comprado","Parcial"))))</f>
        <v/>
      </c>
      <c r="T187" s="86" t="str">
        <f aca="false">IF(AND(ISNUMBER(Q187),N(Q187)&gt;0.1),"Precio +"&amp;TEXT(Q187,"0%"),"")</f>
        <v/>
      </c>
      <c r="U187" s="0" t="str">
        <f aca="false">IF(OR(D187="",S187="Servicio"),"",MIN(G187,D187)*P187)</f>
        <v/>
      </c>
      <c r="V187" s="0" t="str">
        <f aca="false">IF(OR(D187="",S187="Servicio"),"",D187*P187)</f>
        <v/>
      </c>
    </row>
    <row r="188" customFormat="false" ht="16.5" hidden="false" customHeight="true" outlineLevel="0" collapsed="false">
      <c r="A188" s="23" t="str">
        <f aca="false">IF(PRESUPUESTO!$A184="Ítem",PRESUPUESTO!B184,"")</f>
        <v/>
      </c>
      <c r="B188" s="23" t="str">
        <f aca="false">IF(PRESUPUESTO!C184="","",PRESUPUESTO!C184)</f>
        <v/>
      </c>
      <c r="C188" s="86" t="str">
        <f aca="false">IF(PRESUPUESTO!$A184="Ítem",PRESUPUESTO!D184,"")</f>
        <v/>
      </c>
      <c r="D188" s="87" t="str">
        <f aca="false">IF(PRESUPUESTO!$A184&lt;&gt;"Ítem","",MAX(N(PRESUPUESTO!E184),N('CORTES CLIENTE'!L197)))</f>
        <v/>
      </c>
      <c r="E188" s="80"/>
      <c r="F188" s="87" t="str">
        <f aca="false">IF(D188="","",SUMIFS(GASTOS!$H$7:$H$5000,GASTOS!$F$7:$F$5000,$A188,GASTOS!$L$7:$L$5000,"Materiales y equipos"))</f>
        <v/>
      </c>
      <c r="G188" s="88" t="str">
        <f aca="false">IF(D188="","",N(E188)+F188)</f>
        <v/>
      </c>
      <c r="H188" s="88" t="str">
        <f aca="false">IF(OR(D188="",S188="Servicio"),"",MAX(0,D188-G188))</f>
        <v/>
      </c>
      <c r="I188" s="36" t="str">
        <f aca="false">IF(OR(D188="",S188="Servicio",N(D188)=0),"",MIN(1,G188/D188))</f>
        <v/>
      </c>
      <c r="J188" s="10" t="str">
        <f aca="false">IF(D188="","",PRESUPUESTO!O184)</f>
        <v/>
      </c>
      <c r="K188" s="10" t="str">
        <f aca="false">IF(D188="","",SUMIFS(GASTOS!$J$7:$J$5000,GASTOS!$F$7:$F$5000,$A188,GASTOS!$L$7:$L$5000,"Materiales y equipos"))</f>
        <v/>
      </c>
      <c r="L188" s="105" t="str">
        <f aca="false">IF(D188="","",COUNTIFS(GASTOS!$F$7:$F$5000,$A188,GASTOS!$L$7:$L$5000,"Materiales y equipos"))</f>
        <v/>
      </c>
      <c r="M188" s="10" t="str">
        <f aca="false">IF(OR(D188="",N(F188)=0),"",K188/F188)</f>
        <v/>
      </c>
      <c r="N188" s="10" t="str">
        <f aca="false">IF(OR(D188="",N(L188)=0),"",IFERROR(LOOKUP(2,1/((GASTOS!$F$7:$F$5000=$A188)*(GASTOS!$L$7:$L$5000="Materiales y equipos")*(GASTOS!$I$7:$I$5000&lt;&gt;"")),GASTOS!$I$7:$I$5000),""))</f>
        <v/>
      </c>
      <c r="O188" s="23" t="str">
        <f aca="false">IF(OR(D188="",N(L188)=0),"",IFERROR(LOOKUP(2,1/((GASTOS!$F$7:$F$5000=$A188)*(GASTOS!$L$7:$L$5000="Materiales y equipos")*(GASTOS!$I$7:$I$5000&lt;&gt;"")),GASTOS!$D$7:$D$5000),""))</f>
        <v/>
      </c>
      <c r="P188" s="10" t="str">
        <f aca="false">IF(D188="","",N(PRESUPUESTO!I184))</f>
        <v/>
      </c>
      <c r="Q188" s="36" t="str">
        <f aca="false">IF(OR(D188="",N188="",N(P188)=0),"",N188/P188-1)</f>
        <v/>
      </c>
      <c r="R188" s="10" t="str">
        <f aca="false">IF(OR(D188="",S188="Servicio"),"",H188*IF(N188&lt;&gt;"",N188,P188))</f>
        <v/>
      </c>
      <c r="S188" s="39" t="str">
        <f aca="false">IF(D188="","",IF(N(PRESUPUESTO!H184)=0,"Servicio",IF(G188=0,"Sin comprar",IF(G188&gt;=D188,"Comprado","Parcial"))))</f>
        <v/>
      </c>
      <c r="T188" s="86" t="str">
        <f aca="false">IF(AND(ISNUMBER(Q188),N(Q188)&gt;0.1),"Precio +"&amp;TEXT(Q188,"0%"),"")</f>
        <v/>
      </c>
      <c r="U188" s="0" t="str">
        <f aca="false">IF(OR(D188="",S188="Servicio"),"",MIN(G188,D188)*P188)</f>
        <v/>
      </c>
      <c r="V188" s="0" t="str">
        <f aca="false">IF(OR(D188="",S188="Servicio"),"",D188*P188)</f>
        <v/>
      </c>
    </row>
    <row r="189" customFormat="false" ht="16.5" hidden="false" customHeight="true" outlineLevel="0" collapsed="false">
      <c r="A189" s="23" t="str">
        <f aca="false">IF(PRESUPUESTO!$A185="Ítem",PRESUPUESTO!B185,"")</f>
        <v/>
      </c>
      <c r="B189" s="23" t="str">
        <f aca="false">IF(PRESUPUESTO!C185="","",PRESUPUESTO!C185)</f>
        <v/>
      </c>
      <c r="C189" s="86" t="str">
        <f aca="false">IF(PRESUPUESTO!$A185="Ítem",PRESUPUESTO!D185,"")</f>
        <v/>
      </c>
      <c r="D189" s="87" t="str">
        <f aca="false">IF(PRESUPUESTO!$A185&lt;&gt;"Ítem","",MAX(N(PRESUPUESTO!E185),N('CORTES CLIENTE'!L198)))</f>
        <v/>
      </c>
      <c r="E189" s="80"/>
      <c r="F189" s="87" t="str">
        <f aca="false">IF(D189="","",SUMIFS(GASTOS!$H$7:$H$5000,GASTOS!$F$7:$F$5000,$A189,GASTOS!$L$7:$L$5000,"Materiales y equipos"))</f>
        <v/>
      </c>
      <c r="G189" s="88" t="str">
        <f aca="false">IF(D189="","",N(E189)+F189)</f>
        <v/>
      </c>
      <c r="H189" s="88" t="str">
        <f aca="false">IF(OR(D189="",S189="Servicio"),"",MAX(0,D189-G189))</f>
        <v/>
      </c>
      <c r="I189" s="36" t="str">
        <f aca="false">IF(OR(D189="",S189="Servicio",N(D189)=0),"",MIN(1,G189/D189))</f>
        <v/>
      </c>
      <c r="J189" s="10" t="str">
        <f aca="false">IF(D189="","",PRESUPUESTO!O185)</f>
        <v/>
      </c>
      <c r="K189" s="10" t="str">
        <f aca="false">IF(D189="","",SUMIFS(GASTOS!$J$7:$J$5000,GASTOS!$F$7:$F$5000,$A189,GASTOS!$L$7:$L$5000,"Materiales y equipos"))</f>
        <v/>
      </c>
      <c r="L189" s="105" t="str">
        <f aca="false">IF(D189="","",COUNTIFS(GASTOS!$F$7:$F$5000,$A189,GASTOS!$L$7:$L$5000,"Materiales y equipos"))</f>
        <v/>
      </c>
      <c r="M189" s="10" t="str">
        <f aca="false">IF(OR(D189="",N(F189)=0),"",K189/F189)</f>
        <v/>
      </c>
      <c r="N189" s="10" t="str">
        <f aca="false">IF(OR(D189="",N(L189)=0),"",IFERROR(LOOKUP(2,1/((GASTOS!$F$7:$F$5000=$A189)*(GASTOS!$L$7:$L$5000="Materiales y equipos")*(GASTOS!$I$7:$I$5000&lt;&gt;"")),GASTOS!$I$7:$I$5000),""))</f>
        <v/>
      </c>
      <c r="O189" s="23" t="str">
        <f aca="false">IF(OR(D189="",N(L189)=0),"",IFERROR(LOOKUP(2,1/((GASTOS!$F$7:$F$5000=$A189)*(GASTOS!$L$7:$L$5000="Materiales y equipos")*(GASTOS!$I$7:$I$5000&lt;&gt;"")),GASTOS!$D$7:$D$5000),""))</f>
        <v/>
      </c>
      <c r="P189" s="10" t="str">
        <f aca="false">IF(D189="","",N(PRESUPUESTO!I185))</f>
        <v/>
      </c>
      <c r="Q189" s="36" t="str">
        <f aca="false">IF(OR(D189="",N189="",N(P189)=0),"",N189/P189-1)</f>
        <v/>
      </c>
      <c r="R189" s="10" t="str">
        <f aca="false">IF(OR(D189="",S189="Servicio"),"",H189*IF(N189&lt;&gt;"",N189,P189))</f>
        <v/>
      </c>
      <c r="S189" s="39" t="str">
        <f aca="false">IF(D189="","",IF(N(PRESUPUESTO!H185)=0,"Servicio",IF(G189=0,"Sin comprar",IF(G189&gt;=D189,"Comprado","Parcial"))))</f>
        <v/>
      </c>
      <c r="T189" s="86" t="str">
        <f aca="false">IF(AND(ISNUMBER(Q189),N(Q189)&gt;0.1),"Precio +"&amp;TEXT(Q189,"0%"),"")</f>
        <v/>
      </c>
      <c r="U189" s="0" t="str">
        <f aca="false">IF(OR(D189="",S189="Servicio"),"",MIN(G189,D189)*P189)</f>
        <v/>
      </c>
      <c r="V189" s="0" t="str">
        <f aca="false">IF(OR(D189="",S189="Servicio"),"",D189*P189)</f>
        <v/>
      </c>
    </row>
    <row r="190" customFormat="false" ht="16.5" hidden="false" customHeight="true" outlineLevel="0" collapsed="false">
      <c r="A190" s="23" t="str">
        <f aca="false">IF(PRESUPUESTO!$A186="Ítem",PRESUPUESTO!B186,"")</f>
        <v/>
      </c>
      <c r="B190" s="23" t="str">
        <f aca="false">IF(PRESUPUESTO!C186="","",PRESUPUESTO!C186)</f>
        <v/>
      </c>
      <c r="C190" s="86" t="str">
        <f aca="false">IF(PRESUPUESTO!$A186="Ítem",PRESUPUESTO!D186,"")</f>
        <v/>
      </c>
      <c r="D190" s="87" t="str">
        <f aca="false">IF(PRESUPUESTO!$A186&lt;&gt;"Ítem","",MAX(N(PRESUPUESTO!E186),N('CORTES CLIENTE'!L199)))</f>
        <v/>
      </c>
      <c r="E190" s="80"/>
      <c r="F190" s="87" t="str">
        <f aca="false">IF(D190="","",SUMIFS(GASTOS!$H$7:$H$5000,GASTOS!$F$7:$F$5000,$A190,GASTOS!$L$7:$L$5000,"Materiales y equipos"))</f>
        <v/>
      </c>
      <c r="G190" s="88" t="str">
        <f aca="false">IF(D190="","",N(E190)+F190)</f>
        <v/>
      </c>
      <c r="H190" s="88" t="str">
        <f aca="false">IF(OR(D190="",S190="Servicio"),"",MAX(0,D190-G190))</f>
        <v/>
      </c>
      <c r="I190" s="36" t="str">
        <f aca="false">IF(OR(D190="",S190="Servicio",N(D190)=0),"",MIN(1,G190/D190))</f>
        <v/>
      </c>
      <c r="J190" s="10" t="str">
        <f aca="false">IF(D190="","",PRESUPUESTO!O186)</f>
        <v/>
      </c>
      <c r="K190" s="10" t="str">
        <f aca="false">IF(D190="","",SUMIFS(GASTOS!$J$7:$J$5000,GASTOS!$F$7:$F$5000,$A190,GASTOS!$L$7:$L$5000,"Materiales y equipos"))</f>
        <v/>
      </c>
      <c r="L190" s="105" t="str">
        <f aca="false">IF(D190="","",COUNTIFS(GASTOS!$F$7:$F$5000,$A190,GASTOS!$L$7:$L$5000,"Materiales y equipos"))</f>
        <v/>
      </c>
      <c r="M190" s="10" t="str">
        <f aca="false">IF(OR(D190="",N(F190)=0),"",K190/F190)</f>
        <v/>
      </c>
      <c r="N190" s="10" t="str">
        <f aca="false">IF(OR(D190="",N(L190)=0),"",IFERROR(LOOKUP(2,1/((GASTOS!$F$7:$F$5000=$A190)*(GASTOS!$L$7:$L$5000="Materiales y equipos")*(GASTOS!$I$7:$I$5000&lt;&gt;"")),GASTOS!$I$7:$I$5000),""))</f>
        <v/>
      </c>
      <c r="O190" s="23" t="str">
        <f aca="false">IF(OR(D190="",N(L190)=0),"",IFERROR(LOOKUP(2,1/((GASTOS!$F$7:$F$5000=$A190)*(GASTOS!$L$7:$L$5000="Materiales y equipos")*(GASTOS!$I$7:$I$5000&lt;&gt;"")),GASTOS!$D$7:$D$5000),""))</f>
        <v/>
      </c>
      <c r="P190" s="10" t="str">
        <f aca="false">IF(D190="","",N(PRESUPUESTO!I186))</f>
        <v/>
      </c>
      <c r="Q190" s="36" t="str">
        <f aca="false">IF(OR(D190="",N190="",N(P190)=0),"",N190/P190-1)</f>
        <v/>
      </c>
      <c r="R190" s="10" t="str">
        <f aca="false">IF(OR(D190="",S190="Servicio"),"",H190*IF(N190&lt;&gt;"",N190,P190))</f>
        <v/>
      </c>
      <c r="S190" s="39" t="str">
        <f aca="false">IF(D190="","",IF(N(PRESUPUESTO!H186)=0,"Servicio",IF(G190=0,"Sin comprar",IF(G190&gt;=D190,"Comprado","Parcial"))))</f>
        <v/>
      </c>
      <c r="T190" s="86" t="str">
        <f aca="false">IF(AND(ISNUMBER(Q190),N(Q190)&gt;0.1),"Precio +"&amp;TEXT(Q190,"0%"),"")</f>
        <v/>
      </c>
      <c r="U190" s="0" t="str">
        <f aca="false">IF(OR(D190="",S190="Servicio"),"",MIN(G190,D190)*P190)</f>
        <v/>
      </c>
      <c r="V190" s="0" t="str">
        <f aca="false">IF(OR(D190="",S190="Servicio"),"",D190*P190)</f>
        <v/>
      </c>
    </row>
    <row r="191" customFormat="false" ht="16.5" hidden="false" customHeight="true" outlineLevel="0" collapsed="false">
      <c r="A191" s="23" t="str">
        <f aca="false">IF(PRESUPUESTO!$A187="Ítem",PRESUPUESTO!B187,"")</f>
        <v/>
      </c>
      <c r="B191" s="23" t="str">
        <f aca="false">IF(PRESUPUESTO!C187="","",PRESUPUESTO!C187)</f>
        <v/>
      </c>
      <c r="C191" s="86" t="str">
        <f aca="false">IF(PRESUPUESTO!$A187="Ítem",PRESUPUESTO!D187,"")</f>
        <v/>
      </c>
      <c r="D191" s="87" t="str">
        <f aca="false">IF(PRESUPUESTO!$A187&lt;&gt;"Ítem","",MAX(N(PRESUPUESTO!E187),N('CORTES CLIENTE'!L200)))</f>
        <v/>
      </c>
      <c r="E191" s="80"/>
      <c r="F191" s="87" t="str">
        <f aca="false">IF(D191="","",SUMIFS(GASTOS!$H$7:$H$5000,GASTOS!$F$7:$F$5000,$A191,GASTOS!$L$7:$L$5000,"Materiales y equipos"))</f>
        <v/>
      </c>
      <c r="G191" s="88" t="str">
        <f aca="false">IF(D191="","",N(E191)+F191)</f>
        <v/>
      </c>
      <c r="H191" s="88" t="str">
        <f aca="false">IF(OR(D191="",S191="Servicio"),"",MAX(0,D191-G191))</f>
        <v/>
      </c>
      <c r="I191" s="36" t="str">
        <f aca="false">IF(OR(D191="",S191="Servicio",N(D191)=0),"",MIN(1,G191/D191))</f>
        <v/>
      </c>
      <c r="J191" s="10" t="str">
        <f aca="false">IF(D191="","",PRESUPUESTO!O187)</f>
        <v/>
      </c>
      <c r="K191" s="10" t="str">
        <f aca="false">IF(D191="","",SUMIFS(GASTOS!$J$7:$J$5000,GASTOS!$F$7:$F$5000,$A191,GASTOS!$L$7:$L$5000,"Materiales y equipos"))</f>
        <v/>
      </c>
      <c r="L191" s="105" t="str">
        <f aca="false">IF(D191="","",COUNTIFS(GASTOS!$F$7:$F$5000,$A191,GASTOS!$L$7:$L$5000,"Materiales y equipos"))</f>
        <v/>
      </c>
      <c r="M191" s="10" t="str">
        <f aca="false">IF(OR(D191="",N(F191)=0),"",K191/F191)</f>
        <v/>
      </c>
      <c r="N191" s="10" t="str">
        <f aca="false">IF(OR(D191="",N(L191)=0),"",IFERROR(LOOKUP(2,1/((GASTOS!$F$7:$F$5000=$A191)*(GASTOS!$L$7:$L$5000="Materiales y equipos")*(GASTOS!$I$7:$I$5000&lt;&gt;"")),GASTOS!$I$7:$I$5000),""))</f>
        <v/>
      </c>
      <c r="O191" s="23" t="str">
        <f aca="false">IF(OR(D191="",N(L191)=0),"",IFERROR(LOOKUP(2,1/((GASTOS!$F$7:$F$5000=$A191)*(GASTOS!$L$7:$L$5000="Materiales y equipos")*(GASTOS!$I$7:$I$5000&lt;&gt;"")),GASTOS!$D$7:$D$5000),""))</f>
        <v/>
      </c>
      <c r="P191" s="10" t="str">
        <f aca="false">IF(D191="","",N(PRESUPUESTO!I187))</f>
        <v/>
      </c>
      <c r="Q191" s="36" t="str">
        <f aca="false">IF(OR(D191="",N191="",N(P191)=0),"",N191/P191-1)</f>
        <v/>
      </c>
      <c r="R191" s="10" t="str">
        <f aca="false">IF(OR(D191="",S191="Servicio"),"",H191*IF(N191&lt;&gt;"",N191,P191))</f>
        <v/>
      </c>
      <c r="S191" s="39" t="str">
        <f aca="false">IF(D191="","",IF(N(PRESUPUESTO!H187)=0,"Servicio",IF(G191=0,"Sin comprar",IF(G191&gt;=D191,"Comprado","Parcial"))))</f>
        <v/>
      </c>
      <c r="T191" s="86" t="str">
        <f aca="false">IF(AND(ISNUMBER(Q191),N(Q191)&gt;0.1),"Precio +"&amp;TEXT(Q191,"0%"),"")</f>
        <v/>
      </c>
      <c r="U191" s="0" t="str">
        <f aca="false">IF(OR(D191="",S191="Servicio"),"",MIN(G191,D191)*P191)</f>
        <v/>
      </c>
      <c r="V191" s="0" t="str">
        <f aca="false">IF(OR(D191="",S191="Servicio"),"",D191*P191)</f>
        <v/>
      </c>
    </row>
    <row r="192" customFormat="false" ht="16.5" hidden="false" customHeight="true" outlineLevel="0" collapsed="false">
      <c r="A192" s="23" t="str">
        <f aca="false">IF(PRESUPUESTO!$A188="Ítem",PRESUPUESTO!B188,"")</f>
        <v/>
      </c>
      <c r="B192" s="23" t="str">
        <f aca="false">IF(PRESUPUESTO!C188="","",PRESUPUESTO!C188)</f>
        <v/>
      </c>
      <c r="C192" s="86" t="str">
        <f aca="false">IF(PRESUPUESTO!$A188="Ítem",PRESUPUESTO!D188,"")</f>
        <v/>
      </c>
      <c r="D192" s="87" t="str">
        <f aca="false">IF(PRESUPUESTO!$A188&lt;&gt;"Ítem","",MAX(N(PRESUPUESTO!E188),N('CORTES CLIENTE'!L201)))</f>
        <v/>
      </c>
      <c r="E192" s="80"/>
      <c r="F192" s="87" t="str">
        <f aca="false">IF(D192="","",SUMIFS(GASTOS!$H$7:$H$5000,GASTOS!$F$7:$F$5000,$A192,GASTOS!$L$7:$L$5000,"Materiales y equipos"))</f>
        <v/>
      </c>
      <c r="G192" s="88" t="str">
        <f aca="false">IF(D192="","",N(E192)+F192)</f>
        <v/>
      </c>
      <c r="H192" s="88" t="str">
        <f aca="false">IF(OR(D192="",S192="Servicio"),"",MAX(0,D192-G192))</f>
        <v/>
      </c>
      <c r="I192" s="36" t="str">
        <f aca="false">IF(OR(D192="",S192="Servicio",N(D192)=0),"",MIN(1,G192/D192))</f>
        <v/>
      </c>
      <c r="J192" s="10" t="str">
        <f aca="false">IF(D192="","",PRESUPUESTO!O188)</f>
        <v/>
      </c>
      <c r="K192" s="10" t="str">
        <f aca="false">IF(D192="","",SUMIFS(GASTOS!$J$7:$J$5000,GASTOS!$F$7:$F$5000,$A192,GASTOS!$L$7:$L$5000,"Materiales y equipos"))</f>
        <v/>
      </c>
      <c r="L192" s="105" t="str">
        <f aca="false">IF(D192="","",COUNTIFS(GASTOS!$F$7:$F$5000,$A192,GASTOS!$L$7:$L$5000,"Materiales y equipos"))</f>
        <v/>
      </c>
      <c r="M192" s="10" t="str">
        <f aca="false">IF(OR(D192="",N(F192)=0),"",K192/F192)</f>
        <v/>
      </c>
      <c r="N192" s="10" t="str">
        <f aca="false">IF(OR(D192="",N(L192)=0),"",IFERROR(LOOKUP(2,1/((GASTOS!$F$7:$F$5000=$A192)*(GASTOS!$L$7:$L$5000="Materiales y equipos")*(GASTOS!$I$7:$I$5000&lt;&gt;"")),GASTOS!$I$7:$I$5000),""))</f>
        <v/>
      </c>
      <c r="O192" s="23" t="str">
        <f aca="false">IF(OR(D192="",N(L192)=0),"",IFERROR(LOOKUP(2,1/((GASTOS!$F$7:$F$5000=$A192)*(GASTOS!$L$7:$L$5000="Materiales y equipos")*(GASTOS!$I$7:$I$5000&lt;&gt;"")),GASTOS!$D$7:$D$5000),""))</f>
        <v/>
      </c>
      <c r="P192" s="10" t="str">
        <f aca="false">IF(D192="","",N(PRESUPUESTO!I188))</f>
        <v/>
      </c>
      <c r="Q192" s="36" t="str">
        <f aca="false">IF(OR(D192="",N192="",N(P192)=0),"",N192/P192-1)</f>
        <v/>
      </c>
      <c r="R192" s="10" t="str">
        <f aca="false">IF(OR(D192="",S192="Servicio"),"",H192*IF(N192&lt;&gt;"",N192,P192))</f>
        <v/>
      </c>
      <c r="S192" s="39" t="str">
        <f aca="false">IF(D192="","",IF(N(PRESUPUESTO!H188)=0,"Servicio",IF(G192=0,"Sin comprar",IF(G192&gt;=D192,"Comprado","Parcial"))))</f>
        <v/>
      </c>
      <c r="T192" s="86" t="str">
        <f aca="false">IF(AND(ISNUMBER(Q192),N(Q192)&gt;0.1),"Precio +"&amp;TEXT(Q192,"0%"),"")</f>
        <v/>
      </c>
      <c r="U192" s="0" t="str">
        <f aca="false">IF(OR(D192="",S192="Servicio"),"",MIN(G192,D192)*P192)</f>
        <v/>
      </c>
      <c r="V192" s="0" t="str">
        <f aca="false">IF(OR(D192="",S192="Servicio"),"",D192*P192)</f>
        <v/>
      </c>
    </row>
    <row r="193" customFormat="false" ht="16.5" hidden="false" customHeight="true" outlineLevel="0" collapsed="false">
      <c r="A193" s="23" t="str">
        <f aca="false">IF(PRESUPUESTO!$A189="Ítem",PRESUPUESTO!B189,"")</f>
        <v/>
      </c>
      <c r="B193" s="23" t="str">
        <f aca="false">IF(PRESUPUESTO!C189="","",PRESUPUESTO!C189)</f>
        <v/>
      </c>
      <c r="C193" s="86" t="str">
        <f aca="false">IF(PRESUPUESTO!$A189="Ítem",PRESUPUESTO!D189,"")</f>
        <v/>
      </c>
      <c r="D193" s="87" t="str">
        <f aca="false">IF(PRESUPUESTO!$A189&lt;&gt;"Ítem","",MAX(N(PRESUPUESTO!E189),N('CORTES CLIENTE'!L202)))</f>
        <v/>
      </c>
      <c r="E193" s="80"/>
      <c r="F193" s="87" t="str">
        <f aca="false">IF(D193="","",SUMIFS(GASTOS!$H$7:$H$5000,GASTOS!$F$7:$F$5000,$A193,GASTOS!$L$7:$L$5000,"Materiales y equipos"))</f>
        <v/>
      </c>
      <c r="G193" s="88" t="str">
        <f aca="false">IF(D193="","",N(E193)+F193)</f>
        <v/>
      </c>
      <c r="H193" s="88" t="str">
        <f aca="false">IF(OR(D193="",S193="Servicio"),"",MAX(0,D193-G193))</f>
        <v/>
      </c>
      <c r="I193" s="36" t="str">
        <f aca="false">IF(OR(D193="",S193="Servicio",N(D193)=0),"",MIN(1,G193/D193))</f>
        <v/>
      </c>
      <c r="J193" s="10" t="str">
        <f aca="false">IF(D193="","",PRESUPUESTO!O189)</f>
        <v/>
      </c>
      <c r="K193" s="10" t="str">
        <f aca="false">IF(D193="","",SUMIFS(GASTOS!$J$7:$J$5000,GASTOS!$F$7:$F$5000,$A193,GASTOS!$L$7:$L$5000,"Materiales y equipos"))</f>
        <v/>
      </c>
      <c r="L193" s="105" t="str">
        <f aca="false">IF(D193="","",COUNTIFS(GASTOS!$F$7:$F$5000,$A193,GASTOS!$L$7:$L$5000,"Materiales y equipos"))</f>
        <v/>
      </c>
      <c r="M193" s="10" t="str">
        <f aca="false">IF(OR(D193="",N(F193)=0),"",K193/F193)</f>
        <v/>
      </c>
      <c r="N193" s="10" t="str">
        <f aca="false">IF(OR(D193="",N(L193)=0),"",IFERROR(LOOKUP(2,1/((GASTOS!$F$7:$F$5000=$A193)*(GASTOS!$L$7:$L$5000="Materiales y equipos")*(GASTOS!$I$7:$I$5000&lt;&gt;"")),GASTOS!$I$7:$I$5000),""))</f>
        <v/>
      </c>
      <c r="O193" s="23" t="str">
        <f aca="false">IF(OR(D193="",N(L193)=0),"",IFERROR(LOOKUP(2,1/((GASTOS!$F$7:$F$5000=$A193)*(GASTOS!$L$7:$L$5000="Materiales y equipos")*(GASTOS!$I$7:$I$5000&lt;&gt;"")),GASTOS!$D$7:$D$5000),""))</f>
        <v/>
      </c>
      <c r="P193" s="10" t="str">
        <f aca="false">IF(D193="","",N(PRESUPUESTO!I189))</f>
        <v/>
      </c>
      <c r="Q193" s="36" t="str">
        <f aca="false">IF(OR(D193="",N193="",N(P193)=0),"",N193/P193-1)</f>
        <v/>
      </c>
      <c r="R193" s="10" t="str">
        <f aca="false">IF(OR(D193="",S193="Servicio"),"",H193*IF(N193&lt;&gt;"",N193,P193))</f>
        <v/>
      </c>
      <c r="S193" s="39" t="str">
        <f aca="false">IF(D193="","",IF(N(PRESUPUESTO!H189)=0,"Servicio",IF(G193=0,"Sin comprar",IF(G193&gt;=D193,"Comprado","Parcial"))))</f>
        <v/>
      </c>
      <c r="T193" s="86" t="str">
        <f aca="false">IF(AND(ISNUMBER(Q193),N(Q193)&gt;0.1),"Precio +"&amp;TEXT(Q193,"0%"),"")</f>
        <v/>
      </c>
      <c r="U193" s="0" t="str">
        <f aca="false">IF(OR(D193="",S193="Servicio"),"",MIN(G193,D193)*P193)</f>
        <v/>
      </c>
      <c r="V193" s="0" t="str">
        <f aca="false">IF(OR(D193="",S193="Servicio"),"",D193*P193)</f>
        <v/>
      </c>
    </row>
    <row r="194" customFormat="false" ht="16.5" hidden="false" customHeight="true" outlineLevel="0" collapsed="false">
      <c r="A194" s="23" t="str">
        <f aca="false">IF(PRESUPUESTO!$A190="Ítem",PRESUPUESTO!B190,"")</f>
        <v/>
      </c>
      <c r="B194" s="23" t="str">
        <f aca="false">IF(PRESUPUESTO!C190="","",PRESUPUESTO!C190)</f>
        <v/>
      </c>
      <c r="C194" s="86" t="str">
        <f aca="false">IF(PRESUPUESTO!$A190="Ítem",PRESUPUESTO!D190,"")</f>
        <v/>
      </c>
      <c r="D194" s="87" t="str">
        <f aca="false">IF(PRESUPUESTO!$A190&lt;&gt;"Ítem","",MAX(N(PRESUPUESTO!E190),N('CORTES CLIENTE'!L203)))</f>
        <v/>
      </c>
      <c r="E194" s="80"/>
      <c r="F194" s="87" t="str">
        <f aca="false">IF(D194="","",SUMIFS(GASTOS!$H$7:$H$5000,GASTOS!$F$7:$F$5000,$A194,GASTOS!$L$7:$L$5000,"Materiales y equipos"))</f>
        <v/>
      </c>
      <c r="G194" s="88" t="str">
        <f aca="false">IF(D194="","",N(E194)+F194)</f>
        <v/>
      </c>
      <c r="H194" s="88" t="str">
        <f aca="false">IF(OR(D194="",S194="Servicio"),"",MAX(0,D194-G194))</f>
        <v/>
      </c>
      <c r="I194" s="36" t="str">
        <f aca="false">IF(OR(D194="",S194="Servicio",N(D194)=0),"",MIN(1,G194/D194))</f>
        <v/>
      </c>
      <c r="J194" s="10" t="str">
        <f aca="false">IF(D194="","",PRESUPUESTO!O190)</f>
        <v/>
      </c>
      <c r="K194" s="10" t="str">
        <f aca="false">IF(D194="","",SUMIFS(GASTOS!$J$7:$J$5000,GASTOS!$F$7:$F$5000,$A194,GASTOS!$L$7:$L$5000,"Materiales y equipos"))</f>
        <v/>
      </c>
      <c r="L194" s="105" t="str">
        <f aca="false">IF(D194="","",COUNTIFS(GASTOS!$F$7:$F$5000,$A194,GASTOS!$L$7:$L$5000,"Materiales y equipos"))</f>
        <v/>
      </c>
      <c r="M194" s="10" t="str">
        <f aca="false">IF(OR(D194="",N(F194)=0),"",K194/F194)</f>
        <v/>
      </c>
      <c r="N194" s="10" t="str">
        <f aca="false">IF(OR(D194="",N(L194)=0),"",IFERROR(LOOKUP(2,1/((GASTOS!$F$7:$F$5000=$A194)*(GASTOS!$L$7:$L$5000="Materiales y equipos")*(GASTOS!$I$7:$I$5000&lt;&gt;"")),GASTOS!$I$7:$I$5000),""))</f>
        <v/>
      </c>
      <c r="O194" s="23" t="str">
        <f aca="false">IF(OR(D194="",N(L194)=0),"",IFERROR(LOOKUP(2,1/((GASTOS!$F$7:$F$5000=$A194)*(GASTOS!$L$7:$L$5000="Materiales y equipos")*(GASTOS!$I$7:$I$5000&lt;&gt;"")),GASTOS!$D$7:$D$5000),""))</f>
        <v/>
      </c>
      <c r="P194" s="10" t="str">
        <f aca="false">IF(D194="","",N(PRESUPUESTO!I190))</f>
        <v/>
      </c>
      <c r="Q194" s="36" t="str">
        <f aca="false">IF(OR(D194="",N194="",N(P194)=0),"",N194/P194-1)</f>
        <v/>
      </c>
      <c r="R194" s="10" t="str">
        <f aca="false">IF(OR(D194="",S194="Servicio"),"",H194*IF(N194&lt;&gt;"",N194,P194))</f>
        <v/>
      </c>
      <c r="S194" s="39" t="str">
        <f aca="false">IF(D194="","",IF(N(PRESUPUESTO!H190)=0,"Servicio",IF(G194=0,"Sin comprar",IF(G194&gt;=D194,"Comprado","Parcial"))))</f>
        <v/>
      </c>
      <c r="T194" s="86" t="str">
        <f aca="false">IF(AND(ISNUMBER(Q194),N(Q194)&gt;0.1),"Precio +"&amp;TEXT(Q194,"0%"),"")</f>
        <v/>
      </c>
      <c r="U194" s="0" t="str">
        <f aca="false">IF(OR(D194="",S194="Servicio"),"",MIN(G194,D194)*P194)</f>
        <v/>
      </c>
      <c r="V194" s="0" t="str">
        <f aca="false">IF(OR(D194="",S194="Servicio"),"",D194*P194)</f>
        <v/>
      </c>
    </row>
    <row r="195" customFormat="false" ht="16.5" hidden="false" customHeight="true" outlineLevel="0" collapsed="false">
      <c r="A195" s="23" t="str">
        <f aca="false">IF(PRESUPUESTO!$A191="Ítem",PRESUPUESTO!B191,"")</f>
        <v/>
      </c>
      <c r="B195" s="23" t="str">
        <f aca="false">IF(PRESUPUESTO!C191="","",PRESUPUESTO!C191)</f>
        <v/>
      </c>
      <c r="C195" s="86" t="str">
        <f aca="false">IF(PRESUPUESTO!$A191="Ítem",PRESUPUESTO!D191,"")</f>
        <v/>
      </c>
      <c r="D195" s="87" t="str">
        <f aca="false">IF(PRESUPUESTO!$A191&lt;&gt;"Ítem","",MAX(N(PRESUPUESTO!E191),N('CORTES CLIENTE'!L204)))</f>
        <v/>
      </c>
      <c r="E195" s="80"/>
      <c r="F195" s="87" t="str">
        <f aca="false">IF(D195="","",SUMIFS(GASTOS!$H$7:$H$5000,GASTOS!$F$7:$F$5000,$A195,GASTOS!$L$7:$L$5000,"Materiales y equipos"))</f>
        <v/>
      </c>
      <c r="G195" s="88" t="str">
        <f aca="false">IF(D195="","",N(E195)+F195)</f>
        <v/>
      </c>
      <c r="H195" s="88" t="str">
        <f aca="false">IF(OR(D195="",S195="Servicio"),"",MAX(0,D195-G195))</f>
        <v/>
      </c>
      <c r="I195" s="36" t="str">
        <f aca="false">IF(OR(D195="",S195="Servicio",N(D195)=0),"",MIN(1,G195/D195))</f>
        <v/>
      </c>
      <c r="J195" s="10" t="str">
        <f aca="false">IF(D195="","",PRESUPUESTO!O191)</f>
        <v/>
      </c>
      <c r="K195" s="10" t="str">
        <f aca="false">IF(D195="","",SUMIFS(GASTOS!$J$7:$J$5000,GASTOS!$F$7:$F$5000,$A195,GASTOS!$L$7:$L$5000,"Materiales y equipos"))</f>
        <v/>
      </c>
      <c r="L195" s="105" t="str">
        <f aca="false">IF(D195="","",COUNTIFS(GASTOS!$F$7:$F$5000,$A195,GASTOS!$L$7:$L$5000,"Materiales y equipos"))</f>
        <v/>
      </c>
      <c r="M195" s="10" t="str">
        <f aca="false">IF(OR(D195="",N(F195)=0),"",K195/F195)</f>
        <v/>
      </c>
      <c r="N195" s="10" t="str">
        <f aca="false">IF(OR(D195="",N(L195)=0),"",IFERROR(LOOKUP(2,1/((GASTOS!$F$7:$F$5000=$A195)*(GASTOS!$L$7:$L$5000="Materiales y equipos")*(GASTOS!$I$7:$I$5000&lt;&gt;"")),GASTOS!$I$7:$I$5000),""))</f>
        <v/>
      </c>
      <c r="O195" s="23" t="str">
        <f aca="false">IF(OR(D195="",N(L195)=0),"",IFERROR(LOOKUP(2,1/((GASTOS!$F$7:$F$5000=$A195)*(GASTOS!$L$7:$L$5000="Materiales y equipos")*(GASTOS!$I$7:$I$5000&lt;&gt;"")),GASTOS!$D$7:$D$5000),""))</f>
        <v/>
      </c>
      <c r="P195" s="10" t="str">
        <f aca="false">IF(D195="","",N(PRESUPUESTO!I191))</f>
        <v/>
      </c>
      <c r="Q195" s="36" t="str">
        <f aca="false">IF(OR(D195="",N195="",N(P195)=0),"",N195/P195-1)</f>
        <v/>
      </c>
      <c r="R195" s="10" t="str">
        <f aca="false">IF(OR(D195="",S195="Servicio"),"",H195*IF(N195&lt;&gt;"",N195,P195))</f>
        <v/>
      </c>
      <c r="S195" s="39" t="str">
        <f aca="false">IF(D195="","",IF(N(PRESUPUESTO!H191)=0,"Servicio",IF(G195=0,"Sin comprar",IF(G195&gt;=D195,"Comprado","Parcial"))))</f>
        <v/>
      </c>
      <c r="T195" s="86" t="str">
        <f aca="false">IF(AND(ISNUMBER(Q195),N(Q195)&gt;0.1),"Precio +"&amp;TEXT(Q195,"0%"),"")</f>
        <v/>
      </c>
      <c r="U195" s="0" t="str">
        <f aca="false">IF(OR(D195="",S195="Servicio"),"",MIN(G195,D195)*P195)</f>
        <v/>
      </c>
      <c r="V195" s="0" t="str">
        <f aca="false">IF(OR(D195="",S195="Servicio"),"",D195*P195)</f>
        <v/>
      </c>
    </row>
    <row r="196" customFormat="false" ht="16.5" hidden="false" customHeight="true" outlineLevel="0" collapsed="false">
      <c r="A196" s="23" t="str">
        <f aca="false">IF(PRESUPUESTO!$A192="Ítem",PRESUPUESTO!B192,"")</f>
        <v/>
      </c>
      <c r="B196" s="23" t="str">
        <f aca="false">IF(PRESUPUESTO!C192="","",PRESUPUESTO!C192)</f>
        <v/>
      </c>
      <c r="C196" s="86" t="str">
        <f aca="false">IF(PRESUPUESTO!$A192="Ítem",PRESUPUESTO!D192,"")</f>
        <v/>
      </c>
      <c r="D196" s="87" t="str">
        <f aca="false">IF(PRESUPUESTO!$A192&lt;&gt;"Ítem","",MAX(N(PRESUPUESTO!E192),N('CORTES CLIENTE'!L205)))</f>
        <v/>
      </c>
      <c r="E196" s="80"/>
      <c r="F196" s="87" t="str">
        <f aca="false">IF(D196="","",SUMIFS(GASTOS!$H$7:$H$5000,GASTOS!$F$7:$F$5000,$A196,GASTOS!$L$7:$L$5000,"Materiales y equipos"))</f>
        <v/>
      </c>
      <c r="G196" s="88" t="str">
        <f aca="false">IF(D196="","",N(E196)+F196)</f>
        <v/>
      </c>
      <c r="H196" s="88" t="str">
        <f aca="false">IF(OR(D196="",S196="Servicio"),"",MAX(0,D196-G196))</f>
        <v/>
      </c>
      <c r="I196" s="36" t="str">
        <f aca="false">IF(OR(D196="",S196="Servicio",N(D196)=0),"",MIN(1,G196/D196))</f>
        <v/>
      </c>
      <c r="J196" s="10" t="str">
        <f aca="false">IF(D196="","",PRESUPUESTO!O192)</f>
        <v/>
      </c>
      <c r="K196" s="10" t="str">
        <f aca="false">IF(D196="","",SUMIFS(GASTOS!$J$7:$J$5000,GASTOS!$F$7:$F$5000,$A196,GASTOS!$L$7:$L$5000,"Materiales y equipos"))</f>
        <v/>
      </c>
      <c r="L196" s="105" t="str">
        <f aca="false">IF(D196="","",COUNTIFS(GASTOS!$F$7:$F$5000,$A196,GASTOS!$L$7:$L$5000,"Materiales y equipos"))</f>
        <v/>
      </c>
      <c r="M196" s="10" t="str">
        <f aca="false">IF(OR(D196="",N(F196)=0),"",K196/F196)</f>
        <v/>
      </c>
      <c r="N196" s="10" t="str">
        <f aca="false">IF(OR(D196="",N(L196)=0),"",IFERROR(LOOKUP(2,1/((GASTOS!$F$7:$F$5000=$A196)*(GASTOS!$L$7:$L$5000="Materiales y equipos")*(GASTOS!$I$7:$I$5000&lt;&gt;"")),GASTOS!$I$7:$I$5000),""))</f>
        <v/>
      </c>
      <c r="O196" s="23" t="str">
        <f aca="false">IF(OR(D196="",N(L196)=0),"",IFERROR(LOOKUP(2,1/((GASTOS!$F$7:$F$5000=$A196)*(GASTOS!$L$7:$L$5000="Materiales y equipos")*(GASTOS!$I$7:$I$5000&lt;&gt;"")),GASTOS!$D$7:$D$5000),""))</f>
        <v/>
      </c>
      <c r="P196" s="10" t="str">
        <f aca="false">IF(D196="","",N(PRESUPUESTO!I192))</f>
        <v/>
      </c>
      <c r="Q196" s="36" t="str">
        <f aca="false">IF(OR(D196="",N196="",N(P196)=0),"",N196/P196-1)</f>
        <v/>
      </c>
      <c r="R196" s="10" t="str">
        <f aca="false">IF(OR(D196="",S196="Servicio"),"",H196*IF(N196&lt;&gt;"",N196,P196))</f>
        <v/>
      </c>
      <c r="S196" s="39" t="str">
        <f aca="false">IF(D196="","",IF(N(PRESUPUESTO!H192)=0,"Servicio",IF(G196=0,"Sin comprar",IF(G196&gt;=D196,"Comprado","Parcial"))))</f>
        <v/>
      </c>
      <c r="T196" s="86" t="str">
        <f aca="false">IF(AND(ISNUMBER(Q196),N(Q196)&gt;0.1),"Precio +"&amp;TEXT(Q196,"0%"),"")</f>
        <v/>
      </c>
      <c r="U196" s="0" t="str">
        <f aca="false">IF(OR(D196="",S196="Servicio"),"",MIN(G196,D196)*P196)</f>
        <v/>
      </c>
      <c r="V196" s="0" t="str">
        <f aca="false">IF(OR(D196="",S196="Servicio"),"",D196*P196)</f>
        <v/>
      </c>
    </row>
    <row r="197" customFormat="false" ht="16.5" hidden="false" customHeight="true" outlineLevel="0" collapsed="false">
      <c r="A197" s="23" t="str">
        <f aca="false">IF(PRESUPUESTO!$A193="Ítem",PRESUPUESTO!B193,"")</f>
        <v/>
      </c>
      <c r="B197" s="23" t="str">
        <f aca="false">IF(PRESUPUESTO!C193="","",PRESUPUESTO!C193)</f>
        <v/>
      </c>
      <c r="C197" s="86" t="str">
        <f aca="false">IF(PRESUPUESTO!$A193="Ítem",PRESUPUESTO!D193,"")</f>
        <v/>
      </c>
      <c r="D197" s="87" t="str">
        <f aca="false">IF(PRESUPUESTO!$A193&lt;&gt;"Ítem","",MAX(N(PRESUPUESTO!E193),N('CORTES CLIENTE'!L206)))</f>
        <v/>
      </c>
      <c r="E197" s="80"/>
      <c r="F197" s="87" t="str">
        <f aca="false">IF(D197="","",SUMIFS(GASTOS!$H$7:$H$5000,GASTOS!$F$7:$F$5000,$A197,GASTOS!$L$7:$L$5000,"Materiales y equipos"))</f>
        <v/>
      </c>
      <c r="G197" s="88" t="str">
        <f aca="false">IF(D197="","",N(E197)+F197)</f>
        <v/>
      </c>
      <c r="H197" s="88" t="str">
        <f aca="false">IF(OR(D197="",S197="Servicio"),"",MAX(0,D197-G197))</f>
        <v/>
      </c>
      <c r="I197" s="36" t="str">
        <f aca="false">IF(OR(D197="",S197="Servicio",N(D197)=0),"",MIN(1,G197/D197))</f>
        <v/>
      </c>
      <c r="J197" s="10" t="str">
        <f aca="false">IF(D197="","",PRESUPUESTO!O193)</f>
        <v/>
      </c>
      <c r="K197" s="10" t="str">
        <f aca="false">IF(D197="","",SUMIFS(GASTOS!$J$7:$J$5000,GASTOS!$F$7:$F$5000,$A197,GASTOS!$L$7:$L$5000,"Materiales y equipos"))</f>
        <v/>
      </c>
      <c r="L197" s="105" t="str">
        <f aca="false">IF(D197="","",COUNTIFS(GASTOS!$F$7:$F$5000,$A197,GASTOS!$L$7:$L$5000,"Materiales y equipos"))</f>
        <v/>
      </c>
      <c r="M197" s="10" t="str">
        <f aca="false">IF(OR(D197="",N(F197)=0),"",K197/F197)</f>
        <v/>
      </c>
      <c r="N197" s="10" t="str">
        <f aca="false">IF(OR(D197="",N(L197)=0),"",IFERROR(LOOKUP(2,1/((GASTOS!$F$7:$F$5000=$A197)*(GASTOS!$L$7:$L$5000="Materiales y equipos")*(GASTOS!$I$7:$I$5000&lt;&gt;"")),GASTOS!$I$7:$I$5000),""))</f>
        <v/>
      </c>
      <c r="O197" s="23" t="str">
        <f aca="false">IF(OR(D197="",N(L197)=0),"",IFERROR(LOOKUP(2,1/((GASTOS!$F$7:$F$5000=$A197)*(GASTOS!$L$7:$L$5000="Materiales y equipos")*(GASTOS!$I$7:$I$5000&lt;&gt;"")),GASTOS!$D$7:$D$5000),""))</f>
        <v/>
      </c>
      <c r="P197" s="10" t="str">
        <f aca="false">IF(D197="","",N(PRESUPUESTO!I193))</f>
        <v/>
      </c>
      <c r="Q197" s="36" t="str">
        <f aca="false">IF(OR(D197="",N197="",N(P197)=0),"",N197/P197-1)</f>
        <v/>
      </c>
      <c r="R197" s="10" t="str">
        <f aca="false">IF(OR(D197="",S197="Servicio"),"",H197*IF(N197&lt;&gt;"",N197,P197))</f>
        <v/>
      </c>
      <c r="S197" s="39" t="str">
        <f aca="false">IF(D197="","",IF(N(PRESUPUESTO!H193)=0,"Servicio",IF(G197=0,"Sin comprar",IF(G197&gt;=D197,"Comprado","Parcial"))))</f>
        <v/>
      </c>
      <c r="T197" s="86" t="str">
        <f aca="false">IF(AND(ISNUMBER(Q197),N(Q197)&gt;0.1),"Precio +"&amp;TEXT(Q197,"0%"),"")</f>
        <v/>
      </c>
      <c r="U197" s="0" t="str">
        <f aca="false">IF(OR(D197="",S197="Servicio"),"",MIN(G197,D197)*P197)</f>
        <v/>
      </c>
      <c r="V197" s="0" t="str">
        <f aca="false">IF(OR(D197="",S197="Servicio"),"",D197*P197)</f>
        <v/>
      </c>
    </row>
    <row r="198" customFormat="false" ht="16.5" hidden="false" customHeight="true" outlineLevel="0" collapsed="false">
      <c r="A198" s="23" t="str">
        <f aca="false">IF(PRESUPUESTO!$A194="Ítem",PRESUPUESTO!B194,"")</f>
        <v/>
      </c>
      <c r="B198" s="23" t="str">
        <f aca="false">IF(PRESUPUESTO!C194="","",PRESUPUESTO!C194)</f>
        <v/>
      </c>
      <c r="C198" s="86" t="str">
        <f aca="false">IF(PRESUPUESTO!$A194="Ítem",PRESUPUESTO!D194,"")</f>
        <v/>
      </c>
      <c r="D198" s="87" t="str">
        <f aca="false">IF(PRESUPUESTO!$A194&lt;&gt;"Ítem","",MAX(N(PRESUPUESTO!E194),N('CORTES CLIENTE'!L207)))</f>
        <v/>
      </c>
      <c r="E198" s="80"/>
      <c r="F198" s="87" t="str">
        <f aca="false">IF(D198="","",SUMIFS(GASTOS!$H$7:$H$5000,GASTOS!$F$7:$F$5000,$A198,GASTOS!$L$7:$L$5000,"Materiales y equipos"))</f>
        <v/>
      </c>
      <c r="G198" s="88" t="str">
        <f aca="false">IF(D198="","",N(E198)+F198)</f>
        <v/>
      </c>
      <c r="H198" s="88" t="str">
        <f aca="false">IF(OR(D198="",S198="Servicio"),"",MAX(0,D198-G198))</f>
        <v/>
      </c>
      <c r="I198" s="36" t="str">
        <f aca="false">IF(OR(D198="",S198="Servicio",N(D198)=0),"",MIN(1,G198/D198))</f>
        <v/>
      </c>
      <c r="J198" s="10" t="str">
        <f aca="false">IF(D198="","",PRESUPUESTO!O194)</f>
        <v/>
      </c>
      <c r="K198" s="10" t="str">
        <f aca="false">IF(D198="","",SUMIFS(GASTOS!$J$7:$J$5000,GASTOS!$F$7:$F$5000,$A198,GASTOS!$L$7:$L$5000,"Materiales y equipos"))</f>
        <v/>
      </c>
      <c r="L198" s="105" t="str">
        <f aca="false">IF(D198="","",COUNTIFS(GASTOS!$F$7:$F$5000,$A198,GASTOS!$L$7:$L$5000,"Materiales y equipos"))</f>
        <v/>
      </c>
      <c r="M198" s="10" t="str">
        <f aca="false">IF(OR(D198="",N(F198)=0),"",K198/F198)</f>
        <v/>
      </c>
      <c r="N198" s="10" t="str">
        <f aca="false">IF(OR(D198="",N(L198)=0),"",IFERROR(LOOKUP(2,1/((GASTOS!$F$7:$F$5000=$A198)*(GASTOS!$L$7:$L$5000="Materiales y equipos")*(GASTOS!$I$7:$I$5000&lt;&gt;"")),GASTOS!$I$7:$I$5000),""))</f>
        <v/>
      </c>
      <c r="O198" s="23" t="str">
        <f aca="false">IF(OR(D198="",N(L198)=0),"",IFERROR(LOOKUP(2,1/((GASTOS!$F$7:$F$5000=$A198)*(GASTOS!$L$7:$L$5000="Materiales y equipos")*(GASTOS!$I$7:$I$5000&lt;&gt;"")),GASTOS!$D$7:$D$5000),""))</f>
        <v/>
      </c>
      <c r="P198" s="10" t="str">
        <f aca="false">IF(D198="","",N(PRESUPUESTO!I194))</f>
        <v/>
      </c>
      <c r="Q198" s="36" t="str">
        <f aca="false">IF(OR(D198="",N198="",N(P198)=0),"",N198/P198-1)</f>
        <v/>
      </c>
      <c r="R198" s="10" t="str">
        <f aca="false">IF(OR(D198="",S198="Servicio"),"",H198*IF(N198&lt;&gt;"",N198,P198))</f>
        <v/>
      </c>
      <c r="S198" s="39" t="str">
        <f aca="false">IF(D198="","",IF(N(PRESUPUESTO!H194)=0,"Servicio",IF(G198=0,"Sin comprar",IF(G198&gt;=D198,"Comprado","Parcial"))))</f>
        <v/>
      </c>
      <c r="T198" s="86" t="str">
        <f aca="false">IF(AND(ISNUMBER(Q198),N(Q198)&gt;0.1),"Precio +"&amp;TEXT(Q198,"0%"),"")</f>
        <v/>
      </c>
      <c r="U198" s="0" t="str">
        <f aca="false">IF(OR(D198="",S198="Servicio"),"",MIN(G198,D198)*P198)</f>
        <v/>
      </c>
      <c r="V198" s="0" t="str">
        <f aca="false">IF(OR(D198="",S198="Servicio"),"",D198*P198)</f>
        <v/>
      </c>
    </row>
    <row r="199" customFormat="false" ht="16.5" hidden="false" customHeight="true" outlineLevel="0" collapsed="false">
      <c r="A199" s="23" t="str">
        <f aca="false">IF(PRESUPUESTO!$A195="Ítem",PRESUPUESTO!B195,"")</f>
        <v/>
      </c>
      <c r="B199" s="23" t="str">
        <f aca="false">IF(PRESUPUESTO!C195="","",PRESUPUESTO!C195)</f>
        <v/>
      </c>
      <c r="C199" s="86" t="str">
        <f aca="false">IF(PRESUPUESTO!$A195="Ítem",PRESUPUESTO!D195,"")</f>
        <v/>
      </c>
      <c r="D199" s="87" t="str">
        <f aca="false">IF(PRESUPUESTO!$A195&lt;&gt;"Ítem","",MAX(N(PRESUPUESTO!E195),N('CORTES CLIENTE'!L208)))</f>
        <v/>
      </c>
      <c r="E199" s="80"/>
      <c r="F199" s="87" t="str">
        <f aca="false">IF(D199="","",SUMIFS(GASTOS!$H$7:$H$5000,GASTOS!$F$7:$F$5000,$A199,GASTOS!$L$7:$L$5000,"Materiales y equipos"))</f>
        <v/>
      </c>
      <c r="G199" s="88" t="str">
        <f aca="false">IF(D199="","",N(E199)+F199)</f>
        <v/>
      </c>
      <c r="H199" s="88" t="str">
        <f aca="false">IF(OR(D199="",S199="Servicio"),"",MAX(0,D199-G199))</f>
        <v/>
      </c>
      <c r="I199" s="36" t="str">
        <f aca="false">IF(OR(D199="",S199="Servicio",N(D199)=0),"",MIN(1,G199/D199))</f>
        <v/>
      </c>
      <c r="J199" s="10" t="str">
        <f aca="false">IF(D199="","",PRESUPUESTO!O195)</f>
        <v/>
      </c>
      <c r="K199" s="10" t="str">
        <f aca="false">IF(D199="","",SUMIFS(GASTOS!$J$7:$J$5000,GASTOS!$F$7:$F$5000,$A199,GASTOS!$L$7:$L$5000,"Materiales y equipos"))</f>
        <v/>
      </c>
      <c r="L199" s="105" t="str">
        <f aca="false">IF(D199="","",COUNTIFS(GASTOS!$F$7:$F$5000,$A199,GASTOS!$L$7:$L$5000,"Materiales y equipos"))</f>
        <v/>
      </c>
      <c r="M199" s="10" t="str">
        <f aca="false">IF(OR(D199="",N(F199)=0),"",K199/F199)</f>
        <v/>
      </c>
      <c r="N199" s="10" t="str">
        <f aca="false">IF(OR(D199="",N(L199)=0),"",IFERROR(LOOKUP(2,1/((GASTOS!$F$7:$F$5000=$A199)*(GASTOS!$L$7:$L$5000="Materiales y equipos")*(GASTOS!$I$7:$I$5000&lt;&gt;"")),GASTOS!$I$7:$I$5000),""))</f>
        <v/>
      </c>
      <c r="O199" s="23" t="str">
        <f aca="false">IF(OR(D199="",N(L199)=0),"",IFERROR(LOOKUP(2,1/((GASTOS!$F$7:$F$5000=$A199)*(GASTOS!$L$7:$L$5000="Materiales y equipos")*(GASTOS!$I$7:$I$5000&lt;&gt;"")),GASTOS!$D$7:$D$5000),""))</f>
        <v/>
      </c>
      <c r="P199" s="10" t="str">
        <f aca="false">IF(D199="","",N(PRESUPUESTO!I195))</f>
        <v/>
      </c>
      <c r="Q199" s="36" t="str">
        <f aca="false">IF(OR(D199="",N199="",N(P199)=0),"",N199/P199-1)</f>
        <v/>
      </c>
      <c r="R199" s="10" t="str">
        <f aca="false">IF(OR(D199="",S199="Servicio"),"",H199*IF(N199&lt;&gt;"",N199,P199))</f>
        <v/>
      </c>
      <c r="S199" s="39" t="str">
        <f aca="false">IF(D199="","",IF(N(PRESUPUESTO!H195)=0,"Servicio",IF(G199=0,"Sin comprar",IF(G199&gt;=D199,"Comprado","Parcial"))))</f>
        <v/>
      </c>
      <c r="T199" s="86" t="str">
        <f aca="false">IF(AND(ISNUMBER(Q199),N(Q199)&gt;0.1),"Precio +"&amp;TEXT(Q199,"0%"),"")</f>
        <v/>
      </c>
      <c r="U199" s="0" t="str">
        <f aca="false">IF(OR(D199="",S199="Servicio"),"",MIN(G199,D199)*P199)</f>
        <v/>
      </c>
      <c r="V199" s="0" t="str">
        <f aca="false">IF(OR(D199="",S199="Servicio"),"",D199*P199)</f>
        <v/>
      </c>
    </row>
    <row r="200" customFormat="false" ht="16.5" hidden="false" customHeight="true" outlineLevel="0" collapsed="false">
      <c r="A200" s="23" t="str">
        <f aca="false">IF(PRESUPUESTO!$A196="Ítem",PRESUPUESTO!B196,"")</f>
        <v/>
      </c>
      <c r="B200" s="23" t="str">
        <f aca="false">IF(PRESUPUESTO!C196="","",PRESUPUESTO!C196)</f>
        <v/>
      </c>
      <c r="C200" s="86" t="str">
        <f aca="false">IF(PRESUPUESTO!$A196="Ítem",PRESUPUESTO!D196,"")</f>
        <v/>
      </c>
      <c r="D200" s="87" t="str">
        <f aca="false">IF(PRESUPUESTO!$A196&lt;&gt;"Ítem","",MAX(N(PRESUPUESTO!E196),N('CORTES CLIENTE'!L209)))</f>
        <v/>
      </c>
      <c r="E200" s="80"/>
      <c r="F200" s="87" t="str">
        <f aca="false">IF(D200="","",SUMIFS(GASTOS!$H$7:$H$5000,GASTOS!$F$7:$F$5000,$A200,GASTOS!$L$7:$L$5000,"Materiales y equipos"))</f>
        <v/>
      </c>
      <c r="G200" s="88" t="str">
        <f aca="false">IF(D200="","",N(E200)+F200)</f>
        <v/>
      </c>
      <c r="H200" s="88" t="str">
        <f aca="false">IF(OR(D200="",S200="Servicio"),"",MAX(0,D200-G200))</f>
        <v/>
      </c>
      <c r="I200" s="36" t="str">
        <f aca="false">IF(OR(D200="",S200="Servicio",N(D200)=0),"",MIN(1,G200/D200))</f>
        <v/>
      </c>
      <c r="J200" s="10" t="str">
        <f aca="false">IF(D200="","",PRESUPUESTO!O196)</f>
        <v/>
      </c>
      <c r="K200" s="10" t="str">
        <f aca="false">IF(D200="","",SUMIFS(GASTOS!$J$7:$J$5000,GASTOS!$F$7:$F$5000,$A200,GASTOS!$L$7:$L$5000,"Materiales y equipos"))</f>
        <v/>
      </c>
      <c r="L200" s="105" t="str">
        <f aca="false">IF(D200="","",COUNTIFS(GASTOS!$F$7:$F$5000,$A200,GASTOS!$L$7:$L$5000,"Materiales y equipos"))</f>
        <v/>
      </c>
      <c r="M200" s="10" t="str">
        <f aca="false">IF(OR(D200="",N(F200)=0),"",K200/F200)</f>
        <v/>
      </c>
      <c r="N200" s="10" t="str">
        <f aca="false">IF(OR(D200="",N(L200)=0),"",IFERROR(LOOKUP(2,1/((GASTOS!$F$7:$F$5000=$A200)*(GASTOS!$L$7:$L$5000="Materiales y equipos")*(GASTOS!$I$7:$I$5000&lt;&gt;"")),GASTOS!$I$7:$I$5000),""))</f>
        <v/>
      </c>
      <c r="O200" s="23" t="str">
        <f aca="false">IF(OR(D200="",N(L200)=0),"",IFERROR(LOOKUP(2,1/((GASTOS!$F$7:$F$5000=$A200)*(GASTOS!$L$7:$L$5000="Materiales y equipos")*(GASTOS!$I$7:$I$5000&lt;&gt;"")),GASTOS!$D$7:$D$5000),""))</f>
        <v/>
      </c>
      <c r="P200" s="10" t="str">
        <f aca="false">IF(D200="","",N(PRESUPUESTO!I196))</f>
        <v/>
      </c>
      <c r="Q200" s="36" t="str">
        <f aca="false">IF(OR(D200="",N200="",N(P200)=0),"",N200/P200-1)</f>
        <v/>
      </c>
      <c r="R200" s="10" t="str">
        <f aca="false">IF(OR(D200="",S200="Servicio"),"",H200*IF(N200&lt;&gt;"",N200,P200))</f>
        <v/>
      </c>
      <c r="S200" s="39" t="str">
        <f aca="false">IF(D200="","",IF(N(PRESUPUESTO!H196)=0,"Servicio",IF(G200=0,"Sin comprar",IF(G200&gt;=D200,"Comprado","Parcial"))))</f>
        <v/>
      </c>
      <c r="T200" s="86" t="str">
        <f aca="false">IF(AND(ISNUMBER(Q200),N(Q200)&gt;0.1),"Precio +"&amp;TEXT(Q200,"0%"),"")</f>
        <v/>
      </c>
      <c r="U200" s="0" t="str">
        <f aca="false">IF(OR(D200="",S200="Servicio"),"",MIN(G200,D200)*P200)</f>
        <v/>
      </c>
      <c r="V200" s="0" t="str">
        <f aca="false">IF(OR(D200="",S200="Servicio"),"",D200*P200)</f>
        <v/>
      </c>
    </row>
    <row r="201" customFormat="false" ht="16.5" hidden="false" customHeight="true" outlineLevel="0" collapsed="false">
      <c r="A201" s="23" t="str">
        <f aca="false">IF(PRESUPUESTO!$A197="Ítem",PRESUPUESTO!B197,"")</f>
        <v/>
      </c>
      <c r="B201" s="23" t="str">
        <f aca="false">IF(PRESUPUESTO!C197="","",PRESUPUESTO!C197)</f>
        <v/>
      </c>
      <c r="C201" s="86" t="str">
        <f aca="false">IF(PRESUPUESTO!$A197="Ítem",PRESUPUESTO!D197,"")</f>
        <v/>
      </c>
      <c r="D201" s="87" t="str">
        <f aca="false">IF(PRESUPUESTO!$A197&lt;&gt;"Ítem","",MAX(N(PRESUPUESTO!E197),N('CORTES CLIENTE'!L210)))</f>
        <v/>
      </c>
      <c r="E201" s="80"/>
      <c r="F201" s="87" t="str">
        <f aca="false">IF(D201="","",SUMIFS(GASTOS!$H$7:$H$5000,GASTOS!$F$7:$F$5000,$A201,GASTOS!$L$7:$L$5000,"Materiales y equipos"))</f>
        <v/>
      </c>
      <c r="G201" s="88" t="str">
        <f aca="false">IF(D201="","",N(E201)+F201)</f>
        <v/>
      </c>
      <c r="H201" s="88" t="str">
        <f aca="false">IF(OR(D201="",S201="Servicio"),"",MAX(0,D201-G201))</f>
        <v/>
      </c>
      <c r="I201" s="36" t="str">
        <f aca="false">IF(OR(D201="",S201="Servicio",N(D201)=0),"",MIN(1,G201/D201))</f>
        <v/>
      </c>
      <c r="J201" s="10" t="str">
        <f aca="false">IF(D201="","",PRESUPUESTO!O197)</f>
        <v/>
      </c>
      <c r="K201" s="10" t="str">
        <f aca="false">IF(D201="","",SUMIFS(GASTOS!$J$7:$J$5000,GASTOS!$F$7:$F$5000,$A201,GASTOS!$L$7:$L$5000,"Materiales y equipos"))</f>
        <v/>
      </c>
      <c r="L201" s="105" t="str">
        <f aca="false">IF(D201="","",COUNTIFS(GASTOS!$F$7:$F$5000,$A201,GASTOS!$L$7:$L$5000,"Materiales y equipos"))</f>
        <v/>
      </c>
      <c r="M201" s="10" t="str">
        <f aca="false">IF(OR(D201="",N(F201)=0),"",K201/F201)</f>
        <v/>
      </c>
      <c r="N201" s="10" t="str">
        <f aca="false">IF(OR(D201="",N(L201)=0),"",IFERROR(LOOKUP(2,1/((GASTOS!$F$7:$F$5000=$A201)*(GASTOS!$L$7:$L$5000="Materiales y equipos")*(GASTOS!$I$7:$I$5000&lt;&gt;"")),GASTOS!$I$7:$I$5000),""))</f>
        <v/>
      </c>
      <c r="O201" s="23" t="str">
        <f aca="false">IF(OR(D201="",N(L201)=0),"",IFERROR(LOOKUP(2,1/((GASTOS!$F$7:$F$5000=$A201)*(GASTOS!$L$7:$L$5000="Materiales y equipos")*(GASTOS!$I$7:$I$5000&lt;&gt;"")),GASTOS!$D$7:$D$5000),""))</f>
        <v/>
      </c>
      <c r="P201" s="10" t="str">
        <f aca="false">IF(D201="","",N(PRESUPUESTO!I197))</f>
        <v/>
      </c>
      <c r="Q201" s="36" t="str">
        <f aca="false">IF(OR(D201="",N201="",N(P201)=0),"",N201/P201-1)</f>
        <v/>
      </c>
      <c r="R201" s="10" t="str">
        <f aca="false">IF(OR(D201="",S201="Servicio"),"",H201*IF(N201&lt;&gt;"",N201,P201))</f>
        <v/>
      </c>
      <c r="S201" s="39" t="str">
        <f aca="false">IF(D201="","",IF(N(PRESUPUESTO!H197)=0,"Servicio",IF(G201=0,"Sin comprar",IF(G201&gt;=D201,"Comprado","Parcial"))))</f>
        <v/>
      </c>
      <c r="T201" s="86" t="str">
        <f aca="false">IF(AND(ISNUMBER(Q201),N(Q201)&gt;0.1),"Precio +"&amp;TEXT(Q201,"0%"),"")</f>
        <v/>
      </c>
      <c r="U201" s="0" t="str">
        <f aca="false">IF(OR(D201="",S201="Servicio"),"",MIN(G201,D201)*P201)</f>
        <v/>
      </c>
      <c r="V201" s="0" t="str">
        <f aca="false">IF(OR(D201="",S201="Servicio"),"",D201*P201)</f>
        <v/>
      </c>
    </row>
    <row r="202" customFormat="false" ht="16.5" hidden="false" customHeight="true" outlineLevel="0" collapsed="false">
      <c r="A202" s="23" t="str">
        <f aca="false">IF(PRESUPUESTO!$A198="Ítem",PRESUPUESTO!B198,"")</f>
        <v/>
      </c>
      <c r="B202" s="23" t="str">
        <f aca="false">IF(PRESUPUESTO!C198="","",PRESUPUESTO!C198)</f>
        <v/>
      </c>
      <c r="C202" s="86" t="str">
        <f aca="false">IF(PRESUPUESTO!$A198="Ítem",PRESUPUESTO!D198,"")</f>
        <v/>
      </c>
      <c r="D202" s="87" t="str">
        <f aca="false">IF(PRESUPUESTO!$A198&lt;&gt;"Ítem","",MAX(N(PRESUPUESTO!E198),N('CORTES CLIENTE'!L211)))</f>
        <v/>
      </c>
      <c r="E202" s="80"/>
      <c r="F202" s="87" t="str">
        <f aca="false">IF(D202="","",SUMIFS(GASTOS!$H$7:$H$5000,GASTOS!$F$7:$F$5000,$A202,GASTOS!$L$7:$L$5000,"Materiales y equipos"))</f>
        <v/>
      </c>
      <c r="G202" s="88" t="str">
        <f aca="false">IF(D202="","",N(E202)+F202)</f>
        <v/>
      </c>
      <c r="H202" s="88" t="str">
        <f aca="false">IF(OR(D202="",S202="Servicio"),"",MAX(0,D202-G202))</f>
        <v/>
      </c>
      <c r="I202" s="36" t="str">
        <f aca="false">IF(OR(D202="",S202="Servicio",N(D202)=0),"",MIN(1,G202/D202))</f>
        <v/>
      </c>
      <c r="J202" s="10" t="str">
        <f aca="false">IF(D202="","",PRESUPUESTO!O198)</f>
        <v/>
      </c>
      <c r="K202" s="10" t="str">
        <f aca="false">IF(D202="","",SUMIFS(GASTOS!$J$7:$J$5000,GASTOS!$F$7:$F$5000,$A202,GASTOS!$L$7:$L$5000,"Materiales y equipos"))</f>
        <v/>
      </c>
      <c r="L202" s="105" t="str">
        <f aca="false">IF(D202="","",COUNTIFS(GASTOS!$F$7:$F$5000,$A202,GASTOS!$L$7:$L$5000,"Materiales y equipos"))</f>
        <v/>
      </c>
      <c r="M202" s="10" t="str">
        <f aca="false">IF(OR(D202="",N(F202)=0),"",K202/F202)</f>
        <v/>
      </c>
      <c r="N202" s="10" t="str">
        <f aca="false">IF(OR(D202="",N(L202)=0),"",IFERROR(LOOKUP(2,1/((GASTOS!$F$7:$F$5000=$A202)*(GASTOS!$L$7:$L$5000="Materiales y equipos")*(GASTOS!$I$7:$I$5000&lt;&gt;"")),GASTOS!$I$7:$I$5000),""))</f>
        <v/>
      </c>
      <c r="O202" s="23" t="str">
        <f aca="false">IF(OR(D202="",N(L202)=0),"",IFERROR(LOOKUP(2,1/((GASTOS!$F$7:$F$5000=$A202)*(GASTOS!$L$7:$L$5000="Materiales y equipos")*(GASTOS!$I$7:$I$5000&lt;&gt;"")),GASTOS!$D$7:$D$5000),""))</f>
        <v/>
      </c>
      <c r="P202" s="10" t="str">
        <f aca="false">IF(D202="","",N(PRESUPUESTO!I198))</f>
        <v/>
      </c>
      <c r="Q202" s="36" t="str">
        <f aca="false">IF(OR(D202="",N202="",N(P202)=0),"",N202/P202-1)</f>
        <v/>
      </c>
      <c r="R202" s="10" t="str">
        <f aca="false">IF(OR(D202="",S202="Servicio"),"",H202*IF(N202&lt;&gt;"",N202,P202))</f>
        <v/>
      </c>
      <c r="S202" s="39" t="str">
        <f aca="false">IF(D202="","",IF(N(PRESUPUESTO!H198)=0,"Servicio",IF(G202=0,"Sin comprar",IF(G202&gt;=D202,"Comprado","Parcial"))))</f>
        <v/>
      </c>
      <c r="T202" s="86" t="str">
        <f aca="false">IF(AND(ISNUMBER(Q202),N(Q202)&gt;0.1),"Precio +"&amp;TEXT(Q202,"0%"),"")</f>
        <v/>
      </c>
      <c r="U202" s="0" t="str">
        <f aca="false">IF(OR(D202="",S202="Servicio"),"",MIN(G202,D202)*P202)</f>
        <v/>
      </c>
      <c r="V202" s="0" t="str">
        <f aca="false">IF(OR(D202="",S202="Servicio"),"",D202*P202)</f>
        <v/>
      </c>
    </row>
    <row r="203" customFormat="false" ht="16.5" hidden="false" customHeight="true" outlineLevel="0" collapsed="false">
      <c r="A203" s="23" t="str">
        <f aca="false">IF(PRESUPUESTO!$A199="Ítem",PRESUPUESTO!B199,"")</f>
        <v/>
      </c>
      <c r="B203" s="23" t="str">
        <f aca="false">IF(PRESUPUESTO!C199="","",PRESUPUESTO!C199)</f>
        <v/>
      </c>
      <c r="C203" s="86" t="str">
        <f aca="false">IF(PRESUPUESTO!$A199="Ítem",PRESUPUESTO!D199,"")</f>
        <v/>
      </c>
      <c r="D203" s="87" t="str">
        <f aca="false">IF(PRESUPUESTO!$A199&lt;&gt;"Ítem","",MAX(N(PRESUPUESTO!E199),N('CORTES CLIENTE'!L212)))</f>
        <v/>
      </c>
      <c r="E203" s="80"/>
      <c r="F203" s="87" t="str">
        <f aca="false">IF(D203="","",SUMIFS(GASTOS!$H$7:$H$5000,GASTOS!$F$7:$F$5000,$A203,GASTOS!$L$7:$L$5000,"Materiales y equipos"))</f>
        <v/>
      </c>
      <c r="G203" s="88" t="str">
        <f aca="false">IF(D203="","",N(E203)+F203)</f>
        <v/>
      </c>
      <c r="H203" s="88" t="str">
        <f aca="false">IF(OR(D203="",S203="Servicio"),"",MAX(0,D203-G203))</f>
        <v/>
      </c>
      <c r="I203" s="36" t="str">
        <f aca="false">IF(OR(D203="",S203="Servicio",N(D203)=0),"",MIN(1,G203/D203))</f>
        <v/>
      </c>
      <c r="J203" s="10" t="str">
        <f aca="false">IF(D203="","",PRESUPUESTO!O199)</f>
        <v/>
      </c>
      <c r="K203" s="10" t="str">
        <f aca="false">IF(D203="","",SUMIFS(GASTOS!$J$7:$J$5000,GASTOS!$F$7:$F$5000,$A203,GASTOS!$L$7:$L$5000,"Materiales y equipos"))</f>
        <v/>
      </c>
      <c r="L203" s="105" t="str">
        <f aca="false">IF(D203="","",COUNTIFS(GASTOS!$F$7:$F$5000,$A203,GASTOS!$L$7:$L$5000,"Materiales y equipos"))</f>
        <v/>
      </c>
      <c r="M203" s="10" t="str">
        <f aca="false">IF(OR(D203="",N(F203)=0),"",K203/F203)</f>
        <v/>
      </c>
      <c r="N203" s="10" t="str">
        <f aca="false">IF(OR(D203="",N(L203)=0),"",IFERROR(LOOKUP(2,1/((GASTOS!$F$7:$F$5000=$A203)*(GASTOS!$L$7:$L$5000="Materiales y equipos")*(GASTOS!$I$7:$I$5000&lt;&gt;"")),GASTOS!$I$7:$I$5000),""))</f>
        <v/>
      </c>
      <c r="O203" s="23" t="str">
        <f aca="false">IF(OR(D203="",N(L203)=0),"",IFERROR(LOOKUP(2,1/((GASTOS!$F$7:$F$5000=$A203)*(GASTOS!$L$7:$L$5000="Materiales y equipos")*(GASTOS!$I$7:$I$5000&lt;&gt;"")),GASTOS!$D$7:$D$5000),""))</f>
        <v/>
      </c>
      <c r="P203" s="10" t="str">
        <f aca="false">IF(D203="","",N(PRESUPUESTO!I199))</f>
        <v/>
      </c>
      <c r="Q203" s="36" t="str">
        <f aca="false">IF(OR(D203="",N203="",N(P203)=0),"",N203/P203-1)</f>
        <v/>
      </c>
      <c r="R203" s="10" t="str">
        <f aca="false">IF(OR(D203="",S203="Servicio"),"",H203*IF(N203&lt;&gt;"",N203,P203))</f>
        <v/>
      </c>
      <c r="S203" s="39" t="str">
        <f aca="false">IF(D203="","",IF(N(PRESUPUESTO!H199)=0,"Servicio",IF(G203=0,"Sin comprar",IF(G203&gt;=D203,"Comprado","Parcial"))))</f>
        <v/>
      </c>
      <c r="T203" s="86" t="str">
        <f aca="false">IF(AND(ISNUMBER(Q203),N(Q203)&gt;0.1),"Precio +"&amp;TEXT(Q203,"0%"),"")</f>
        <v/>
      </c>
      <c r="U203" s="0" t="str">
        <f aca="false">IF(OR(D203="",S203="Servicio"),"",MIN(G203,D203)*P203)</f>
        <v/>
      </c>
      <c r="V203" s="0" t="str">
        <f aca="false">IF(OR(D203="",S203="Servicio"),"",D203*P203)</f>
        <v/>
      </c>
    </row>
    <row r="204" customFormat="false" ht="16.5" hidden="false" customHeight="true" outlineLevel="0" collapsed="false">
      <c r="A204" s="23" t="str">
        <f aca="false">IF(PRESUPUESTO!$A200="Ítem",PRESUPUESTO!B200,"")</f>
        <v/>
      </c>
      <c r="B204" s="23" t="str">
        <f aca="false">IF(PRESUPUESTO!C200="","",PRESUPUESTO!C200)</f>
        <v/>
      </c>
      <c r="C204" s="86" t="str">
        <f aca="false">IF(PRESUPUESTO!$A200="Ítem",PRESUPUESTO!D200,"")</f>
        <v/>
      </c>
      <c r="D204" s="87" t="str">
        <f aca="false">IF(PRESUPUESTO!$A200&lt;&gt;"Ítem","",MAX(N(PRESUPUESTO!E200),N('CORTES CLIENTE'!L213)))</f>
        <v/>
      </c>
      <c r="E204" s="80"/>
      <c r="F204" s="87" t="str">
        <f aca="false">IF(D204="","",SUMIFS(GASTOS!$H$7:$H$5000,GASTOS!$F$7:$F$5000,$A204,GASTOS!$L$7:$L$5000,"Materiales y equipos"))</f>
        <v/>
      </c>
      <c r="G204" s="88" t="str">
        <f aca="false">IF(D204="","",N(E204)+F204)</f>
        <v/>
      </c>
      <c r="H204" s="88" t="str">
        <f aca="false">IF(OR(D204="",S204="Servicio"),"",MAX(0,D204-G204))</f>
        <v/>
      </c>
      <c r="I204" s="36" t="str">
        <f aca="false">IF(OR(D204="",S204="Servicio",N(D204)=0),"",MIN(1,G204/D204))</f>
        <v/>
      </c>
      <c r="J204" s="10" t="str">
        <f aca="false">IF(D204="","",PRESUPUESTO!O200)</f>
        <v/>
      </c>
      <c r="K204" s="10" t="str">
        <f aca="false">IF(D204="","",SUMIFS(GASTOS!$J$7:$J$5000,GASTOS!$F$7:$F$5000,$A204,GASTOS!$L$7:$L$5000,"Materiales y equipos"))</f>
        <v/>
      </c>
      <c r="L204" s="105" t="str">
        <f aca="false">IF(D204="","",COUNTIFS(GASTOS!$F$7:$F$5000,$A204,GASTOS!$L$7:$L$5000,"Materiales y equipos"))</f>
        <v/>
      </c>
      <c r="M204" s="10" t="str">
        <f aca="false">IF(OR(D204="",N(F204)=0),"",K204/F204)</f>
        <v/>
      </c>
      <c r="N204" s="10" t="str">
        <f aca="false">IF(OR(D204="",N(L204)=0),"",IFERROR(LOOKUP(2,1/((GASTOS!$F$7:$F$5000=$A204)*(GASTOS!$L$7:$L$5000="Materiales y equipos")*(GASTOS!$I$7:$I$5000&lt;&gt;"")),GASTOS!$I$7:$I$5000),""))</f>
        <v/>
      </c>
      <c r="O204" s="23" t="str">
        <f aca="false">IF(OR(D204="",N(L204)=0),"",IFERROR(LOOKUP(2,1/((GASTOS!$F$7:$F$5000=$A204)*(GASTOS!$L$7:$L$5000="Materiales y equipos")*(GASTOS!$I$7:$I$5000&lt;&gt;"")),GASTOS!$D$7:$D$5000),""))</f>
        <v/>
      </c>
      <c r="P204" s="10" t="str">
        <f aca="false">IF(D204="","",N(PRESUPUESTO!I200))</f>
        <v/>
      </c>
      <c r="Q204" s="36" t="str">
        <f aca="false">IF(OR(D204="",N204="",N(P204)=0),"",N204/P204-1)</f>
        <v/>
      </c>
      <c r="R204" s="10" t="str">
        <f aca="false">IF(OR(D204="",S204="Servicio"),"",H204*IF(N204&lt;&gt;"",N204,P204))</f>
        <v/>
      </c>
      <c r="S204" s="39" t="str">
        <f aca="false">IF(D204="","",IF(N(PRESUPUESTO!H200)=0,"Servicio",IF(G204=0,"Sin comprar",IF(G204&gt;=D204,"Comprado","Parcial"))))</f>
        <v/>
      </c>
      <c r="T204" s="86" t="str">
        <f aca="false">IF(AND(ISNUMBER(Q204),N(Q204)&gt;0.1),"Precio +"&amp;TEXT(Q204,"0%"),"")</f>
        <v/>
      </c>
      <c r="U204" s="0" t="str">
        <f aca="false">IF(OR(D204="",S204="Servicio"),"",MIN(G204,D204)*P204)</f>
        <v/>
      </c>
      <c r="V204" s="0" t="str">
        <f aca="false">IF(OR(D204="",S204="Servicio"),"",D204*P204)</f>
        <v/>
      </c>
    </row>
    <row r="205" customFormat="false" ht="16.5" hidden="false" customHeight="true" outlineLevel="0" collapsed="false">
      <c r="A205" s="23" t="str">
        <f aca="false">IF(PRESUPUESTO!$A201="Ítem",PRESUPUESTO!B201,"")</f>
        <v/>
      </c>
      <c r="B205" s="23" t="str">
        <f aca="false">IF(PRESUPUESTO!C201="","",PRESUPUESTO!C201)</f>
        <v/>
      </c>
      <c r="C205" s="86" t="str">
        <f aca="false">IF(PRESUPUESTO!$A201="Ítem",PRESUPUESTO!D201,"")</f>
        <v/>
      </c>
      <c r="D205" s="87" t="str">
        <f aca="false">IF(PRESUPUESTO!$A201&lt;&gt;"Ítem","",MAX(N(PRESUPUESTO!E201),N('CORTES CLIENTE'!L214)))</f>
        <v/>
      </c>
      <c r="E205" s="80"/>
      <c r="F205" s="87" t="str">
        <f aca="false">IF(D205="","",SUMIFS(GASTOS!$H$7:$H$5000,GASTOS!$F$7:$F$5000,$A205,GASTOS!$L$7:$L$5000,"Materiales y equipos"))</f>
        <v/>
      </c>
      <c r="G205" s="88" t="str">
        <f aca="false">IF(D205="","",N(E205)+F205)</f>
        <v/>
      </c>
      <c r="H205" s="88" t="str">
        <f aca="false">IF(OR(D205="",S205="Servicio"),"",MAX(0,D205-G205))</f>
        <v/>
      </c>
      <c r="I205" s="36" t="str">
        <f aca="false">IF(OR(D205="",S205="Servicio",N(D205)=0),"",MIN(1,G205/D205))</f>
        <v/>
      </c>
      <c r="J205" s="10" t="str">
        <f aca="false">IF(D205="","",PRESUPUESTO!O201)</f>
        <v/>
      </c>
      <c r="K205" s="10" t="str">
        <f aca="false">IF(D205="","",SUMIFS(GASTOS!$J$7:$J$5000,GASTOS!$F$7:$F$5000,$A205,GASTOS!$L$7:$L$5000,"Materiales y equipos"))</f>
        <v/>
      </c>
      <c r="L205" s="105" t="str">
        <f aca="false">IF(D205="","",COUNTIFS(GASTOS!$F$7:$F$5000,$A205,GASTOS!$L$7:$L$5000,"Materiales y equipos"))</f>
        <v/>
      </c>
      <c r="M205" s="10" t="str">
        <f aca="false">IF(OR(D205="",N(F205)=0),"",K205/F205)</f>
        <v/>
      </c>
      <c r="N205" s="10" t="str">
        <f aca="false">IF(OR(D205="",N(L205)=0),"",IFERROR(LOOKUP(2,1/((GASTOS!$F$7:$F$5000=$A205)*(GASTOS!$L$7:$L$5000="Materiales y equipos")*(GASTOS!$I$7:$I$5000&lt;&gt;"")),GASTOS!$I$7:$I$5000),""))</f>
        <v/>
      </c>
      <c r="O205" s="23" t="str">
        <f aca="false">IF(OR(D205="",N(L205)=0),"",IFERROR(LOOKUP(2,1/((GASTOS!$F$7:$F$5000=$A205)*(GASTOS!$L$7:$L$5000="Materiales y equipos")*(GASTOS!$I$7:$I$5000&lt;&gt;"")),GASTOS!$D$7:$D$5000),""))</f>
        <v/>
      </c>
      <c r="P205" s="10" t="str">
        <f aca="false">IF(D205="","",N(PRESUPUESTO!I201))</f>
        <v/>
      </c>
      <c r="Q205" s="36" t="str">
        <f aca="false">IF(OR(D205="",N205="",N(P205)=0),"",N205/P205-1)</f>
        <v/>
      </c>
      <c r="R205" s="10" t="str">
        <f aca="false">IF(OR(D205="",S205="Servicio"),"",H205*IF(N205&lt;&gt;"",N205,P205))</f>
        <v/>
      </c>
      <c r="S205" s="39" t="str">
        <f aca="false">IF(D205="","",IF(N(PRESUPUESTO!H201)=0,"Servicio",IF(G205=0,"Sin comprar",IF(G205&gt;=D205,"Comprado","Parcial"))))</f>
        <v/>
      </c>
      <c r="T205" s="86" t="str">
        <f aca="false">IF(AND(ISNUMBER(Q205),N(Q205)&gt;0.1),"Precio +"&amp;TEXT(Q205,"0%"),"")</f>
        <v/>
      </c>
      <c r="U205" s="0" t="str">
        <f aca="false">IF(OR(D205="",S205="Servicio"),"",MIN(G205,D205)*P205)</f>
        <v/>
      </c>
      <c r="V205" s="0" t="str">
        <f aca="false">IF(OR(D205="",S205="Servicio"),"",D205*P205)</f>
        <v/>
      </c>
    </row>
    <row r="206" customFormat="false" ht="16.5" hidden="false" customHeight="true" outlineLevel="0" collapsed="false">
      <c r="A206" s="23" t="str">
        <f aca="false">IF(PRESUPUESTO!$A202="Ítem",PRESUPUESTO!B202,"")</f>
        <v/>
      </c>
      <c r="B206" s="23" t="str">
        <f aca="false">IF(PRESUPUESTO!C202="","",PRESUPUESTO!C202)</f>
        <v/>
      </c>
      <c r="C206" s="86" t="str">
        <f aca="false">IF(PRESUPUESTO!$A202="Ítem",PRESUPUESTO!D202,"")</f>
        <v/>
      </c>
      <c r="D206" s="87" t="str">
        <f aca="false">IF(PRESUPUESTO!$A202&lt;&gt;"Ítem","",MAX(N(PRESUPUESTO!E202),N('CORTES CLIENTE'!L215)))</f>
        <v/>
      </c>
      <c r="E206" s="80"/>
      <c r="F206" s="87" t="str">
        <f aca="false">IF(D206="","",SUMIFS(GASTOS!$H$7:$H$5000,GASTOS!$F$7:$F$5000,$A206,GASTOS!$L$7:$L$5000,"Materiales y equipos"))</f>
        <v/>
      </c>
      <c r="G206" s="88" t="str">
        <f aca="false">IF(D206="","",N(E206)+F206)</f>
        <v/>
      </c>
      <c r="H206" s="88" t="str">
        <f aca="false">IF(OR(D206="",S206="Servicio"),"",MAX(0,D206-G206))</f>
        <v/>
      </c>
      <c r="I206" s="36" t="str">
        <f aca="false">IF(OR(D206="",S206="Servicio",N(D206)=0),"",MIN(1,G206/D206))</f>
        <v/>
      </c>
      <c r="J206" s="10" t="str">
        <f aca="false">IF(D206="","",PRESUPUESTO!O202)</f>
        <v/>
      </c>
      <c r="K206" s="10" t="str">
        <f aca="false">IF(D206="","",SUMIFS(GASTOS!$J$7:$J$5000,GASTOS!$F$7:$F$5000,$A206,GASTOS!$L$7:$L$5000,"Materiales y equipos"))</f>
        <v/>
      </c>
      <c r="L206" s="105" t="str">
        <f aca="false">IF(D206="","",COUNTIFS(GASTOS!$F$7:$F$5000,$A206,GASTOS!$L$7:$L$5000,"Materiales y equipos"))</f>
        <v/>
      </c>
      <c r="M206" s="10" t="str">
        <f aca="false">IF(OR(D206="",N(F206)=0),"",K206/F206)</f>
        <v/>
      </c>
      <c r="N206" s="10" t="str">
        <f aca="false">IF(OR(D206="",N(L206)=0),"",IFERROR(LOOKUP(2,1/((GASTOS!$F$7:$F$5000=$A206)*(GASTOS!$L$7:$L$5000="Materiales y equipos")*(GASTOS!$I$7:$I$5000&lt;&gt;"")),GASTOS!$I$7:$I$5000),""))</f>
        <v/>
      </c>
      <c r="O206" s="23" t="str">
        <f aca="false">IF(OR(D206="",N(L206)=0),"",IFERROR(LOOKUP(2,1/((GASTOS!$F$7:$F$5000=$A206)*(GASTOS!$L$7:$L$5000="Materiales y equipos")*(GASTOS!$I$7:$I$5000&lt;&gt;"")),GASTOS!$D$7:$D$5000),""))</f>
        <v/>
      </c>
      <c r="P206" s="10" t="str">
        <f aca="false">IF(D206="","",N(PRESUPUESTO!I202))</f>
        <v/>
      </c>
      <c r="Q206" s="36" t="str">
        <f aca="false">IF(OR(D206="",N206="",N(P206)=0),"",N206/P206-1)</f>
        <v/>
      </c>
      <c r="R206" s="10" t="str">
        <f aca="false">IF(OR(D206="",S206="Servicio"),"",H206*IF(N206&lt;&gt;"",N206,P206))</f>
        <v/>
      </c>
      <c r="S206" s="39" t="str">
        <f aca="false">IF(D206="","",IF(N(PRESUPUESTO!H202)=0,"Servicio",IF(G206=0,"Sin comprar",IF(G206&gt;=D206,"Comprado","Parcial"))))</f>
        <v/>
      </c>
      <c r="T206" s="86" t="str">
        <f aca="false">IF(AND(ISNUMBER(Q206),N(Q206)&gt;0.1),"Precio +"&amp;TEXT(Q206,"0%"),"")</f>
        <v/>
      </c>
      <c r="U206" s="0" t="str">
        <f aca="false">IF(OR(D206="",S206="Servicio"),"",MIN(G206,D206)*P206)</f>
        <v/>
      </c>
      <c r="V206" s="0" t="str">
        <f aca="false">IF(OR(D206="",S206="Servicio"),"",D206*P206)</f>
        <v/>
      </c>
    </row>
    <row r="207" customFormat="false" ht="16.5" hidden="false" customHeight="true" outlineLevel="0" collapsed="false">
      <c r="A207" s="23" t="str">
        <f aca="false">IF(PRESUPUESTO!$A203="Ítem",PRESUPUESTO!B203,"")</f>
        <v/>
      </c>
      <c r="B207" s="23" t="str">
        <f aca="false">IF(PRESUPUESTO!C203="","",PRESUPUESTO!C203)</f>
        <v/>
      </c>
      <c r="C207" s="86" t="str">
        <f aca="false">IF(PRESUPUESTO!$A203="Ítem",PRESUPUESTO!D203,"")</f>
        <v/>
      </c>
      <c r="D207" s="87" t="str">
        <f aca="false">IF(PRESUPUESTO!$A203&lt;&gt;"Ítem","",MAX(N(PRESUPUESTO!E203),N('CORTES CLIENTE'!L216)))</f>
        <v/>
      </c>
      <c r="E207" s="80"/>
      <c r="F207" s="87" t="str">
        <f aca="false">IF(D207="","",SUMIFS(GASTOS!$H$7:$H$5000,GASTOS!$F$7:$F$5000,$A207,GASTOS!$L$7:$L$5000,"Materiales y equipos"))</f>
        <v/>
      </c>
      <c r="G207" s="88" t="str">
        <f aca="false">IF(D207="","",N(E207)+F207)</f>
        <v/>
      </c>
      <c r="H207" s="88" t="str">
        <f aca="false">IF(OR(D207="",S207="Servicio"),"",MAX(0,D207-G207))</f>
        <v/>
      </c>
      <c r="I207" s="36" t="str">
        <f aca="false">IF(OR(D207="",S207="Servicio",N(D207)=0),"",MIN(1,G207/D207))</f>
        <v/>
      </c>
      <c r="J207" s="10" t="str">
        <f aca="false">IF(D207="","",PRESUPUESTO!O203)</f>
        <v/>
      </c>
      <c r="K207" s="10" t="str">
        <f aca="false">IF(D207="","",SUMIFS(GASTOS!$J$7:$J$5000,GASTOS!$F$7:$F$5000,$A207,GASTOS!$L$7:$L$5000,"Materiales y equipos"))</f>
        <v/>
      </c>
      <c r="L207" s="105" t="str">
        <f aca="false">IF(D207="","",COUNTIFS(GASTOS!$F$7:$F$5000,$A207,GASTOS!$L$7:$L$5000,"Materiales y equipos"))</f>
        <v/>
      </c>
      <c r="M207" s="10" t="str">
        <f aca="false">IF(OR(D207="",N(F207)=0),"",K207/F207)</f>
        <v/>
      </c>
      <c r="N207" s="10" t="str">
        <f aca="false">IF(OR(D207="",N(L207)=0),"",IFERROR(LOOKUP(2,1/((GASTOS!$F$7:$F$5000=$A207)*(GASTOS!$L$7:$L$5000="Materiales y equipos")*(GASTOS!$I$7:$I$5000&lt;&gt;"")),GASTOS!$I$7:$I$5000),""))</f>
        <v/>
      </c>
      <c r="O207" s="23" t="str">
        <f aca="false">IF(OR(D207="",N(L207)=0),"",IFERROR(LOOKUP(2,1/((GASTOS!$F$7:$F$5000=$A207)*(GASTOS!$L$7:$L$5000="Materiales y equipos")*(GASTOS!$I$7:$I$5000&lt;&gt;"")),GASTOS!$D$7:$D$5000),""))</f>
        <v/>
      </c>
      <c r="P207" s="10" t="str">
        <f aca="false">IF(D207="","",N(PRESUPUESTO!I203))</f>
        <v/>
      </c>
      <c r="Q207" s="36" t="str">
        <f aca="false">IF(OR(D207="",N207="",N(P207)=0),"",N207/P207-1)</f>
        <v/>
      </c>
      <c r="R207" s="10" t="str">
        <f aca="false">IF(OR(D207="",S207="Servicio"),"",H207*IF(N207&lt;&gt;"",N207,P207))</f>
        <v/>
      </c>
      <c r="S207" s="39" t="str">
        <f aca="false">IF(D207="","",IF(N(PRESUPUESTO!H203)=0,"Servicio",IF(G207=0,"Sin comprar",IF(G207&gt;=D207,"Comprado","Parcial"))))</f>
        <v/>
      </c>
      <c r="T207" s="86" t="str">
        <f aca="false">IF(AND(ISNUMBER(Q207),N(Q207)&gt;0.1),"Precio +"&amp;TEXT(Q207,"0%"),"")</f>
        <v/>
      </c>
      <c r="U207" s="0" t="str">
        <f aca="false">IF(OR(D207="",S207="Servicio"),"",MIN(G207,D207)*P207)</f>
        <v/>
      </c>
      <c r="V207" s="0" t="str">
        <f aca="false">IF(OR(D207="",S207="Servicio"),"",D207*P207)</f>
        <v/>
      </c>
    </row>
    <row r="208" customFormat="false" ht="16.5" hidden="false" customHeight="true" outlineLevel="0" collapsed="false">
      <c r="A208" s="23" t="str">
        <f aca="false">IF(PRESUPUESTO!$A204="Ítem",PRESUPUESTO!B204,"")</f>
        <v/>
      </c>
      <c r="B208" s="23" t="str">
        <f aca="false">IF(PRESUPUESTO!C204="","",PRESUPUESTO!C204)</f>
        <v/>
      </c>
      <c r="C208" s="86" t="str">
        <f aca="false">IF(PRESUPUESTO!$A204="Ítem",PRESUPUESTO!D204,"")</f>
        <v/>
      </c>
      <c r="D208" s="87" t="str">
        <f aca="false">IF(PRESUPUESTO!$A204&lt;&gt;"Ítem","",MAX(N(PRESUPUESTO!E204),N('CORTES CLIENTE'!L217)))</f>
        <v/>
      </c>
      <c r="E208" s="80"/>
      <c r="F208" s="87" t="str">
        <f aca="false">IF(D208="","",SUMIFS(GASTOS!$H$7:$H$5000,GASTOS!$F$7:$F$5000,$A208,GASTOS!$L$7:$L$5000,"Materiales y equipos"))</f>
        <v/>
      </c>
      <c r="G208" s="88" t="str">
        <f aca="false">IF(D208="","",N(E208)+F208)</f>
        <v/>
      </c>
      <c r="H208" s="88" t="str">
        <f aca="false">IF(OR(D208="",S208="Servicio"),"",MAX(0,D208-G208))</f>
        <v/>
      </c>
      <c r="I208" s="36" t="str">
        <f aca="false">IF(OR(D208="",S208="Servicio",N(D208)=0),"",MIN(1,G208/D208))</f>
        <v/>
      </c>
      <c r="J208" s="10" t="str">
        <f aca="false">IF(D208="","",PRESUPUESTO!O204)</f>
        <v/>
      </c>
      <c r="K208" s="10" t="str">
        <f aca="false">IF(D208="","",SUMIFS(GASTOS!$J$7:$J$5000,GASTOS!$F$7:$F$5000,$A208,GASTOS!$L$7:$L$5000,"Materiales y equipos"))</f>
        <v/>
      </c>
      <c r="L208" s="105" t="str">
        <f aca="false">IF(D208="","",COUNTIFS(GASTOS!$F$7:$F$5000,$A208,GASTOS!$L$7:$L$5000,"Materiales y equipos"))</f>
        <v/>
      </c>
      <c r="M208" s="10" t="str">
        <f aca="false">IF(OR(D208="",N(F208)=0),"",K208/F208)</f>
        <v/>
      </c>
      <c r="N208" s="10" t="str">
        <f aca="false">IF(OR(D208="",N(L208)=0),"",IFERROR(LOOKUP(2,1/((GASTOS!$F$7:$F$5000=$A208)*(GASTOS!$L$7:$L$5000="Materiales y equipos")*(GASTOS!$I$7:$I$5000&lt;&gt;"")),GASTOS!$I$7:$I$5000),""))</f>
        <v/>
      </c>
      <c r="O208" s="23" t="str">
        <f aca="false">IF(OR(D208="",N(L208)=0),"",IFERROR(LOOKUP(2,1/((GASTOS!$F$7:$F$5000=$A208)*(GASTOS!$L$7:$L$5000="Materiales y equipos")*(GASTOS!$I$7:$I$5000&lt;&gt;"")),GASTOS!$D$7:$D$5000),""))</f>
        <v/>
      </c>
      <c r="P208" s="10" t="str">
        <f aca="false">IF(D208="","",N(PRESUPUESTO!I204))</f>
        <v/>
      </c>
      <c r="Q208" s="36" t="str">
        <f aca="false">IF(OR(D208="",N208="",N(P208)=0),"",N208/P208-1)</f>
        <v/>
      </c>
      <c r="R208" s="10" t="str">
        <f aca="false">IF(OR(D208="",S208="Servicio"),"",H208*IF(N208&lt;&gt;"",N208,P208))</f>
        <v/>
      </c>
      <c r="S208" s="39" t="str">
        <f aca="false">IF(D208="","",IF(N(PRESUPUESTO!H204)=0,"Servicio",IF(G208=0,"Sin comprar",IF(G208&gt;=D208,"Comprado","Parcial"))))</f>
        <v/>
      </c>
      <c r="T208" s="86" t="str">
        <f aca="false">IF(AND(ISNUMBER(Q208),N(Q208)&gt;0.1),"Precio +"&amp;TEXT(Q208,"0%"),"")</f>
        <v/>
      </c>
      <c r="U208" s="0" t="str">
        <f aca="false">IF(OR(D208="",S208="Servicio"),"",MIN(G208,D208)*P208)</f>
        <v/>
      </c>
      <c r="V208" s="0" t="str">
        <f aca="false">IF(OR(D208="",S208="Servicio"),"",D208*P208)</f>
        <v/>
      </c>
    </row>
    <row r="209" customFormat="false" ht="16.5" hidden="false" customHeight="true" outlineLevel="0" collapsed="false">
      <c r="A209" s="23" t="str">
        <f aca="false">IF(PRESUPUESTO!$A205="Ítem",PRESUPUESTO!B205,"")</f>
        <v/>
      </c>
      <c r="B209" s="23" t="str">
        <f aca="false">IF(PRESUPUESTO!C205="","",PRESUPUESTO!C205)</f>
        <v/>
      </c>
      <c r="C209" s="86" t="str">
        <f aca="false">IF(PRESUPUESTO!$A205="Ítem",PRESUPUESTO!D205,"")</f>
        <v/>
      </c>
      <c r="D209" s="87" t="str">
        <f aca="false">IF(PRESUPUESTO!$A205&lt;&gt;"Ítem","",MAX(N(PRESUPUESTO!E205),N('CORTES CLIENTE'!L218)))</f>
        <v/>
      </c>
      <c r="E209" s="80"/>
      <c r="F209" s="87" t="str">
        <f aca="false">IF(D209="","",SUMIFS(GASTOS!$H$7:$H$5000,GASTOS!$F$7:$F$5000,$A209,GASTOS!$L$7:$L$5000,"Materiales y equipos"))</f>
        <v/>
      </c>
      <c r="G209" s="88" t="str">
        <f aca="false">IF(D209="","",N(E209)+F209)</f>
        <v/>
      </c>
      <c r="H209" s="88" t="str">
        <f aca="false">IF(OR(D209="",S209="Servicio"),"",MAX(0,D209-G209))</f>
        <v/>
      </c>
      <c r="I209" s="36" t="str">
        <f aca="false">IF(OR(D209="",S209="Servicio",N(D209)=0),"",MIN(1,G209/D209))</f>
        <v/>
      </c>
      <c r="J209" s="10" t="str">
        <f aca="false">IF(D209="","",PRESUPUESTO!O205)</f>
        <v/>
      </c>
      <c r="K209" s="10" t="str">
        <f aca="false">IF(D209="","",SUMIFS(GASTOS!$J$7:$J$5000,GASTOS!$F$7:$F$5000,$A209,GASTOS!$L$7:$L$5000,"Materiales y equipos"))</f>
        <v/>
      </c>
      <c r="L209" s="105" t="str">
        <f aca="false">IF(D209="","",COUNTIFS(GASTOS!$F$7:$F$5000,$A209,GASTOS!$L$7:$L$5000,"Materiales y equipos"))</f>
        <v/>
      </c>
      <c r="M209" s="10" t="str">
        <f aca="false">IF(OR(D209="",N(F209)=0),"",K209/F209)</f>
        <v/>
      </c>
      <c r="N209" s="10" t="str">
        <f aca="false">IF(OR(D209="",N(L209)=0),"",IFERROR(LOOKUP(2,1/((GASTOS!$F$7:$F$5000=$A209)*(GASTOS!$L$7:$L$5000="Materiales y equipos")*(GASTOS!$I$7:$I$5000&lt;&gt;"")),GASTOS!$I$7:$I$5000),""))</f>
        <v/>
      </c>
      <c r="O209" s="23" t="str">
        <f aca="false">IF(OR(D209="",N(L209)=0),"",IFERROR(LOOKUP(2,1/((GASTOS!$F$7:$F$5000=$A209)*(GASTOS!$L$7:$L$5000="Materiales y equipos")*(GASTOS!$I$7:$I$5000&lt;&gt;"")),GASTOS!$D$7:$D$5000),""))</f>
        <v/>
      </c>
      <c r="P209" s="10" t="str">
        <f aca="false">IF(D209="","",N(PRESUPUESTO!I205))</f>
        <v/>
      </c>
      <c r="Q209" s="36" t="str">
        <f aca="false">IF(OR(D209="",N209="",N(P209)=0),"",N209/P209-1)</f>
        <v/>
      </c>
      <c r="R209" s="10" t="str">
        <f aca="false">IF(OR(D209="",S209="Servicio"),"",H209*IF(N209&lt;&gt;"",N209,P209))</f>
        <v/>
      </c>
      <c r="S209" s="39" t="str">
        <f aca="false">IF(D209="","",IF(N(PRESUPUESTO!H205)=0,"Servicio",IF(G209=0,"Sin comprar",IF(G209&gt;=D209,"Comprado","Parcial"))))</f>
        <v/>
      </c>
      <c r="T209" s="86" t="str">
        <f aca="false">IF(AND(ISNUMBER(Q209),N(Q209)&gt;0.1),"Precio +"&amp;TEXT(Q209,"0%"),"")</f>
        <v/>
      </c>
      <c r="U209" s="0" t="str">
        <f aca="false">IF(OR(D209="",S209="Servicio"),"",MIN(G209,D209)*P209)</f>
        <v/>
      </c>
      <c r="V209" s="0" t="str">
        <f aca="false">IF(OR(D209="",S209="Servicio"),"",D209*P209)</f>
        <v/>
      </c>
    </row>
    <row r="210" customFormat="false" ht="16.5" hidden="false" customHeight="true" outlineLevel="0" collapsed="false">
      <c r="A210" s="23" t="str">
        <f aca="false">IF(PRESUPUESTO!$A206="Ítem",PRESUPUESTO!B206,"")</f>
        <v/>
      </c>
      <c r="B210" s="23" t="str">
        <f aca="false">IF(PRESUPUESTO!C206="","",PRESUPUESTO!C206)</f>
        <v/>
      </c>
      <c r="C210" s="86" t="str">
        <f aca="false">IF(PRESUPUESTO!$A206="Ítem",PRESUPUESTO!D206,"")</f>
        <v/>
      </c>
      <c r="D210" s="87" t="str">
        <f aca="false">IF(PRESUPUESTO!$A206&lt;&gt;"Ítem","",MAX(N(PRESUPUESTO!E206),N('CORTES CLIENTE'!L219)))</f>
        <v/>
      </c>
      <c r="E210" s="80"/>
      <c r="F210" s="87" t="str">
        <f aca="false">IF(D210="","",SUMIFS(GASTOS!$H$7:$H$5000,GASTOS!$F$7:$F$5000,$A210,GASTOS!$L$7:$L$5000,"Materiales y equipos"))</f>
        <v/>
      </c>
      <c r="G210" s="88" t="str">
        <f aca="false">IF(D210="","",N(E210)+F210)</f>
        <v/>
      </c>
      <c r="H210" s="88" t="str">
        <f aca="false">IF(OR(D210="",S210="Servicio"),"",MAX(0,D210-G210))</f>
        <v/>
      </c>
      <c r="I210" s="36" t="str">
        <f aca="false">IF(OR(D210="",S210="Servicio",N(D210)=0),"",MIN(1,G210/D210))</f>
        <v/>
      </c>
      <c r="J210" s="10" t="str">
        <f aca="false">IF(D210="","",PRESUPUESTO!O206)</f>
        <v/>
      </c>
      <c r="K210" s="10" t="str">
        <f aca="false">IF(D210="","",SUMIFS(GASTOS!$J$7:$J$5000,GASTOS!$F$7:$F$5000,$A210,GASTOS!$L$7:$L$5000,"Materiales y equipos"))</f>
        <v/>
      </c>
      <c r="L210" s="105" t="str">
        <f aca="false">IF(D210="","",COUNTIFS(GASTOS!$F$7:$F$5000,$A210,GASTOS!$L$7:$L$5000,"Materiales y equipos"))</f>
        <v/>
      </c>
      <c r="M210" s="10" t="str">
        <f aca="false">IF(OR(D210="",N(F210)=0),"",K210/F210)</f>
        <v/>
      </c>
      <c r="N210" s="10" t="str">
        <f aca="false">IF(OR(D210="",N(L210)=0),"",IFERROR(LOOKUP(2,1/((GASTOS!$F$7:$F$5000=$A210)*(GASTOS!$L$7:$L$5000="Materiales y equipos")*(GASTOS!$I$7:$I$5000&lt;&gt;"")),GASTOS!$I$7:$I$5000),""))</f>
        <v/>
      </c>
      <c r="O210" s="23" t="str">
        <f aca="false">IF(OR(D210="",N(L210)=0),"",IFERROR(LOOKUP(2,1/((GASTOS!$F$7:$F$5000=$A210)*(GASTOS!$L$7:$L$5000="Materiales y equipos")*(GASTOS!$I$7:$I$5000&lt;&gt;"")),GASTOS!$D$7:$D$5000),""))</f>
        <v/>
      </c>
      <c r="P210" s="10" t="str">
        <f aca="false">IF(D210="","",N(PRESUPUESTO!I206))</f>
        <v/>
      </c>
      <c r="Q210" s="36" t="str">
        <f aca="false">IF(OR(D210="",N210="",N(P210)=0),"",N210/P210-1)</f>
        <v/>
      </c>
      <c r="R210" s="10" t="str">
        <f aca="false">IF(OR(D210="",S210="Servicio"),"",H210*IF(N210&lt;&gt;"",N210,P210))</f>
        <v/>
      </c>
      <c r="S210" s="39" t="str">
        <f aca="false">IF(D210="","",IF(N(PRESUPUESTO!H206)=0,"Servicio",IF(G210=0,"Sin comprar",IF(G210&gt;=D210,"Comprado","Parcial"))))</f>
        <v/>
      </c>
      <c r="T210" s="86" t="str">
        <f aca="false">IF(AND(ISNUMBER(Q210),N(Q210)&gt;0.1),"Precio +"&amp;TEXT(Q210,"0%"),"")</f>
        <v/>
      </c>
      <c r="U210" s="0" t="str">
        <f aca="false">IF(OR(D210="",S210="Servicio"),"",MIN(G210,D210)*P210)</f>
        <v/>
      </c>
      <c r="V210" s="0" t="str">
        <f aca="false">IF(OR(D210="",S210="Servicio"),"",D210*P210)</f>
        <v/>
      </c>
    </row>
    <row r="211" customFormat="false" ht="12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</sheetData>
  <mergeCells count="24">
    <mergeCell ref="C1:G1"/>
    <mergeCell ref="H1:T1"/>
    <mergeCell ref="A2:B2"/>
    <mergeCell ref="C2:D2"/>
    <mergeCell ref="E2:F2"/>
    <mergeCell ref="G2:H2"/>
    <mergeCell ref="I2:J2"/>
    <mergeCell ref="L2:M2"/>
    <mergeCell ref="N2:O2"/>
    <mergeCell ref="P2:Q2"/>
    <mergeCell ref="A4:B4"/>
    <mergeCell ref="C4:E4"/>
    <mergeCell ref="F4:H4"/>
    <mergeCell ref="I4:K4"/>
    <mergeCell ref="L4:N4"/>
    <mergeCell ref="O4:Q4"/>
    <mergeCell ref="A5:B5"/>
    <mergeCell ref="C5:E5"/>
    <mergeCell ref="F5:H5"/>
    <mergeCell ref="I5:K5"/>
    <mergeCell ref="L5:N5"/>
    <mergeCell ref="O5:Q5"/>
    <mergeCell ref="A7:T7"/>
    <mergeCell ref="A10:J10"/>
  </mergeCells>
  <conditionalFormatting sqref="A11:T210">
    <cfRule type="expression" priority="2" aboveAverage="0" equalAverage="0" bottom="0" percent="0" rank="0" text="" dxfId="47">
      <formula>AND($B11&lt;&gt;"",$D11="")</formula>
    </cfRule>
  </conditionalFormatting>
  <conditionalFormatting sqref="S11:S210">
    <cfRule type="cellIs" priority="3" operator="equal" aboveAverage="0" equalAverage="0" bottom="0" percent="0" rank="0" text="" dxfId="2">
      <formula>"Comprado"</formula>
    </cfRule>
    <cfRule type="cellIs" priority="4" operator="equal" aboveAverage="0" equalAverage="0" bottom="0" percent="0" rank="0" text="" dxfId="1">
      <formula>"Parcial"</formula>
    </cfRule>
    <cfRule type="cellIs" priority="5" operator="equal" aboveAverage="0" equalAverage="0" bottom="0" percent="0" rank="0" text="" dxfId="0">
      <formula>"Sin comprar"</formula>
    </cfRule>
    <cfRule type="cellIs" priority="6" operator="equal" aboveAverage="0" equalAverage="0" bottom="0" percent="0" rank="0" text="" dxfId="49">
      <formula>"Servicio"</formula>
    </cfRule>
  </conditionalFormatting>
  <conditionalFormatting sqref="T11:T210">
    <cfRule type="expression" priority="7" aboveAverage="0" equalAverage="0" bottom="0" percent="0" rank="0" text="" dxfId="0">
      <formula>T11&lt;&gt;""</formula>
    </cfRule>
  </conditionalFormatting>
  <conditionalFormatting sqref="I11:I210">
    <cfRule type="dataBar" priority="8">
      <dataBar showValue="1" minLength="10" maxLength="90">
        <cfvo type="num" val="0"/>
        <cfvo type="num" val="1"/>
        <color rgb="FF00BBF2"/>
      </dataBar>
      <extLst>
        <ext xmlns:x14="http://schemas.microsoft.com/office/spreadsheetml/2009/9/main" uri="{B025F937-C7B1-47D3-B67F-A62EFF666E3E}">
          <x14:id>{B8852DA3-8768-446F-8FA1-D4425C9FF0D1}</x14:id>
        </ext>
      </extLst>
    </cfRule>
  </conditionalFormatting>
  <hyperlinks>
    <hyperlink ref="A2" r:id="rId1" location="'INICIO'!A1" display="INICIO"/>
    <hyperlink ref="C2" r:id="rId2" location="'TABLERO'!A1" display="TABLERO"/>
    <hyperlink ref="E2" r:id="rId3" location="'CRONOGRAMA'!A1" display="CRONOGRAMA"/>
    <hyperlink ref="G2" r:id="rId4" location="'PRESUPUESTO'!A1" display="PRESUPUESTO"/>
    <hyperlink ref="I2" r:id="rId5" location="'CORTES%20CLIENTE'!A1" display="CORTES CLIENTE"/>
    <hyperlink ref="K2" r:id="rId6" location="'MANO%20DE%20OBRA'!A1" display="MANO DE OBRA"/>
    <hyperlink ref="L2" r:id="rId7" location="'GASTOS'!A1" display="GASTOS"/>
    <hyperlink ref="N2" r:id="rId8" location="'CONTROL%20DE%20MATERIALES'!A1" display="● MATERIALES"/>
    <hyperlink ref="P2" r:id="rId9" location="'GUÍA%20APP'!A1" display="GUÍ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852DA3-8768-446F-8FA1-D4425C9FF0D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0BBF2"/>
              <x14:axisColor rgb="FF000000"/>
            </x14:dataBar>
          </x14:cfRule>
          <xm:sqref>I11:I210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5C7A"/>
    <pageSetUpPr fitToPage="true"/>
  </sheetPr>
  <dimension ref="A1:J1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00390625" defaultRowHeight="15" zeroHeight="true" outlineLevelRow="0" outlineLevelCol="1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58"/>
    <col collapsed="false" customWidth="false" hidden="true" outlineLevel="1" max="16384" min="11" style="0" width="13"/>
  </cols>
  <sheetData>
    <row r="1" customFormat="false" ht="54" hidden="false" customHeight="true" outlineLevel="0" collapsed="false">
      <c r="A1" s="1"/>
      <c r="B1" s="1"/>
      <c r="C1" s="1"/>
      <c r="D1" s="2" t="s">
        <v>322</v>
      </c>
      <c r="E1" s="3" t="s">
        <v>323</v>
      </c>
      <c r="F1" s="3"/>
      <c r="G1" s="3"/>
      <c r="H1" s="3"/>
      <c r="I1" s="3"/>
      <c r="J1" s="3"/>
    </row>
    <row r="2" customFormat="false" ht="24" hidden="false" customHeight="true" outlineLevel="0" collapsed="false">
      <c r="B2" s="5" t="s">
        <v>88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 t="s">
        <v>324</v>
      </c>
    </row>
    <row r="3" customFormat="false" ht="16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</row>
    <row r="4" customFormat="false" ht="16.5" hidden="false" customHeight="true" outlineLevel="0" collapsed="false">
      <c r="A4" s="6"/>
      <c r="B4" s="35" t="s">
        <v>325</v>
      </c>
      <c r="C4" s="35" t="s">
        <v>326</v>
      </c>
      <c r="D4" s="35" t="s">
        <v>327</v>
      </c>
      <c r="E4" s="35" t="s">
        <v>328</v>
      </c>
      <c r="F4" s="6"/>
      <c r="G4" s="6"/>
      <c r="H4" s="6"/>
      <c r="I4" s="6"/>
      <c r="J4" s="6"/>
    </row>
    <row r="5" customFormat="false" ht="61.5" hidden="false" customHeight="true" outlineLevel="0" collapsed="false">
      <c r="A5" s="6"/>
      <c r="B5" s="106" t="s">
        <v>88</v>
      </c>
      <c r="C5" s="107" t="s">
        <v>329</v>
      </c>
      <c r="D5" s="107" t="s">
        <v>330</v>
      </c>
      <c r="E5" s="107" t="s">
        <v>331</v>
      </c>
      <c r="F5" s="6"/>
      <c r="G5" s="6"/>
      <c r="H5" s="6"/>
      <c r="I5" s="6"/>
      <c r="J5" s="6"/>
    </row>
    <row r="6" customFormat="false" ht="61.5" hidden="false" customHeight="true" outlineLevel="0" collapsed="false">
      <c r="A6" s="6"/>
      <c r="B6" s="106" t="s">
        <v>5</v>
      </c>
      <c r="C6" s="107" t="s">
        <v>332</v>
      </c>
      <c r="D6" s="107" t="s">
        <v>333</v>
      </c>
      <c r="E6" s="107" t="s">
        <v>334</v>
      </c>
      <c r="F6" s="6"/>
      <c r="G6" s="6"/>
      <c r="H6" s="6"/>
      <c r="I6" s="6"/>
      <c r="J6" s="6"/>
    </row>
    <row r="7" customFormat="false" ht="61.5" hidden="false" customHeight="true" outlineLevel="0" collapsed="false">
      <c r="A7" s="6"/>
      <c r="B7" s="106" t="s">
        <v>6</v>
      </c>
      <c r="C7" s="107" t="s">
        <v>335</v>
      </c>
      <c r="D7" s="107" t="s">
        <v>336</v>
      </c>
      <c r="E7" s="107" t="s">
        <v>337</v>
      </c>
      <c r="F7" s="6"/>
      <c r="G7" s="6"/>
      <c r="H7" s="6"/>
      <c r="I7" s="6"/>
      <c r="J7" s="6"/>
    </row>
    <row r="8" customFormat="false" ht="61.5" hidden="false" customHeight="true" outlineLevel="0" collapsed="false">
      <c r="A8" s="6"/>
      <c r="B8" s="106" t="s">
        <v>7</v>
      </c>
      <c r="C8" s="107" t="s">
        <v>338</v>
      </c>
      <c r="D8" s="107" t="s">
        <v>339</v>
      </c>
      <c r="E8" s="107" t="s">
        <v>340</v>
      </c>
      <c r="F8" s="6"/>
      <c r="G8" s="6"/>
      <c r="H8" s="6"/>
      <c r="I8" s="6"/>
      <c r="J8" s="6"/>
    </row>
    <row r="9" customFormat="false" ht="61.5" hidden="false" customHeight="true" outlineLevel="0" collapsed="false">
      <c r="A9" s="6"/>
      <c r="B9" s="106" t="s">
        <v>8</v>
      </c>
      <c r="C9" s="107" t="s">
        <v>341</v>
      </c>
      <c r="D9" s="107" t="s">
        <v>342</v>
      </c>
      <c r="E9" s="107" t="s">
        <v>343</v>
      </c>
      <c r="F9" s="6"/>
      <c r="G9" s="6"/>
      <c r="H9" s="6"/>
      <c r="I9" s="6"/>
      <c r="J9" s="6"/>
    </row>
    <row r="10" customFormat="false" ht="61.5" hidden="false" customHeight="true" outlineLevel="0" collapsed="false">
      <c r="A10" s="6"/>
      <c r="B10" s="106" t="s">
        <v>82</v>
      </c>
      <c r="C10" s="107" t="s">
        <v>344</v>
      </c>
      <c r="D10" s="107" t="s">
        <v>345</v>
      </c>
      <c r="E10" s="107" t="s">
        <v>346</v>
      </c>
      <c r="F10" s="6"/>
      <c r="G10" s="6"/>
      <c r="H10" s="6"/>
      <c r="I10" s="6"/>
      <c r="J10" s="6"/>
    </row>
    <row r="11" customFormat="false" ht="61.5" hidden="false" customHeight="true" outlineLevel="0" collapsed="false">
      <c r="A11" s="6"/>
      <c r="B11" s="106" t="s">
        <v>4</v>
      </c>
      <c r="C11" s="107" t="s">
        <v>347</v>
      </c>
      <c r="D11" s="107" t="s">
        <v>348</v>
      </c>
      <c r="E11" s="107" t="s">
        <v>349</v>
      </c>
      <c r="F11" s="6"/>
      <c r="G11" s="6"/>
      <c r="H11" s="6"/>
      <c r="I11" s="6"/>
      <c r="J11" s="6"/>
    </row>
    <row r="12" customFormat="false" ht="61.5" hidden="false" customHeight="true" outlineLevel="0" collapsed="false">
      <c r="A12" s="6"/>
      <c r="B12" s="106" t="s">
        <v>3</v>
      </c>
      <c r="C12" s="107" t="s">
        <v>350</v>
      </c>
      <c r="D12" s="107" t="s">
        <v>351</v>
      </c>
      <c r="E12" s="107" t="s">
        <v>352</v>
      </c>
      <c r="F12" s="6"/>
      <c r="G12" s="6"/>
      <c r="H12" s="6"/>
      <c r="I12" s="6"/>
      <c r="J12" s="6"/>
    </row>
    <row r="13" customFormat="false" ht="12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</sheetData>
  <mergeCells count="1">
    <mergeCell ref="E1:J1"/>
  </mergeCells>
  <hyperlinks>
    <hyperlink ref="B2" r:id="rId1" location="'INICIO'!A1" display="INICIO"/>
    <hyperlink ref="C2" r:id="rId2" location="'TABLERO'!A1" display="TABLERO"/>
    <hyperlink ref="D2" r:id="rId3" location="'CRONOGRAMA'!A1" display="CRONOGRAMA"/>
    <hyperlink ref="E2" r:id="rId4" location="'PRESUPUESTO'!A1" display="PRESUPUESTO"/>
    <hyperlink ref="F2" r:id="rId5" location="'CORTES%20CLIENTE'!A1" display="CORTES CLIENTE"/>
    <hyperlink ref="G2" r:id="rId6" location="'MANO%20DE%20OBRA'!A1" display="MANO DE OBRA"/>
    <hyperlink ref="H2" r:id="rId7" location="'GASTOS'!A1" display="GASTOS"/>
    <hyperlink ref="I2" r:id="rId8" location="'CONTROL%20DE%20MATERIALES'!A1" display="MATERIALES"/>
    <hyperlink ref="J2" r:id="rId9" location="'GUÍA%20APP'!A1" display="● GUÍ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7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15" hidden="false" customHeight="false" outlineLevel="0" collapsed="false">
      <c r="A1" s="35" t="s">
        <v>137</v>
      </c>
      <c r="B1" s="35" t="s">
        <v>353</v>
      </c>
      <c r="C1" s="35" t="s">
        <v>354</v>
      </c>
      <c r="D1" s="35" t="s">
        <v>355</v>
      </c>
      <c r="E1" s="35" t="s">
        <v>356</v>
      </c>
      <c r="F1" s="35" t="s">
        <v>357</v>
      </c>
    </row>
    <row r="2" customFormat="false" ht="15" hidden="false" customHeight="false" outlineLevel="0" collapsed="false">
      <c r="A2" s="108" t="s">
        <v>358</v>
      </c>
      <c r="B2" s="108" t="s">
        <v>170</v>
      </c>
      <c r="C2" s="108" t="s">
        <v>140</v>
      </c>
      <c r="D2" s="108" t="s">
        <v>359</v>
      </c>
      <c r="E2" s="108" t="s">
        <v>49</v>
      </c>
      <c r="F2" s="108" t="s">
        <v>360</v>
      </c>
    </row>
    <row r="3" customFormat="false" ht="15" hidden="false" customHeight="false" outlineLevel="0" collapsed="false">
      <c r="A3" s="108" t="s">
        <v>361</v>
      </c>
      <c r="B3" s="108" t="s">
        <v>172</v>
      </c>
      <c r="C3" s="108" t="s">
        <v>141</v>
      </c>
      <c r="D3" s="108" t="s">
        <v>362</v>
      </c>
      <c r="E3" s="108" t="s">
        <v>363</v>
      </c>
      <c r="F3" s="108" t="s">
        <v>364</v>
      </c>
    </row>
    <row r="4" customFormat="false" ht="15" hidden="false" customHeight="false" outlineLevel="0" collapsed="false">
      <c r="A4" s="108" t="s">
        <v>206</v>
      </c>
      <c r="B4" s="108" t="s">
        <v>177</v>
      </c>
      <c r="C4" s="108" t="s">
        <v>142</v>
      </c>
      <c r="D4" s="108" t="s">
        <v>365</v>
      </c>
      <c r="F4" s="108" t="s">
        <v>366</v>
      </c>
    </row>
    <row r="5" customFormat="false" ht="15" hidden="false" customHeight="false" outlineLevel="0" collapsed="false">
      <c r="B5" s="108" t="s">
        <v>181</v>
      </c>
      <c r="C5" s="108" t="s">
        <v>143</v>
      </c>
      <c r="F5" s="108" t="s">
        <v>367</v>
      </c>
    </row>
    <row r="6" customFormat="false" ht="15" hidden="false" customHeight="false" outlineLevel="0" collapsed="false">
      <c r="B6" s="108" t="s">
        <v>183</v>
      </c>
      <c r="C6" s="108" t="s">
        <v>144</v>
      </c>
      <c r="F6" s="108" t="s">
        <v>368</v>
      </c>
    </row>
    <row r="7" customFormat="false" ht="15" hidden="false" customHeight="false" outlineLevel="0" collapsed="false">
      <c r="B7" s="108" t="s">
        <v>186</v>
      </c>
      <c r="C7" s="108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2026-10-17T12:49:11Z</dcterms:created>
  <dc:creator>openpyxl</dc:creator>
  <dc:description/>
  <dc:language>en-US</dc:language>
  <cp:lastModifiedBy/>
  <dcterms:modified xsi:type="dcterms:W3CDTF">2026-10-17T07:49:21Z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